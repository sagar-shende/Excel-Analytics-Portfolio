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GLOBAL-9\Desktop\sagar\"/>
    </mc:Choice>
  </mc:AlternateContent>
  <xr:revisionPtr revIDLastSave="0" documentId="8_{34F51A66-2EF2-457A-87D2-DF6D9F686F00}" xr6:coauthVersionLast="47" xr6:coauthVersionMax="47" xr10:uidLastSave="{00000000-0000-0000-0000-000000000000}"/>
  <bookViews>
    <workbookView xWindow="-120" yWindow="-120" windowWidth="24240" windowHeight="13020" activeTab="3" xr2:uid="{87B0F1EA-BB67-4ECF-A4E8-179AEACE3758}"/>
  </bookViews>
  <sheets>
    <sheet name="Data Works" sheetId="1" r:id="rId1"/>
    <sheet name="Clean Data" sheetId="2" r:id="rId2"/>
    <sheet name="Pivot table" sheetId="3" r:id="rId3"/>
    <sheet name="Dashboard" sheetId="4" r:id="rId4"/>
  </sheets>
  <definedNames>
    <definedName name="_xlnm._FilterDatabase" localSheetId="0" hidden="1">'Data Works'!$A$1:$AC$1</definedName>
    <definedName name="_xlchart.v1.0" hidden="1">'Clean Data'!$D$1</definedName>
    <definedName name="_xlchart.v1.1" hidden="1">'Clean Data'!$D$2:$D$951</definedName>
    <definedName name="_xlchart.v1.2" hidden="1">'Clean Data'!$D$1</definedName>
    <definedName name="_xlchart.v1.3" hidden="1">'Clean Data'!$D$2:$D$951</definedName>
    <definedName name="Slicer_Age_Group1">#N/A</definedName>
    <definedName name="Slicer_Credit_Categorical">#N/A</definedName>
    <definedName name="Slicer_DTI_RISK_LEVEL">#N/A</definedName>
    <definedName name="Slicer_Education_Level">#N/A</definedName>
    <definedName name="Slicer_Employment_Status">#N/A</definedName>
    <definedName name="Slicer_Gender">#N/A</definedName>
    <definedName name="Slicer_Has_Existing_Loan">#N/A</definedName>
    <definedName name="Slicer_Loan_Approve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a="1"/>
  <c r="L3" i="1" s="1"/>
  <c r="L4" i="1" a="1"/>
  <c r="L4" i="1"/>
  <c r="L5" i="1" a="1"/>
  <c r="L5" i="1"/>
  <c r="L6" i="1" a="1"/>
  <c r="L6" i="1"/>
  <c r="L7" i="1" a="1"/>
  <c r="L7" i="1"/>
  <c r="L8" i="1" a="1"/>
  <c r="L8" i="1"/>
  <c r="L9" i="1" a="1"/>
  <c r="L9" i="1" s="1"/>
  <c r="L10" i="1" a="1"/>
  <c r="L10" i="1"/>
  <c r="L11" i="1" a="1"/>
  <c r="L11" i="1"/>
  <c r="L12" i="1" a="1"/>
  <c r="L12" i="1"/>
  <c r="L13" i="1" a="1"/>
  <c r="L13" i="1"/>
  <c r="L14" i="1" a="1"/>
  <c r="L14" i="1"/>
  <c r="L15" i="1" a="1"/>
  <c r="L15" i="1" s="1"/>
  <c r="L16" i="1" a="1"/>
  <c r="L16" i="1"/>
  <c r="L17" i="1" a="1"/>
  <c r="L17" i="1" s="1"/>
  <c r="L18" i="1" a="1"/>
  <c r="L18" i="1"/>
  <c r="L19" i="1" a="1"/>
  <c r="L19" i="1"/>
  <c r="L20" i="1" a="1"/>
  <c r="L20" i="1"/>
  <c r="L21" i="1" a="1"/>
  <c r="L21" i="1" s="1"/>
  <c r="L22" i="1" a="1"/>
  <c r="L22" i="1"/>
  <c r="L23" i="1" a="1"/>
  <c r="L23" i="1"/>
  <c r="L24" i="1" a="1"/>
  <c r="L24" i="1"/>
  <c r="L25" i="1" a="1"/>
  <c r="L25" i="1"/>
  <c r="L26" i="1" a="1"/>
  <c r="L26" i="1"/>
  <c r="L27" i="1" a="1"/>
  <c r="L27" i="1" s="1"/>
  <c r="L28" i="1" a="1"/>
  <c r="L28" i="1"/>
  <c r="L29" i="1" a="1"/>
  <c r="L29" i="1" s="1"/>
  <c r="L30" i="1" a="1"/>
  <c r="L30" i="1"/>
  <c r="L31" i="1" a="1"/>
  <c r="L31" i="1"/>
  <c r="L32" i="1" a="1"/>
  <c r="L32" i="1"/>
  <c r="L33" i="1" a="1"/>
  <c r="L33" i="1" s="1"/>
  <c r="L34" i="1" a="1"/>
  <c r="L34" i="1"/>
  <c r="L35" i="1" a="1"/>
  <c r="L35" i="1"/>
  <c r="L36" i="1" a="1"/>
  <c r="L36" i="1"/>
  <c r="L37" i="1" a="1"/>
  <c r="L37" i="1"/>
  <c r="L38" i="1" a="1"/>
  <c r="L38" i="1"/>
  <c r="L39" i="1" a="1"/>
  <c r="L39" i="1" s="1"/>
  <c r="L40" i="1" a="1"/>
  <c r="L40" i="1"/>
  <c r="L41" i="1" a="1"/>
  <c r="L41" i="1"/>
  <c r="L42" i="1" a="1"/>
  <c r="L42" i="1" s="1"/>
  <c r="L43" i="1" a="1"/>
  <c r="L43" i="1"/>
  <c r="L44" i="1" a="1"/>
  <c r="L44" i="1"/>
  <c r="L45" i="1" a="1"/>
  <c r="L45" i="1" s="1"/>
  <c r="L46" i="1" a="1"/>
  <c r="L46" i="1"/>
  <c r="L47" i="1" a="1"/>
  <c r="L47" i="1"/>
  <c r="L48" i="1" a="1"/>
  <c r="L48" i="1"/>
  <c r="L49" i="1" a="1"/>
  <c r="L49" i="1" s="1"/>
  <c r="L50" i="1" a="1"/>
  <c r="L50" i="1"/>
  <c r="L51" i="1" a="1"/>
  <c r="L51" i="1" s="1"/>
  <c r="L52" i="1" a="1"/>
  <c r="L52" i="1" s="1"/>
  <c r="L53" i="1" a="1"/>
  <c r="L53" i="1"/>
  <c r="L54" i="1" a="1"/>
  <c r="L54" i="1"/>
  <c r="L55" i="1" a="1"/>
  <c r="L55" i="1" s="1"/>
  <c r="L56" i="1" a="1"/>
  <c r="L56" i="1"/>
  <c r="L57" i="1" a="1"/>
  <c r="L57" i="1" s="1"/>
  <c r="L58" i="1" a="1"/>
  <c r="L58" i="1" s="1"/>
  <c r="L59" i="1" a="1"/>
  <c r="L59" i="1" s="1"/>
  <c r="L60" i="1" a="1"/>
  <c r="L60" i="1"/>
  <c r="L61" i="1" a="1"/>
  <c r="L61" i="1"/>
  <c r="L62" i="1" a="1"/>
  <c r="L62" i="1"/>
  <c r="L63" i="1" a="1"/>
  <c r="L63" i="1" s="1"/>
  <c r="L64" i="1" a="1"/>
  <c r="L64" i="1"/>
  <c r="L65" i="1" a="1"/>
  <c r="L65" i="1"/>
  <c r="L66" i="1" a="1"/>
  <c r="L66" i="1"/>
  <c r="L67" i="1" a="1"/>
  <c r="L67" i="1"/>
  <c r="L68" i="1" a="1"/>
  <c r="L68" i="1" s="1"/>
  <c r="L69" i="1" a="1"/>
  <c r="L69" i="1" s="1"/>
  <c r="L70" i="1" a="1"/>
  <c r="L70" i="1"/>
  <c r="L71" i="1" a="1"/>
  <c r="L71" i="1"/>
  <c r="L72" i="1" a="1"/>
  <c r="L72" i="1"/>
  <c r="L73" i="1" a="1"/>
  <c r="L73" i="1"/>
  <c r="L74" i="1" a="1"/>
  <c r="L74" i="1"/>
  <c r="L75" i="1" a="1"/>
  <c r="L75" i="1" s="1"/>
  <c r="L76" i="1" a="1"/>
  <c r="L76" i="1" s="1"/>
  <c r="L77" i="1" a="1"/>
  <c r="L77" i="1"/>
  <c r="L78" i="1" a="1"/>
  <c r="L78" i="1"/>
  <c r="L79" i="1" a="1"/>
  <c r="L79" i="1"/>
  <c r="L80" i="1" a="1"/>
  <c r="L80" i="1"/>
  <c r="L81" i="1" a="1"/>
  <c r="L81" i="1" s="1"/>
  <c r="L82" i="1" a="1"/>
  <c r="L82" i="1"/>
  <c r="L83" i="1" a="1"/>
  <c r="L83" i="1"/>
  <c r="L84" i="1" a="1"/>
  <c r="L84" i="1"/>
  <c r="L85" i="1" a="1"/>
  <c r="L85" i="1" s="1"/>
  <c r="L86" i="1" a="1"/>
  <c r="L86" i="1"/>
  <c r="L87" i="1" a="1"/>
  <c r="L87" i="1" s="1"/>
  <c r="L88" i="1" a="1"/>
  <c r="L88" i="1" s="1"/>
  <c r="L89" i="1" a="1"/>
  <c r="L89" i="1" s="1"/>
  <c r="L90" i="1" a="1"/>
  <c r="L90" i="1"/>
  <c r="L91" i="1" a="1"/>
  <c r="L91" i="1"/>
  <c r="L92" i="1" a="1"/>
  <c r="L92" i="1"/>
  <c r="L93" i="1" a="1"/>
  <c r="L93" i="1" s="1"/>
  <c r="L94" i="1" a="1"/>
  <c r="L94" i="1"/>
  <c r="L95" i="1" a="1"/>
  <c r="L95" i="1"/>
  <c r="L96" i="1" a="1"/>
  <c r="L96" i="1"/>
  <c r="L97" i="1" a="1"/>
  <c r="L97" i="1"/>
  <c r="L98" i="1" a="1"/>
  <c r="L98" i="1"/>
  <c r="L99" i="1" a="1"/>
  <c r="L99" i="1" s="1"/>
  <c r="L100" i="1" a="1"/>
  <c r="L100" i="1"/>
  <c r="L101" i="1" a="1"/>
  <c r="L101" i="1" s="1"/>
  <c r="L102" i="1" a="1"/>
  <c r="L102" i="1" s="1"/>
  <c r="L103" i="1" a="1"/>
  <c r="L103" i="1"/>
  <c r="L104" i="1" a="1"/>
  <c r="L104" i="1"/>
  <c r="L105" i="1" a="1"/>
  <c r="L105" i="1" s="1"/>
  <c r="L106" i="1" a="1"/>
  <c r="L106" i="1"/>
  <c r="L107" i="1" a="1"/>
  <c r="L107" i="1" s="1"/>
  <c r="L108" i="1" a="1"/>
  <c r="L108" i="1"/>
  <c r="L109" i="1" a="1"/>
  <c r="L109" i="1"/>
  <c r="L110" i="1" a="1"/>
  <c r="L110" i="1"/>
  <c r="L111" i="1" a="1"/>
  <c r="L111" i="1" s="1"/>
  <c r="L112" i="1" a="1"/>
  <c r="L112" i="1"/>
  <c r="L113" i="1" a="1"/>
  <c r="L113" i="1"/>
  <c r="L114" i="1" a="1"/>
  <c r="L114" i="1" s="1"/>
  <c r="L115" i="1" a="1"/>
  <c r="L115" i="1" s="1"/>
  <c r="L116" i="1" a="1"/>
  <c r="L116" i="1"/>
  <c r="L117" i="1" a="1"/>
  <c r="L117" i="1" s="1"/>
  <c r="L118" i="1" a="1"/>
  <c r="L118" i="1"/>
  <c r="L119" i="1" a="1"/>
  <c r="L119" i="1"/>
  <c r="L120" i="1" a="1"/>
  <c r="L120" i="1"/>
  <c r="L121" i="1" a="1"/>
  <c r="L121" i="1" s="1"/>
  <c r="L122" i="1" a="1"/>
  <c r="L122" i="1"/>
  <c r="L123" i="1" a="1"/>
  <c r="L123" i="1" s="1"/>
  <c r="L124" i="1" a="1"/>
  <c r="L124" i="1"/>
  <c r="L125" i="1" a="1"/>
  <c r="L125" i="1"/>
  <c r="L126" i="1" a="1"/>
  <c r="L126" i="1"/>
  <c r="L127" i="1" a="1"/>
  <c r="L127" i="1" s="1"/>
  <c r="L128" i="1" a="1"/>
  <c r="L128" i="1" s="1"/>
  <c r="L129" i="1" a="1"/>
  <c r="L129" i="1" s="1"/>
  <c r="L130" i="1" a="1"/>
  <c r="L130" i="1" s="1"/>
  <c r="L131" i="1" a="1"/>
  <c r="L131" i="1"/>
  <c r="L132" i="1" a="1"/>
  <c r="L132" i="1"/>
  <c r="L133" i="1" a="1"/>
  <c r="L133" i="1"/>
  <c r="L134" i="1" a="1"/>
  <c r="L134" i="1" s="1"/>
  <c r="L135" i="1" a="1"/>
  <c r="L135" i="1" s="1"/>
  <c r="L136" i="1" a="1"/>
  <c r="L136" i="1"/>
  <c r="L137" i="1" a="1"/>
  <c r="L137" i="1" s="1"/>
  <c r="L138" i="1" a="1"/>
  <c r="L138" i="1"/>
  <c r="L139" i="1" a="1"/>
  <c r="L139" i="1"/>
  <c r="L140" i="1" a="1"/>
  <c r="L140" i="1" s="1"/>
  <c r="L141" i="1" a="1"/>
  <c r="L141" i="1" s="1"/>
  <c r="L142" i="1" a="1"/>
  <c r="L142" i="1"/>
  <c r="L143" i="1" a="1"/>
  <c r="L143" i="1"/>
  <c r="L144" i="1" a="1"/>
  <c r="L144" i="1" s="1"/>
  <c r="L145" i="1" a="1"/>
  <c r="L145" i="1"/>
  <c r="L146" i="1" a="1"/>
  <c r="L146" i="1"/>
  <c r="L147" i="1" a="1"/>
  <c r="L147" i="1" s="1"/>
  <c r="L148" i="1" a="1"/>
  <c r="L148" i="1" s="1"/>
  <c r="L149" i="1" a="1"/>
  <c r="L149" i="1"/>
  <c r="L150" i="1" a="1"/>
  <c r="L150" i="1"/>
  <c r="L151" i="1" a="1"/>
  <c r="L151" i="1" s="1"/>
  <c r="L152" i="1" a="1"/>
  <c r="L152" i="1"/>
  <c r="L153" i="1" a="1"/>
  <c r="L153" i="1" s="1"/>
  <c r="L154" i="1" a="1"/>
  <c r="L154" i="1" s="1"/>
  <c r="L155" i="1" a="1"/>
  <c r="L155" i="1"/>
  <c r="L156" i="1" a="1"/>
  <c r="L156" i="1"/>
  <c r="L157" i="1" a="1"/>
  <c r="L157" i="1"/>
  <c r="L158" i="1" a="1"/>
  <c r="L158" i="1" s="1"/>
  <c r="L159" i="1" a="1"/>
  <c r="L159" i="1" s="1"/>
  <c r="L160" i="1" a="1"/>
  <c r="L160" i="1" s="1"/>
  <c r="L161" i="1" a="1"/>
  <c r="L161" i="1" s="1"/>
  <c r="L162" i="1" a="1"/>
  <c r="L162" i="1"/>
  <c r="L163" i="1" a="1"/>
  <c r="L163" i="1"/>
  <c r="L164" i="1" a="1"/>
  <c r="L164" i="1"/>
  <c r="L165" i="1" a="1"/>
  <c r="L165" i="1" s="1"/>
  <c r="L166" i="1" a="1"/>
  <c r="L166" i="1" s="1"/>
  <c r="L167" i="1" a="1"/>
  <c r="L167" i="1" s="1"/>
  <c r="L168" i="1" a="1"/>
  <c r="L168" i="1"/>
  <c r="L169" i="1" a="1"/>
  <c r="L169" i="1"/>
  <c r="L170" i="1" a="1"/>
  <c r="L170" i="1"/>
  <c r="L171" i="1" a="1"/>
  <c r="L171" i="1" s="1"/>
  <c r="L172" i="1" a="1"/>
  <c r="L172" i="1"/>
  <c r="L173" i="1" a="1"/>
  <c r="L173" i="1" s="1"/>
  <c r="L174" i="1" a="1"/>
  <c r="L174" i="1" s="1"/>
  <c r="L175" i="1" a="1"/>
  <c r="L175" i="1"/>
  <c r="L176" i="1" a="1"/>
  <c r="L176" i="1"/>
  <c r="L177" i="1" a="1"/>
  <c r="L177" i="1" s="1"/>
  <c r="L178" i="1" a="1"/>
  <c r="L178" i="1"/>
  <c r="L179" i="1" a="1"/>
  <c r="L179" i="1"/>
  <c r="L180" i="1" a="1"/>
  <c r="L180" i="1" s="1"/>
  <c r="L181" i="1" a="1"/>
  <c r="L181" i="1"/>
  <c r="L182" i="1" a="1"/>
  <c r="L182" i="1"/>
  <c r="L183" i="1" a="1"/>
  <c r="L183" i="1" s="1"/>
  <c r="L184" i="1" a="1"/>
  <c r="L184" i="1"/>
  <c r="L185" i="1" a="1"/>
  <c r="L185" i="1"/>
  <c r="L186" i="1" a="1"/>
  <c r="L186" i="1" s="1"/>
  <c r="L187" i="1" a="1"/>
  <c r="L187" i="1" s="1"/>
  <c r="L188" i="1" a="1"/>
  <c r="L188" i="1" s="1"/>
  <c r="L189" i="1" a="1"/>
  <c r="L189" i="1" s="1"/>
  <c r="L190" i="1" a="1"/>
  <c r="L190" i="1"/>
  <c r="L191" i="1" a="1"/>
  <c r="L191" i="1"/>
  <c r="L192" i="1" a="1"/>
  <c r="L192" i="1"/>
  <c r="L193" i="1" a="1"/>
  <c r="L193" i="1" s="1"/>
  <c r="L194" i="1" a="1"/>
  <c r="L194" i="1"/>
  <c r="L195" i="1" a="1"/>
  <c r="L195" i="1" s="1"/>
  <c r="L196" i="1" a="1"/>
  <c r="L196" i="1" s="1"/>
  <c r="L197" i="1" a="1"/>
  <c r="L197" i="1"/>
  <c r="L198" i="1" a="1"/>
  <c r="L198" i="1"/>
  <c r="L199" i="1" a="1"/>
  <c r="L199" i="1" s="1"/>
  <c r="L200" i="1" a="1"/>
  <c r="L200" i="1"/>
  <c r="L201" i="1" a="1"/>
  <c r="L201" i="1" s="1"/>
  <c r="L202" i="1" a="1"/>
  <c r="L202" i="1"/>
  <c r="L203" i="1" a="1"/>
  <c r="L203" i="1" s="1"/>
  <c r="L204" i="1" a="1"/>
  <c r="L204" i="1"/>
  <c r="L205" i="1" a="1"/>
  <c r="L205" i="1"/>
  <c r="L206" i="1" a="1"/>
  <c r="L206" i="1" s="1"/>
  <c r="L207" i="1" a="1"/>
  <c r="L207" i="1" s="1"/>
  <c r="L208" i="1" a="1"/>
  <c r="L208" i="1"/>
  <c r="L209" i="1" a="1"/>
  <c r="L209" i="1"/>
  <c r="L210" i="1" a="1"/>
  <c r="L210" i="1" s="1"/>
  <c r="L211" i="1" a="1"/>
  <c r="L211" i="1"/>
  <c r="L212" i="1" a="1"/>
  <c r="L212" i="1" s="1"/>
  <c r="L213" i="1" a="1"/>
  <c r="L213" i="1" s="1"/>
  <c r="L214" i="1" a="1"/>
  <c r="L214" i="1"/>
  <c r="L215" i="1" a="1"/>
  <c r="L215" i="1"/>
  <c r="L216" i="1" a="1"/>
  <c r="L216" i="1"/>
  <c r="L217" i="1" a="1"/>
  <c r="L217" i="1" s="1"/>
  <c r="L218" i="1" a="1"/>
  <c r="L218" i="1"/>
  <c r="L219" i="1" a="1"/>
  <c r="L219" i="1" s="1"/>
  <c r="L220" i="1" a="1"/>
  <c r="L220" i="1"/>
  <c r="L221" i="1" a="1"/>
  <c r="L221" i="1"/>
  <c r="L222" i="1" a="1"/>
  <c r="L222" i="1"/>
  <c r="L223" i="1" a="1"/>
  <c r="L223" i="1" s="1"/>
  <c r="L224" i="1" a="1"/>
  <c r="L224" i="1"/>
  <c r="L225" i="1" a="1"/>
  <c r="L225" i="1" s="1"/>
  <c r="L226" i="1" a="1"/>
  <c r="L226" i="1" s="1"/>
  <c r="L227" i="1" a="1"/>
  <c r="L227" i="1"/>
  <c r="L228" i="1" a="1"/>
  <c r="L228" i="1"/>
  <c r="L229" i="1" a="1"/>
  <c r="L229" i="1"/>
  <c r="L230" i="1" a="1"/>
  <c r="L230" i="1" s="1"/>
  <c r="L231" i="1" a="1"/>
  <c r="L231" i="1" s="1"/>
  <c r="L232" i="1" a="1"/>
  <c r="L232" i="1" s="1"/>
  <c r="L233" i="1" a="1"/>
  <c r="L233" i="1"/>
  <c r="L234" i="1" a="1"/>
  <c r="L234" i="1"/>
  <c r="L235" i="1" a="1"/>
  <c r="L235" i="1"/>
  <c r="L236" i="1" a="1"/>
  <c r="L236" i="1"/>
  <c r="L237" i="1" a="1"/>
  <c r="L237" i="1" s="1"/>
  <c r="L238" i="1" a="1"/>
  <c r="L238" i="1" s="1"/>
  <c r="L239" i="1" a="1"/>
  <c r="L239" i="1" s="1"/>
  <c r="L240" i="1" a="1"/>
  <c r="L240" i="1"/>
  <c r="L241" i="1" a="1"/>
  <c r="L241" i="1"/>
  <c r="L242" i="1" a="1"/>
  <c r="L242" i="1"/>
  <c r="L243" i="1" a="1"/>
  <c r="L243" i="1" s="1"/>
  <c r="L244" i="1" a="1"/>
  <c r="L244" i="1"/>
  <c r="L245" i="1" a="1"/>
  <c r="L245" i="1" s="1"/>
  <c r="L246" i="1" a="1"/>
  <c r="L246" i="1" s="1"/>
  <c r="L247" i="1" a="1"/>
  <c r="L247" i="1"/>
  <c r="L248" i="1" a="1"/>
  <c r="L248" i="1"/>
  <c r="L249" i="1" a="1"/>
  <c r="L249" i="1" s="1"/>
  <c r="L250" i="1" a="1"/>
  <c r="L250" i="1"/>
  <c r="L251" i="1" a="1"/>
  <c r="L251" i="1"/>
  <c r="L252" i="1" a="1"/>
  <c r="L252" i="1" s="1"/>
  <c r="L253" i="1" a="1"/>
  <c r="L253" i="1"/>
  <c r="L254" i="1" a="1"/>
  <c r="L254" i="1"/>
  <c r="L255" i="1" a="1"/>
  <c r="L255" i="1" s="1"/>
  <c r="L256" i="1" a="1"/>
  <c r="L256" i="1"/>
  <c r="L257" i="1" a="1"/>
  <c r="L257" i="1"/>
  <c r="L258" i="1" a="1"/>
  <c r="L258" i="1" s="1"/>
  <c r="L259" i="1" a="1"/>
  <c r="L259" i="1" s="1"/>
  <c r="L260" i="1" a="1"/>
  <c r="L260" i="1" s="1"/>
  <c r="L261" i="1" a="1"/>
  <c r="L261" i="1" s="1"/>
  <c r="L262" i="1" a="1"/>
  <c r="L262" i="1"/>
  <c r="L263" i="1" a="1"/>
  <c r="L263" i="1"/>
  <c r="L264" i="1" a="1"/>
  <c r="L264" i="1"/>
  <c r="L265" i="1" a="1"/>
  <c r="L265" i="1" s="1"/>
  <c r="L266" i="1" a="1"/>
  <c r="L266" i="1"/>
  <c r="L267" i="1" a="1"/>
  <c r="L267" i="1" s="1"/>
  <c r="L268" i="1" a="1"/>
  <c r="L268" i="1" s="1"/>
  <c r="L269" i="1" a="1"/>
  <c r="L269" i="1"/>
  <c r="L270" i="1" a="1"/>
  <c r="L270" i="1"/>
  <c r="L271" i="1" a="1"/>
  <c r="L271" i="1" s="1"/>
  <c r="L272" i="1" a="1"/>
  <c r="L272" i="1" s="1"/>
  <c r="L273" i="1" a="1"/>
  <c r="L273" i="1" s="1"/>
  <c r="L274" i="1" a="1"/>
  <c r="L274" i="1"/>
  <c r="L275" i="1" a="1"/>
  <c r="L275" i="1" s="1"/>
  <c r="L276" i="1" a="1"/>
  <c r="L276" i="1"/>
  <c r="L277" i="1" a="1"/>
  <c r="L277" i="1"/>
  <c r="L278" i="1" a="1"/>
  <c r="L278" i="1" s="1"/>
  <c r="L279" i="1" a="1"/>
  <c r="L279" i="1" s="1"/>
  <c r="L280" i="1" a="1"/>
  <c r="L280" i="1"/>
  <c r="L281" i="1" a="1"/>
  <c r="L281" i="1"/>
  <c r="L282" i="1" a="1"/>
  <c r="L282" i="1" s="1"/>
  <c r="L283" i="1" a="1"/>
  <c r="L283" i="1"/>
  <c r="L284" i="1" a="1"/>
  <c r="L284" i="1" s="1"/>
  <c r="L285" i="1" a="1"/>
  <c r="L285" i="1" s="1"/>
  <c r="L286" i="1" a="1"/>
  <c r="L286" i="1"/>
  <c r="L287" i="1" a="1"/>
  <c r="L287" i="1"/>
  <c r="L288" i="1" a="1"/>
  <c r="L288" i="1"/>
  <c r="L289" i="1" a="1"/>
  <c r="L289" i="1" s="1"/>
  <c r="L290" i="1" a="1"/>
  <c r="L290" i="1"/>
  <c r="L291" i="1" a="1"/>
  <c r="L291" i="1" s="1"/>
  <c r="L292" i="1" a="1"/>
  <c r="L292" i="1" s="1"/>
  <c r="L293" i="1" a="1"/>
  <c r="L293" i="1"/>
  <c r="L294" i="1" a="1"/>
  <c r="L294" i="1"/>
  <c r="L295" i="1" a="1"/>
  <c r="L295" i="1"/>
  <c r="L296" i="1" a="1"/>
  <c r="L296" i="1" s="1"/>
  <c r="L297" i="1" a="1"/>
  <c r="L297" i="1" s="1"/>
  <c r="L298" i="1" a="1"/>
  <c r="L298" i="1" s="1"/>
  <c r="L299" i="1" a="1"/>
  <c r="L299" i="1"/>
  <c r="L300" i="1" a="1"/>
  <c r="L300" i="1"/>
  <c r="L301" i="1" a="1"/>
  <c r="L301" i="1"/>
  <c r="L302" i="1" a="1"/>
  <c r="L302" i="1"/>
  <c r="L303" i="1" a="1"/>
  <c r="L303" i="1" s="1"/>
  <c r="L304" i="1" a="1"/>
  <c r="L304" i="1" s="1"/>
  <c r="L305" i="1" a="1"/>
  <c r="L305" i="1" s="1"/>
  <c r="L306" i="1" a="1"/>
  <c r="L306" i="1"/>
  <c r="L307" i="1" a="1"/>
  <c r="L307" i="1"/>
  <c r="L308" i="1" a="1"/>
  <c r="L308" i="1"/>
  <c r="L309" i="1" a="1"/>
  <c r="L309" i="1" s="1"/>
  <c r="L310" i="1" a="1"/>
  <c r="L310" i="1"/>
  <c r="L311" i="1" a="1"/>
  <c r="L311" i="1" s="1"/>
  <c r="L312" i="1" a="1"/>
  <c r="L312" i="1"/>
  <c r="L313" i="1" a="1"/>
  <c r="L313" i="1"/>
  <c r="L314" i="1" a="1"/>
  <c r="L314" i="1"/>
  <c r="L315" i="1" a="1"/>
  <c r="L315" i="1" s="1"/>
  <c r="L316" i="1" a="1"/>
  <c r="L316" i="1"/>
  <c r="L317" i="1" a="1"/>
  <c r="L317" i="1" s="1"/>
  <c r="L318" i="1" a="1"/>
  <c r="L318" i="1" s="1"/>
  <c r="L319" i="1" a="1"/>
  <c r="L319" i="1" s="1"/>
  <c r="L320" i="1" a="1"/>
  <c r="L320" i="1"/>
  <c r="L321" i="1" a="1"/>
  <c r="L321" i="1" s="1"/>
  <c r="L322" i="1" a="1"/>
  <c r="L322" i="1"/>
  <c r="L323" i="1" a="1"/>
  <c r="L323" i="1"/>
  <c r="L324" i="1" a="1"/>
  <c r="L324" i="1" s="1"/>
  <c r="L325" i="1" a="1"/>
  <c r="L325" i="1"/>
  <c r="L326" i="1" a="1"/>
  <c r="L326" i="1" s="1"/>
  <c r="L327" i="1" a="1"/>
  <c r="L327" i="1" s="1"/>
  <c r="L328" i="1" a="1"/>
  <c r="L328" i="1"/>
  <c r="L329" i="1" a="1"/>
  <c r="L329" i="1"/>
  <c r="L330" i="1" a="1"/>
  <c r="L330" i="1" s="1"/>
  <c r="L331" i="1" a="1"/>
  <c r="L331" i="1"/>
  <c r="L332" i="1" a="1"/>
  <c r="L332" i="1"/>
  <c r="L333" i="1" a="1"/>
  <c r="L333" i="1" s="1"/>
  <c r="L334" i="1" a="1"/>
  <c r="L334" i="1" s="1"/>
  <c r="L335" i="1" a="1"/>
  <c r="L335" i="1"/>
  <c r="L336" i="1" a="1"/>
  <c r="L336" i="1"/>
  <c r="L337" i="1" a="1"/>
  <c r="L337" i="1" s="1"/>
  <c r="L338" i="1" a="1"/>
  <c r="L338" i="1"/>
  <c r="L339" i="1" a="1"/>
  <c r="L339" i="1" s="1"/>
  <c r="L340" i="1" a="1"/>
  <c r="L340" i="1"/>
  <c r="L341" i="1" a="1"/>
  <c r="L341" i="1" s="1"/>
  <c r="L342" i="1" a="1"/>
  <c r="L342" i="1"/>
  <c r="L343" i="1" a="1"/>
  <c r="L343" i="1" s="1"/>
  <c r="L344" i="1" a="1"/>
  <c r="L344" i="1"/>
  <c r="L345" i="1" a="1"/>
  <c r="L345" i="1" s="1"/>
  <c r="L346" i="1" a="1"/>
  <c r="L346" i="1"/>
  <c r="L347" i="1" a="1"/>
  <c r="L347" i="1"/>
  <c r="L348" i="1" a="1"/>
  <c r="L348" i="1" s="1"/>
  <c r="L349" i="1" a="1"/>
  <c r="L349" i="1"/>
  <c r="L350" i="1" a="1"/>
  <c r="L350" i="1" s="1"/>
  <c r="L351" i="1" a="1"/>
  <c r="L351" i="1" s="1"/>
  <c r="L352" i="1" a="1"/>
  <c r="L352" i="1"/>
  <c r="L353" i="1" a="1"/>
  <c r="L353" i="1"/>
  <c r="L354" i="1" a="1"/>
  <c r="L354" i="1"/>
  <c r="L355" i="1" a="1"/>
  <c r="L355" i="1" s="1"/>
  <c r="L356" i="1" a="1"/>
  <c r="L356" i="1" s="1"/>
  <c r="L357" i="1" a="1"/>
  <c r="L357" i="1" s="1"/>
  <c r="L358" i="1" a="1"/>
  <c r="L358" i="1"/>
  <c r="L359" i="1" a="1"/>
  <c r="L359" i="1"/>
  <c r="L360" i="1" a="1"/>
  <c r="L360" i="1"/>
  <c r="L361" i="1" a="1"/>
  <c r="L361" i="1"/>
  <c r="L362" i="1" a="1"/>
  <c r="L362" i="1" s="1"/>
  <c r="L363" i="1" a="1"/>
  <c r="L363" i="1" s="1"/>
  <c r="L364" i="1" a="1"/>
  <c r="L364" i="1" s="1"/>
  <c r="L365" i="1" a="1"/>
  <c r="L365" i="1"/>
  <c r="L366" i="1" a="1"/>
  <c r="L366" i="1"/>
  <c r="L367" i="1" a="1"/>
  <c r="L367" i="1"/>
  <c r="L368" i="1" a="1"/>
  <c r="L368" i="1"/>
  <c r="L369" i="1" a="1"/>
  <c r="L369" i="1" s="1"/>
  <c r="L370" i="1" a="1"/>
  <c r="L370" i="1" s="1"/>
  <c r="L371" i="1" a="1"/>
  <c r="L371" i="1"/>
  <c r="L372" i="1" a="1"/>
  <c r="L372" i="1"/>
  <c r="L373" i="1" a="1"/>
  <c r="L373" i="1"/>
  <c r="L374" i="1" a="1"/>
  <c r="L374" i="1"/>
  <c r="L375" i="1" a="1"/>
  <c r="L375" i="1" s="1"/>
  <c r="L376" i="1" a="1"/>
  <c r="L376" i="1" s="1"/>
  <c r="L377" i="1" a="1"/>
  <c r="L377" i="1" s="1"/>
  <c r="L378" i="1" a="1"/>
  <c r="L378" i="1"/>
  <c r="L379" i="1" a="1"/>
  <c r="L379" i="1"/>
  <c r="L380" i="1" a="1"/>
  <c r="L380" i="1"/>
  <c r="L381" i="1" a="1"/>
  <c r="L381" i="1" s="1"/>
  <c r="L382" i="1" a="1"/>
  <c r="L382" i="1"/>
  <c r="L383" i="1" a="1"/>
  <c r="L383" i="1" s="1"/>
  <c r="L384" i="1" a="1"/>
  <c r="L384" i="1"/>
  <c r="L385" i="1" a="1"/>
  <c r="L385" i="1"/>
  <c r="L386" i="1" a="1"/>
  <c r="L386" i="1"/>
  <c r="L387" i="1" a="1"/>
  <c r="L387" i="1" s="1"/>
  <c r="L388" i="1" a="1"/>
  <c r="L388" i="1"/>
  <c r="L389" i="1" a="1"/>
  <c r="L389" i="1" s="1"/>
  <c r="L390" i="1" a="1"/>
  <c r="L390" i="1" s="1"/>
  <c r="L391" i="1" a="1"/>
  <c r="L391" i="1"/>
  <c r="L392" i="1" a="1"/>
  <c r="L392" i="1" s="1"/>
  <c r="L393" i="1" a="1"/>
  <c r="L393" i="1" s="1"/>
  <c r="L394" i="1" a="1"/>
  <c r="L394" i="1"/>
  <c r="L395" i="1" a="1"/>
  <c r="L395" i="1"/>
  <c r="L396" i="1" a="1"/>
  <c r="L396" i="1" s="1"/>
  <c r="L397" i="1" a="1"/>
  <c r="L397" i="1"/>
  <c r="L398" i="1" a="1"/>
  <c r="L398" i="1"/>
  <c r="L399" i="1" a="1"/>
  <c r="L399" i="1" s="1"/>
  <c r="L400" i="1" a="1"/>
  <c r="L400" i="1"/>
  <c r="L401" i="1" a="1"/>
  <c r="L401" i="1"/>
  <c r="L402" i="1" a="1"/>
  <c r="L402" i="1" s="1"/>
  <c r="L403" i="1" a="1"/>
  <c r="L403" i="1" s="1"/>
  <c r="L404" i="1" a="1"/>
  <c r="L404" i="1"/>
  <c r="L405" i="1" a="1"/>
  <c r="L405" i="1" s="1"/>
  <c r="L406" i="1" a="1"/>
  <c r="L406" i="1"/>
  <c r="L407" i="1" a="1"/>
  <c r="L407" i="1" s="1"/>
  <c r="L408" i="1" a="1"/>
  <c r="L408" i="1"/>
  <c r="L409" i="1" a="1"/>
  <c r="L409" i="1"/>
  <c r="L410" i="1" a="1"/>
  <c r="L410" i="1"/>
  <c r="L411" i="1" a="1"/>
  <c r="L411" i="1" s="1"/>
  <c r="L412" i="1" a="1"/>
  <c r="L412" i="1"/>
  <c r="L413" i="1" a="1"/>
  <c r="L413" i="1" s="1"/>
  <c r="L414" i="1" a="1"/>
  <c r="L414" i="1"/>
  <c r="L415" i="1" a="1"/>
  <c r="L415" i="1" s="1"/>
  <c r="L416" i="1" a="1"/>
  <c r="L416" i="1" s="1"/>
  <c r="L417" i="1" a="1"/>
  <c r="L417" i="1" s="1"/>
  <c r="L418" i="1" a="1"/>
  <c r="L418" i="1"/>
  <c r="L419" i="1" a="1"/>
  <c r="L419" i="1"/>
  <c r="L420" i="1" a="1"/>
  <c r="L420" i="1"/>
  <c r="L421" i="1" a="1"/>
  <c r="L421" i="1" s="1"/>
  <c r="L422" i="1" a="1"/>
  <c r="L422" i="1" s="1"/>
  <c r="L423" i="1" a="1"/>
  <c r="L423" i="1" s="1"/>
  <c r="L424" i="1" a="1"/>
  <c r="L424" i="1"/>
  <c r="L425" i="1" a="1"/>
  <c r="L425" i="1"/>
  <c r="L426" i="1" a="1"/>
  <c r="L426" i="1"/>
  <c r="L427" i="1" a="1"/>
  <c r="L427" i="1"/>
  <c r="L428" i="1" a="1"/>
  <c r="L428" i="1" s="1"/>
  <c r="L429" i="1" a="1"/>
  <c r="L429" i="1" s="1"/>
  <c r="L430" i="1" a="1"/>
  <c r="L430" i="1"/>
  <c r="L431" i="1" a="1"/>
  <c r="L431" i="1"/>
  <c r="L432" i="1" a="1"/>
  <c r="L432" i="1"/>
  <c r="L433" i="1" a="1"/>
  <c r="L433" i="1"/>
  <c r="L434" i="1" a="1"/>
  <c r="L434" i="1"/>
  <c r="L435" i="1" a="1"/>
  <c r="L435" i="1" s="1"/>
  <c r="L436" i="1" a="1"/>
  <c r="L436" i="1" s="1"/>
  <c r="L437" i="1" a="1"/>
  <c r="L437" i="1"/>
  <c r="L438" i="1" a="1"/>
  <c r="L438" i="1"/>
  <c r="L439" i="1" a="1"/>
  <c r="L439" i="1"/>
  <c r="L440" i="1" a="1"/>
  <c r="L440" i="1"/>
  <c r="L441" i="1" a="1"/>
  <c r="L441" i="1" s="1"/>
  <c r="L442" i="1" a="1"/>
  <c r="L442" i="1" s="1"/>
  <c r="L443" i="1" a="1"/>
  <c r="L443" i="1"/>
  <c r="L444" i="1" a="1"/>
  <c r="L444" i="1"/>
  <c r="L445" i="1" a="1"/>
  <c r="L445" i="1"/>
  <c r="L446" i="1" a="1"/>
  <c r="L446" i="1"/>
  <c r="L447" i="1" a="1"/>
  <c r="L447" i="1" s="1"/>
  <c r="L448" i="1" a="1"/>
  <c r="L448" i="1" s="1"/>
  <c r="L449" i="1" a="1"/>
  <c r="L449" i="1" s="1"/>
  <c r="L450" i="1" a="1"/>
  <c r="L450" i="1" s="1"/>
  <c r="L451" i="1" a="1"/>
  <c r="L451" i="1"/>
  <c r="L452" i="1" a="1"/>
  <c r="L452" i="1"/>
  <c r="L453" i="1" a="1"/>
  <c r="L453" i="1" s="1"/>
  <c r="L454" i="1" a="1"/>
  <c r="L454" i="1"/>
  <c r="L455" i="1" a="1"/>
  <c r="L455" i="1" s="1"/>
  <c r="L456" i="1" a="1"/>
  <c r="L456" i="1"/>
  <c r="L457" i="1" a="1"/>
  <c r="L457" i="1" s="1"/>
  <c r="L458" i="1" a="1"/>
  <c r="L458" i="1"/>
  <c r="L459" i="1" a="1"/>
  <c r="L459" i="1" s="1"/>
  <c r="L460" i="1" a="1"/>
  <c r="L460" i="1"/>
  <c r="L461" i="1" a="1"/>
  <c r="L461" i="1" s="1"/>
  <c r="L462" i="1" a="1"/>
  <c r="L462" i="1" s="1"/>
  <c r="L463" i="1" a="1"/>
  <c r="L463" i="1"/>
  <c r="L464" i="1" a="1"/>
  <c r="L464" i="1"/>
  <c r="L465" i="1" a="1"/>
  <c r="L465" i="1" s="1"/>
  <c r="L466" i="1" a="1"/>
  <c r="L466" i="1"/>
  <c r="L467" i="1" a="1"/>
  <c r="L467" i="1"/>
  <c r="L468" i="1" a="1"/>
  <c r="L468" i="1" s="1"/>
  <c r="L469" i="1" a="1"/>
  <c r="L469" i="1"/>
  <c r="L470" i="1" a="1"/>
  <c r="L470" i="1"/>
  <c r="L471" i="1" a="1"/>
  <c r="L471" i="1" s="1"/>
  <c r="L472" i="1" a="1"/>
  <c r="L472" i="1" s="1"/>
  <c r="L473" i="1" a="1"/>
  <c r="L473" i="1"/>
  <c r="L474" i="1" a="1"/>
  <c r="L474" i="1" s="1"/>
  <c r="L475" i="1" a="1"/>
  <c r="L475" i="1" s="1"/>
  <c r="L476" i="1" a="1"/>
  <c r="L476" i="1"/>
  <c r="L477" i="1" a="1"/>
  <c r="L477" i="1" s="1"/>
  <c r="L478" i="1" a="1"/>
  <c r="L478" i="1"/>
  <c r="L479" i="1" a="1"/>
  <c r="L479" i="1"/>
  <c r="L480" i="1" a="1"/>
  <c r="L480" i="1" s="1"/>
  <c r="L481" i="1" a="1"/>
  <c r="L481" i="1" s="1"/>
  <c r="L482" i="1" a="1"/>
  <c r="L482" i="1"/>
  <c r="L483" i="1" a="1"/>
  <c r="L483" i="1" s="1"/>
  <c r="L484" i="1" a="1"/>
  <c r="L484" i="1"/>
  <c r="L485" i="1" a="1"/>
  <c r="L485" i="1"/>
  <c r="L486" i="1" a="1"/>
  <c r="L486" i="1"/>
  <c r="L487" i="1" a="1"/>
  <c r="L487" i="1" s="1"/>
  <c r="L488" i="1" a="1"/>
  <c r="L488" i="1" s="1"/>
  <c r="L489" i="1" a="1"/>
  <c r="L489" i="1" s="1"/>
  <c r="L490" i="1" a="1"/>
  <c r="L490" i="1"/>
  <c r="L491" i="1" a="1"/>
  <c r="L491" i="1"/>
  <c r="L492" i="1" a="1"/>
  <c r="L492" i="1"/>
  <c r="L493" i="1" a="1"/>
  <c r="L493" i="1"/>
  <c r="L494" i="1" a="1"/>
  <c r="L494" i="1" s="1"/>
  <c r="L495" i="1" a="1"/>
  <c r="L495" i="1" s="1"/>
  <c r="L496" i="1" a="1"/>
  <c r="L496" i="1"/>
  <c r="L497" i="1" a="1"/>
  <c r="L497" i="1"/>
  <c r="L498" i="1" a="1"/>
  <c r="L498" i="1"/>
  <c r="L499" i="1" a="1"/>
  <c r="L499" i="1"/>
  <c r="L500" i="1" a="1"/>
  <c r="L500" i="1" s="1"/>
  <c r="L501" i="1" a="1"/>
  <c r="L501" i="1" s="1"/>
  <c r="L502" i="1" a="1"/>
  <c r="L502" i="1"/>
  <c r="L503" i="1" a="1"/>
  <c r="L503" i="1"/>
  <c r="L504" i="1" a="1"/>
  <c r="L504" i="1"/>
  <c r="L505" i="1" a="1"/>
  <c r="L505" i="1"/>
  <c r="L506" i="1" a="1"/>
  <c r="L506" i="1"/>
  <c r="L507" i="1" a="1"/>
  <c r="L507" i="1" s="1"/>
  <c r="L508" i="1" a="1"/>
  <c r="L508" i="1" s="1"/>
  <c r="L509" i="1" a="1"/>
  <c r="L509" i="1" s="1"/>
  <c r="L510" i="1" a="1"/>
  <c r="L510" i="1"/>
  <c r="L511" i="1" a="1"/>
  <c r="L511" i="1"/>
  <c r="L512" i="1" a="1"/>
  <c r="L512" i="1"/>
  <c r="L513" i="1" a="1"/>
  <c r="L513" i="1" s="1"/>
  <c r="L514" i="1" a="1"/>
  <c r="L514" i="1" s="1"/>
  <c r="L515" i="1" a="1"/>
  <c r="L515" i="1"/>
  <c r="L516" i="1" a="1"/>
  <c r="L516" i="1" s="1"/>
  <c r="L517" i="1" a="1"/>
  <c r="L517" i="1" s="1"/>
  <c r="L518" i="1" a="1"/>
  <c r="L518" i="1"/>
  <c r="L519" i="1" a="1"/>
  <c r="L519" i="1" s="1"/>
  <c r="L520" i="1" a="1"/>
  <c r="L520" i="1" s="1"/>
  <c r="L521" i="1" a="1"/>
  <c r="L521" i="1"/>
  <c r="L522" i="1" a="1"/>
  <c r="L522" i="1"/>
  <c r="L523" i="1" a="1"/>
  <c r="L523" i="1" s="1"/>
  <c r="L524" i="1" a="1"/>
  <c r="L524" i="1" s="1"/>
  <c r="L525" i="1" a="1"/>
  <c r="L525" i="1" s="1"/>
  <c r="L526" i="1" a="1"/>
  <c r="L526" i="1" s="1"/>
  <c r="L527" i="1" a="1"/>
  <c r="L527" i="1"/>
  <c r="L528" i="1" a="1"/>
  <c r="L528" i="1"/>
  <c r="L529" i="1" a="1"/>
  <c r="L529" i="1"/>
  <c r="L530" i="1" a="1"/>
  <c r="L530" i="1" s="1"/>
  <c r="L531" i="1" a="1"/>
  <c r="L531" i="1" s="1"/>
  <c r="L532" i="1" a="1"/>
  <c r="L532" i="1" s="1"/>
  <c r="L533" i="1" a="1"/>
  <c r="L533" i="1"/>
  <c r="L534" i="1" a="1"/>
  <c r="L534" i="1"/>
  <c r="L535" i="1" a="1"/>
  <c r="L535" i="1"/>
  <c r="L536" i="1" a="1"/>
  <c r="L536" i="1"/>
  <c r="L537" i="1" a="1"/>
  <c r="L537" i="1" s="1"/>
  <c r="L538" i="1" a="1"/>
  <c r="L538" i="1" s="1"/>
  <c r="L539" i="1" a="1"/>
  <c r="L539" i="1" s="1"/>
  <c r="L540" i="1" a="1"/>
  <c r="L540" i="1"/>
  <c r="L541" i="1" a="1"/>
  <c r="L541" i="1"/>
  <c r="L542" i="1" a="1"/>
  <c r="L542" i="1"/>
  <c r="L543" i="1" a="1"/>
  <c r="L543" i="1" s="1"/>
  <c r="L544" i="1" a="1"/>
  <c r="L544" i="1" s="1"/>
  <c r="L545" i="1" a="1"/>
  <c r="L545" i="1" s="1"/>
  <c r="L546" i="1" a="1"/>
  <c r="L546" i="1" s="1"/>
  <c r="L547" i="1" a="1"/>
  <c r="L547" i="1"/>
  <c r="L548" i="1" a="1"/>
  <c r="L548" i="1"/>
  <c r="L549" i="1" a="1"/>
  <c r="L549" i="1" s="1"/>
  <c r="L550" i="1" a="1"/>
  <c r="L550" i="1" s="1"/>
  <c r="L551" i="1" a="1"/>
  <c r="L551" i="1"/>
  <c r="L552" i="1" a="1"/>
  <c r="L552" i="1" s="1"/>
  <c r="L553" i="1" a="1"/>
  <c r="L553" i="1" s="1"/>
  <c r="L554" i="1" a="1"/>
  <c r="L554" i="1"/>
  <c r="L555" i="1" a="1"/>
  <c r="L555" i="1" s="1"/>
  <c r="L556" i="1" a="1"/>
  <c r="L556" i="1" s="1"/>
  <c r="L557" i="1" a="1"/>
  <c r="L557" i="1"/>
  <c r="L558" i="1" a="1"/>
  <c r="L558" i="1"/>
  <c r="L559" i="1" a="1"/>
  <c r="L559" i="1" s="1"/>
  <c r="L560" i="1" a="1"/>
  <c r="L560" i="1" s="1"/>
  <c r="L561" i="1" a="1"/>
  <c r="L561" i="1" s="1"/>
  <c r="L562" i="1" a="1"/>
  <c r="L562" i="1" s="1"/>
  <c r="L563" i="1" a="1"/>
  <c r="L563" i="1"/>
  <c r="L564" i="1" a="1"/>
  <c r="L564" i="1"/>
  <c r="L565" i="1" a="1"/>
  <c r="L565" i="1"/>
  <c r="L566" i="1" a="1"/>
  <c r="L566" i="1" s="1"/>
  <c r="L567" i="1" a="1"/>
  <c r="L567" i="1" s="1"/>
  <c r="L568" i="1" a="1"/>
  <c r="L568" i="1" s="1"/>
  <c r="L569" i="1" a="1"/>
  <c r="L569" i="1"/>
  <c r="L570" i="1" a="1"/>
  <c r="L570" i="1"/>
  <c r="L571" i="1" a="1"/>
  <c r="L571" i="1"/>
  <c r="L572" i="1" a="1"/>
  <c r="L572" i="1"/>
  <c r="L573" i="1" a="1"/>
  <c r="L573" i="1" s="1"/>
  <c r="L574" i="1" a="1"/>
  <c r="L574" i="1" s="1"/>
  <c r="L575" i="1" a="1"/>
  <c r="L575" i="1" s="1"/>
  <c r="L576" i="1" a="1"/>
  <c r="L576" i="1"/>
  <c r="L577" i="1" a="1"/>
  <c r="L577" i="1"/>
  <c r="L578" i="1" a="1"/>
  <c r="L578" i="1"/>
  <c r="L579" i="1" a="1"/>
  <c r="L579" i="1" s="1"/>
  <c r="L580" i="1" a="1"/>
  <c r="L580" i="1" s="1"/>
  <c r="L581" i="1" a="1"/>
  <c r="L581" i="1" s="1"/>
  <c r="L582" i="1" a="1"/>
  <c r="L582" i="1" s="1"/>
  <c r="L583" i="1" a="1"/>
  <c r="L583" i="1"/>
  <c r="L584" i="1" a="1"/>
  <c r="L584" i="1"/>
  <c r="L585" i="1" a="1"/>
  <c r="L585" i="1" s="1"/>
  <c r="L586" i="1" a="1"/>
  <c r="L586" i="1" s="1"/>
  <c r="L587" i="1" a="1"/>
  <c r="L587" i="1"/>
  <c r="L588" i="1" a="1"/>
  <c r="L588" i="1" s="1"/>
  <c r="L589" i="1" a="1"/>
  <c r="L589" i="1" s="1"/>
  <c r="L590" i="1" a="1"/>
  <c r="L590" i="1"/>
  <c r="L591" i="1" a="1"/>
  <c r="L591" i="1" s="1"/>
  <c r="L592" i="1" a="1"/>
  <c r="L592" i="1" s="1"/>
  <c r="L593" i="1" a="1"/>
  <c r="L593" i="1"/>
  <c r="L594" i="1" a="1"/>
  <c r="L594" i="1"/>
  <c r="L595" i="1" a="1"/>
  <c r="L595" i="1" s="1"/>
  <c r="L596" i="1" a="1"/>
  <c r="L596" i="1" s="1"/>
  <c r="L597" i="1" a="1"/>
  <c r="L597" i="1" s="1"/>
  <c r="L598" i="1" a="1"/>
  <c r="L598" i="1" s="1"/>
  <c r="L599" i="1" a="1"/>
  <c r="L599" i="1"/>
  <c r="L600" i="1" a="1"/>
  <c r="L600" i="1"/>
  <c r="L601" i="1" a="1"/>
  <c r="L601" i="1"/>
  <c r="L602" i="1" a="1"/>
  <c r="L602" i="1" s="1"/>
  <c r="L603" i="1" a="1"/>
  <c r="L603" i="1" s="1"/>
  <c r="L604" i="1" a="1"/>
  <c r="L604" i="1" s="1"/>
  <c r="L605" i="1" a="1"/>
  <c r="L605" i="1"/>
  <c r="L606" i="1" a="1"/>
  <c r="L606" i="1"/>
  <c r="L607" i="1" a="1"/>
  <c r="L607" i="1"/>
  <c r="L608" i="1" a="1"/>
  <c r="L608" i="1"/>
  <c r="L609" i="1" a="1"/>
  <c r="L609" i="1" s="1"/>
  <c r="L610" i="1" a="1"/>
  <c r="L610" i="1" s="1"/>
  <c r="L611" i="1" a="1"/>
  <c r="L611" i="1" s="1"/>
  <c r="L612" i="1" a="1"/>
  <c r="L612" i="1"/>
  <c r="L613" i="1" a="1"/>
  <c r="L613" i="1"/>
  <c r="L614" i="1" a="1"/>
  <c r="L614" i="1"/>
  <c r="L615" i="1" a="1"/>
  <c r="L615" i="1" s="1"/>
  <c r="L616" i="1" a="1"/>
  <c r="L616" i="1" s="1"/>
  <c r="L617" i="1" a="1"/>
  <c r="L617" i="1" s="1"/>
  <c r="L618" i="1" a="1"/>
  <c r="L618" i="1" s="1"/>
  <c r="L619" i="1" a="1"/>
  <c r="L619" i="1"/>
  <c r="L620" i="1" a="1"/>
  <c r="L620" i="1"/>
  <c r="L621" i="1" a="1"/>
  <c r="L621" i="1" s="1"/>
  <c r="L622" i="1" a="1"/>
  <c r="L622" i="1" s="1"/>
  <c r="L623" i="1" a="1"/>
  <c r="L623" i="1"/>
  <c r="L624" i="1" a="1"/>
  <c r="L624" i="1" s="1"/>
  <c r="L625" i="1" a="1"/>
  <c r="L625" i="1" s="1"/>
  <c r="L626" i="1" a="1"/>
  <c r="L626" i="1"/>
  <c r="L627" i="1" a="1"/>
  <c r="L627" i="1" s="1"/>
  <c r="L628" i="1" a="1"/>
  <c r="L628" i="1" s="1"/>
  <c r="L629" i="1" a="1"/>
  <c r="L629" i="1"/>
  <c r="L630" i="1" a="1"/>
  <c r="L630" i="1"/>
  <c r="L631" i="1" a="1"/>
  <c r="L631" i="1" s="1"/>
  <c r="L632" i="1" a="1"/>
  <c r="L632" i="1" s="1"/>
  <c r="L633" i="1" a="1"/>
  <c r="L633" i="1" s="1"/>
  <c r="L634" i="1" a="1"/>
  <c r="L634" i="1" s="1"/>
  <c r="L635" i="1" a="1"/>
  <c r="L635" i="1"/>
  <c r="L636" i="1" a="1"/>
  <c r="L636" i="1"/>
  <c r="L637" i="1" a="1"/>
  <c r="L637" i="1"/>
  <c r="L638" i="1" a="1"/>
  <c r="L638" i="1" s="1"/>
  <c r="L639" i="1" a="1"/>
  <c r="L639" i="1" s="1"/>
  <c r="L640" i="1" a="1"/>
  <c r="L640" i="1" s="1"/>
  <c r="L641" i="1" a="1"/>
  <c r="L641" i="1"/>
  <c r="L642" i="1" a="1"/>
  <c r="L642" i="1"/>
  <c r="L643" i="1" a="1"/>
  <c r="L643" i="1"/>
  <c r="L644" i="1" a="1"/>
  <c r="L644" i="1"/>
  <c r="L645" i="1" a="1"/>
  <c r="L645" i="1" s="1"/>
  <c r="L646" i="1" a="1"/>
  <c r="L646" i="1" s="1"/>
  <c r="L647" i="1" a="1"/>
  <c r="L647" i="1" s="1"/>
  <c r="L648" i="1" a="1"/>
  <c r="L648" i="1"/>
  <c r="L649" i="1" a="1"/>
  <c r="L649" i="1"/>
  <c r="L650" i="1" a="1"/>
  <c r="L650" i="1"/>
  <c r="L651" i="1" a="1"/>
  <c r="L651" i="1" s="1"/>
  <c r="L652" i="1" a="1"/>
  <c r="L652" i="1" s="1"/>
  <c r="L653" i="1" a="1"/>
  <c r="L653" i="1" s="1"/>
  <c r="L654" i="1" a="1"/>
  <c r="L654" i="1" s="1"/>
  <c r="L655" i="1" a="1"/>
  <c r="L655" i="1"/>
  <c r="L656" i="1" a="1"/>
  <c r="L656" i="1"/>
  <c r="L657" i="1" a="1"/>
  <c r="L657" i="1" s="1"/>
  <c r="L658" i="1" a="1"/>
  <c r="L658" i="1" s="1"/>
  <c r="L659" i="1" a="1"/>
  <c r="L659" i="1"/>
  <c r="L660" i="1" a="1"/>
  <c r="L660" i="1" s="1"/>
  <c r="L661" i="1" a="1"/>
  <c r="L661" i="1" s="1"/>
  <c r="L662" i="1" a="1"/>
  <c r="L662" i="1"/>
  <c r="L663" i="1" a="1"/>
  <c r="L663" i="1" s="1"/>
  <c r="L664" i="1" a="1"/>
  <c r="L664" i="1" s="1"/>
  <c r="L665" i="1" a="1"/>
  <c r="L665" i="1"/>
  <c r="L666" i="1" a="1"/>
  <c r="L666" i="1"/>
  <c r="L667" i="1" a="1"/>
  <c r="L667" i="1" s="1"/>
  <c r="L668" i="1" a="1"/>
  <c r="L668" i="1" s="1"/>
  <c r="L669" i="1" a="1"/>
  <c r="L669" i="1" s="1"/>
  <c r="L670" i="1" a="1"/>
  <c r="L670" i="1" s="1"/>
  <c r="L671" i="1" a="1"/>
  <c r="L671" i="1"/>
  <c r="L672" i="1" a="1"/>
  <c r="L672" i="1"/>
  <c r="L673" i="1" a="1"/>
  <c r="L673" i="1"/>
  <c r="L674" i="1" a="1"/>
  <c r="L674" i="1" s="1"/>
  <c r="L675" i="1" a="1"/>
  <c r="L675" i="1" s="1"/>
  <c r="L676" i="1" a="1"/>
  <c r="L676" i="1" s="1"/>
  <c r="L677" i="1" a="1"/>
  <c r="L677" i="1"/>
  <c r="L678" i="1" a="1"/>
  <c r="L678" i="1"/>
  <c r="L679" i="1" a="1"/>
  <c r="L679" i="1"/>
  <c r="L680" i="1" a="1"/>
  <c r="L680" i="1"/>
  <c r="L681" i="1" a="1"/>
  <c r="L681" i="1" s="1"/>
  <c r="L682" i="1" a="1"/>
  <c r="L682" i="1" s="1"/>
  <c r="L683" i="1" a="1"/>
  <c r="L683" i="1" s="1"/>
  <c r="L684" i="1" a="1"/>
  <c r="L684" i="1"/>
  <c r="L685" i="1" a="1"/>
  <c r="L685" i="1"/>
  <c r="L686" i="1" a="1"/>
  <c r="L686" i="1"/>
  <c r="L687" i="1" a="1"/>
  <c r="L687" i="1" s="1"/>
  <c r="L688" i="1" a="1"/>
  <c r="L688" i="1" s="1"/>
  <c r="L689" i="1" a="1"/>
  <c r="L689" i="1" s="1"/>
  <c r="L690" i="1" a="1"/>
  <c r="L690" i="1" s="1"/>
  <c r="L691" i="1" a="1"/>
  <c r="L691" i="1"/>
  <c r="L692" i="1" a="1"/>
  <c r="L692" i="1"/>
  <c r="L693" i="1" a="1"/>
  <c r="L693" i="1" s="1"/>
  <c r="L694" i="1" a="1"/>
  <c r="L694" i="1" s="1"/>
  <c r="L695" i="1" a="1"/>
  <c r="L695" i="1"/>
  <c r="L696" i="1" a="1"/>
  <c r="L696" i="1" s="1"/>
  <c r="L697" i="1" a="1"/>
  <c r="L697" i="1" s="1"/>
  <c r="L698" i="1" a="1"/>
  <c r="L698" i="1"/>
  <c r="L699" i="1" a="1"/>
  <c r="L699" i="1" s="1"/>
  <c r="L700" i="1" a="1"/>
  <c r="L700" i="1" s="1"/>
  <c r="L701" i="1" a="1"/>
  <c r="L701" i="1"/>
  <c r="L702" i="1" a="1"/>
  <c r="L702" i="1"/>
  <c r="L703" i="1" a="1"/>
  <c r="L703" i="1" s="1"/>
  <c r="L704" i="1" a="1"/>
  <c r="L704" i="1" s="1"/>
  <c r="L705" i="1" a="1"/>
  <c r="L705" i="1" s="1"/>
  <c r="L706" i="1" a="1"/>
  <c r="L706" i="1" s="1"/>
  <c r="L707" i="1" a="1"/>
  <c r="L707" i="1"/>
  <c r="L708" i="1" a="1"/>
  <c r="L708" i="1"/>
  <c r="L709" i="1" a="1"/>
  <c r="L709" i="1"/>
  <c r="L710" i="1" a="1"/>
  <c r="L710" i="1" s="1"/>
  <c r="L711" i="1" a="1"/>
  <c r="L711" i="1" s="1"/>
  <c r="L712" i="1" a="1"/>
  <c r="L712" i="1" s="1"/>
  <c r="L713" i="1" a="1"/>
  <c r="L713" i="1"/>
  <c r="L714" i="1" a="1"/>
  <c r="L714" i="1"/>
  <c r="L715" i="1" a="1"/>
  <c r="L715" i="1"/>
  <c r="L716" i="1" a="1"/>
  <c r="L716" i="1"/>
  <c r="L717" i="1" a="1"/>
  <c r="L717" i="1" s="1"/>
  <c r="L718" i="1" a="1"/>
  <c r="L718" i="1" s="1"/>
  <c r="L719" i="1" a="1"/>
  <c r="L719" i="1" s="1"/>
  <c r="L720" i="1" a="1"/>
  <c r="L720" i="1"/>
  <c r="L721" i="1" a="1"/>
  <c r="L721" i="1"/>
  <c r="L722" i="1" a="1"/>
  <c r="L722" i="1"/>
  <c r="L723" i="1" a="1"/>
  <c r="L723" i="1" s="1"/>
  <c r="L724" i="1" a="1"/>
  <c r="L724" i="1" s="1"/>
  <c r="L725" i="1" a="1"/>
  <c r="L725" i="1" s="1"/>
  <c r="L726" i="1" a="1"/>
  <c r="L726" i="1" s="1"/>
  <c r="L727" i="1" a="1"/>
  <c r="L727" i="1"/>
  <c r="L728" i="1" a="1"/>
  <c r="L728" i="1"/>
  <c r="L729" i="1" a="1"/>
  <c r="L729" i="1" s="1"/>
  <c r="L730" i="1" a="1"/>
  <c r="L730" i="1" s="1"/>
  <c r="L731" i="1" a="1"/>
  <c r="L731" i="1"/>
  <c r="L732" i="1" a="1"/>
  <c r="L732" i="1" s="1"/>
  <c r="L733" i="1" a="1"/>
  <c r="L733" i="1" s="1"/>
  <c r="L734" i="1" a="1"/>
  <c r="L734" i="1"/>
  <c r="L735" i="1" a="1"/>
  <c r="L735" i="1" s="1"/>
  <c r="L736" i="1" a="1"/>
  <c r="L736" i="1" s="1"/>
  <c r="L737" i="1" a="1"/>
  <c r="L737" i="1"/>
  <c r="L738" i="1" a="1"/>
  <c r="L738" i="1"/>
  <c r="L739" i="1" a="1"/>
  <c r="L739" i="1" s="1"/>
  <c r="L740" i="1" a="1"/>
  <c r="L740" i="1" s="1"/>
  <c r="L741" i="1" a="1"/>
  <c r="L741" i="1" s="1"/>
  <c r="L742" i="1" a="1"/>
  <c r="L742" i="1" s="1"/>
  <c r="L743" i="1" a="1"/>
  <c r="L743" i="1"/>
  <c r="L744" i="1" a="1"/>
  <c r="L744" i="1"/>
  <c r="L745" i="1" a="1"/>
  <c r="L745" i="1"/>
  <c r="L746" i="1" a="1"/>
  <c r="L746" i="1" s="1"/>
  <c r="L747" i="1" a="1"/>
  <c r="L747" i="1" s="1"/>
  <c r="L748" i="1" a="1"/>
  <c r="L748" i="1" s="1"/>
  <c r="L749" i="1" a="1"/>
  <c r="L749" i="1"/>
  <c r="L750" i="1" a="1"/>
  <c r="L750" i="1"/>
  <c r="L751" i="1" a="1"/>
  <c r="L751" i="1"/>
  <c r="L752" i="1" a="1"/>
  <c r="L752" i="1"/>
  <c r="L753" i="1" a="1"/>
  <c r="L753" i="1" s="1"/>
  <c r="L754" i="1" a="1"/>
  <c r="L754" i="1" s="1"/>
  <c r="L755" i="1" a="1"/>
  <c r="L755" i="1" s="1"/>
  <c r="L756" i="1" a="1"/>
  <c r="L756" i="1"/>
  <c r="L757" i="1" a="1"/>
  <c r="L757" i="1"/>
  <c r="L758" i="1" a="1"/>
  <c r="L758" i="1"/>
  <c r="L759" i="1" a="1"/>
  <c r="L759" i="1" s="1"/>
  <c r="L760" i="1" a="1"/>
  <c r="L760" i="1" s="1"/>
  <c r="L761" i="1" a="1"/>
  <c r="L761" i="1" s="1"/>
  <c r="L762" i="1" a="1"/>
  <c r="L762" i="1" s="1"/>
  <c r="L763" i="1" a="1"/>
  <c r="L763" i="1"/>
  <c r="L764" i="1" a="1"/>
  <c r="L764" i="1"/>
  <c r="L765" i="1" a="1"/>
  <c r="L765" i="1" s="1"/>
  <c r="L766" i="1" a="1"/>
  <c r="L766" i="1" s="1"/>
  <c r="L767" i="1" a="1"/>
  <c r="L767" i="1"/>
  <c r="L768" i="1" a="1"/>
  <c r="L768" i="1" s="1"/>
  <c r="L769" i="1" a="1"/>
  <c r="L769" i="1" s="1"/>
  <c r="L770" i="1" a="1"/>
  <c r="L770" i="1"/>
  <c r="L771" i="1" a="1"/>
  <c r="L771" i="1" s="1"/>
  <c r="L772" i="1" a="1"/>
  <c r="L772" i="1" s="1"/>
  <c r="L773" i="1" a="1"/>
  <c r="L773" i="1"/>
  <c r="L774" i="1" a="1"/>
  <c r="L774" i="1"/>
  <c r="L775" i="1" a="1"/>
  <c r="L775" i="1" s="1"/>
  <c r="L776" i="1" a="1"/>
  <c r="L776" i="1" s="1"/>
  <c r="L777" i="1" a="1"/>
  <c r="L777" i="1" s="1"/>
  <c r="L778" i="1" a="1"/>
  <c r="L778" i="1" s="1"/>
  <c r="L779" i="1" a="1"/>
  <c r="L779" i="1"/>
  <c r="L780" i="1" a="1"/>
  <c r="L780" i="1"/>
  <c r="L781" i="1" a="1"/>
  <c r="L781" i="1"/>
  <c r="L782" i="1" a="1"/>
  <c r="L782" i="1" s="1"/>
  <c r="L783" i="1" a="1"/>
  <c r="L783" i="1" s="1"/>
  <c r="L784" i="1" a="1"/>
  <c r="L784" i="1" s="1"/>
  <c r="L785" i="1" a="1"/>
  <c r="L785" i="1"/>
  <c r="L786" i="1" a="1"/>
  <c r="L786" i="1"/>
  <c r="L787" i="1" a="1"/>
  <c r="L787" i="1"/>
  <c r="L788" i="1" a="1"/>
  <c r="L788" i="1"/>
  <c r="L789" i="1" a="1"/>
  <c r="L789" i="1" s="1"/>
  <c r="L790" i="1" a="1"/>
  <c r="L790" i="1" s="1"/>
  <c r="L791" i="1" a="1"/>
  <c r="L791" i="1" s="1"/>
  <c r="L792" i="1" a="1"/>
  <c r="L792" i="1"/>
  <c r="L793" i="1" a="1"/>
  <c r="L793" i="1"/>
  <c r="L794" i="1" a="1"/>
  <c r="L794" i="1"/>
  <c r="L795" i="1" a="1"/>
  <c r="L795" i="1" s="1"/>
  <c r="L796" i="1" a="1"/>
  <c r="L796" i="1" s="1"/>
  <c r="L797" i="1" a="1"/>
  <c r="L797" i="1" s="1"/>
  <c r="L798" i="1" a="1"/>
  <c r="L798" i="1" s="1"/>
  <c r="L799" i="1" a="1"/>
  <c r="L799" i="1"/>
  <c r="L800" i="1" a="1"/>
  <c r="L800" i="1"/>
  <c r="L801" i="1" a="1"/>
  <c r="L801" i="1" s="1"/>
  <c r="L802" i="1" a="1"/>
  <c r="L802" i="1" s="1"/>
  <c r="L803" i="1" a="1"/>
  <c r="L803" i="1"/>
  <c r="L804" i="1" a="1"/>
  <c r="L804" i="1" s="1"/>
  <c r="L805" i="1" a="1"/>
  <c r="L805" i="1" s="1"/>
  <c r="L806" i="1" a="1"/>
  <c r="L806" i="1"/>
  <c r="L807" i="1" a="1"/>
  <c r="L807" i="1" s="1"/>
  <c r="L808" i="1" a="1"/>
  <c r="L808" i="1" s="1"/>
  <c r="L809" i="1" a="1"/>
  <c r="L809" i="1"/>
  <c r="L810" i="1" a="1"/>
  <c r="L810" i="1"/>
  <c r="L811" i="1" a="1"/>
  <c r="L811" i="1" s="1"/>
  <c r="L812" i="1" a="1"/>
  <c r="L812" i="1" s="1"/>
  <c r="L813" i="1" a="1"/>
  <c r="L813" i="1" s="1"/>
  <c r="L814" i="1" a="1"/>
  <c r="L814" i="1" s="1"/>
  <c r="L815" i="1" a="1"/>
  <c r="L815" i="1"/>
  <c r="L816" i="1" a="1"/>
  <c r="L816" i="1"/>
  <c r="L817" i="1" a="1"/>
  <c r="L817" i="1"/>
  <c r="L818" i="1" a="1"/>
  <c r="L818" i="1" s="1"/>
  <c r="L819" i="1" a="1"/>
  <c r="L819" i="1" s="1"/>
  <c r="L820" i="1" a="1"/>
  <c r="L820" i="1" s="1"/>
  <c r="L821" i="1" a="1"/>
  <c r="L821" i="1"/>
  <c r="L822" i="1" a="1"/>
  <c r="L822" i="1"/>
  <c r="L823" i="1" a="1"/>
  <c r="L823" i="1"/>
  <c r="L824" i="1" a="1"/>
  <c r="L824" i="1"/>
  <c r="L825" i="1" a="1"/>
  <c r="L825" i="1"/>
  <c r="L826" i="1" a="1"/>
  <c r="L826" i="1"/>
  <c r="L827" i="1" a="1"/>
  <c r="L827" i="1"/>
  <c r="L828" i="1" a="1"/>
  <c r="L828" i="1"/>
  <c r="L829" i="1" a="1"/>
  <c r="L829" i="1"/>
  <c r="L830" i="1" a="1"/>
  <c r="L830" i="1"/>
  <c r="L831" i="1" a="1"/>
  <c r="L831" i="1"/>
  <c r="L832" i="1" a="1"/>
  <c r="L832" i="1"/>
  <c r="L833" i="1" a="1"/>
  <c r="L833" i="1"/>
  <c r="L834" i="1" a="1"/>
  <c r="L834" i="1"/>
  <c r="L835" i="1" a="1"/>
  <c r="L835" i="1"/>
  <c r="L836" i="1" a="1"/>
  <c r="L836" i="1"/>
  <c r="L837" i="1" a="1"/>
  <c r="L837" i="1"/>
  <c r="L838" i="1" a="1"/>
  <c r="L838" i="1"/>
  <c r="L839" i="1" a="1"/>
  <c r="L839" i="1"/>
  <c r="L840" i="1" a="1"/>
  <c r="L840" i="1"/>
  <c r="L841" i="1" a="1"/>
  <c r="L841" i="1"/>
  <c r="L842" i="1" a="1"/>
  <c r="L842" i="1"/>
  <c r="L843" i="1" a="1"/>
  <c r="L843" i="1"/>
  <c r="L844" i="1" a="1"/>
  <c r="L844" i="1"/>
  <c r="L845" i="1" a="1"/>
  <c r="L845" i="1"/>
  <c r="L846" i="1" a="1"/>
  <c r="L846" i="1"/>
  <c r="L847" i="1" a="1"/>
  <c r="L847" i="1"/>
  <c r="L848" i="1" a="1"/>
  <c r="L848" i="1"/>
  <c r="L849" i="1" a="1"/>
  <c r="L849" i="1"/>
  <c r="L850" i="1" a="1"/>
  <c r="L850" i="1"/>
  <c r="L851" i="1" a="1"/>
  <c r="L851" i="1"/>
  <c r="L852" i="1" a="1"/>
  <c r="L852" i="1"/>
  <c r="L853" i="1" a="1"/>
  <c r="L853" i="1"/>
  <c r="L854" i="1" a="1"/>
  <c r="L854" i="1"/>
  <c r="L855" i="1" a="1"/>
  <c r="L855" i="1"/>
  <c r="L856" i="1" a="1"/>
  <c r="L856" i="1"/>
  <c r="L857" i="1" a="1"/>
  <c r="L857" i="1"/>
  <c r="L858" i="1" a="1"/>
  <c r="L858" i="1"/>
  <c r="L859" i="1" a="1"/>
  <c r="L859" i="1"/>
  <c r="L860" i="1" a="1"/>
  <c r="L860" i="1"/>
  <c r="L861" i="1" a="1"/>
  <c r="L861" i="1"/>
  <c r="L862" i="1" a="1"/>
  <c r="L862" i="1"/>
  <c r="L863" i="1" a="1"/>
  <c r="L863" i="1"/>
  <c r="L864" i="1" a="1"/>
  <c r="L864" i="1"/>
  <c r="L865" i="1" a="1"/>
  <c r="L865" i="1"/>
  <c r="L866" i="1" a="1"/>
  <c r="L866" i="1"/>
  <c r="L867" i="1" a="1"/>
  <c r="L867" i="1"/>
  <c r="L868" i="1" a="1"/>
  <c r="L868" i="1"/>
  <c r="L869" i="1" a="1"/>
  <c r="L869" i="1"/>
  <c r="L870" i="1" a="1"/>
  <c r="L870" i="1"/>
  <c r="L871" i="1" a="1"/>
  <c r="L871" i="1"/>
  <c r="L872" i="1" a="1"/>
  <c r="L872" i="1"/>
  <c r="L873" i="1" a="1"/>
  <c r="L873" i="1"/>
  <c r="L874" i="1" a="1"/>
  <c r="L874" i="1"/>
  <c r="L875" i="1" a="1"/>
  <c r="L875" i="1"/>
  <c r="L876" i="1" a="1"/>
  <c r="L876" i="1"/>
  <c r="L877" i="1" a="1"/>
  <c r="L877" i="1"/>
  <c r="L878" i="1" a="1"/>
  <c r="L878" i="1"/>
  <c r="L879" i="1" a="1"/>
  <c r="L879" i="1"/>
  <c r="L880" i="1" a="1"/>
  <c r="L880" i="1"/>
  <c r="L881" i="1" a="1"/>
  <c r="L881" i="1"/>
  <c r="L882" i="1" a="1"/>
  <c r="L882" i="1"/>
  <c r="L883" i="1" a="1"/>
  <c r="L883" i="1"/>
  <c r="L884" i="1" a="1"/>
  <c r="L884" i="1"/>
  <c r="L885" i="1" a="1"/>
  <c r="L885" i="1"/>
  <c r="L886" i="1" a="1"/>
  <c r="L886" i="1"/>
  <c r="L887" i="1" a="1"/>
  <c r="L887" i="1"/>
  <c r="L888" i="1" a="1"/>
  <c r="L888" i="1"/>
  <c r="L889" i="1" a="1"/>
  <c r="L889" i="1"/>
  <c r="L890" i="1" a="1"/>
  <c r="L890" i="1"/>
  <c r="L891" i="1" a="1"/>
  <c r="L891" i="1"/>
  <c r="L892" i="1" a="1"/>
  <c r="L892" i="1"/>
  <c r="L893" i="1" a="1"/>
  <c r="L893" i="1"/>
  <c r="L894" i="1" a="1"/>
  <c r="L894" i="1"/>
  <c r="L895" i="1" a="1"/>
  <c r="L895" i="1"/>
  <c r="L896" i="1" a="1"/>
  <c r="L896" i="1"/>
  <c r="L897" i="1" a="1"/>
  <c r="L897" i="1"/>
  <c r="L898" i="1" a="1"/>
  <c r="L898" i="1"/>
  <c r="L899" i="1" a="1"/>
  <c r="L899" i="1"/>
  <c r="L900" i="1" a="1"/>
  <c r="L900" i="1"/>
  <c r="L901" i="1" a="1"/>
  <c r="L901" i="1"/>
  <c r="L902" i="1" a="1"/>
  <c r="L902" i="1"/>
  <c r="L903" i="1" a="1"/>
  <c r="L903" i="1"/>
  <c r="L904" i="1" a="1"/>
  <c r="L904" i="1"/>
  <c r="L905" i="1" a="1"/>
  <c r="L905" i="1"/>
  <c r="L906" i="1" a="1"/>
  <c r="L906" i="1"/>
  <c r="L907" i="1" a="1"/>
  <c r="L907" i="1"/>
  <c r="L908" i="1" a="1"/>
  <c r="L908" i="1"/>
  <c r="L909" i="1" a="1"/>
  <c r="L909" i="1"/>
  <c r="L910" i="1" a="1"/>
  <c r="L910" i="1"/>
  <c r="L911" i="1" a="1"/>
  <c r="L911" i="1"/>
  <c r="L912" i="1" a="1"/>
  <c r="L912" i="1"/>
  <c r="L913" i="1" a="1"/>
  <c r="L913" i="1"/>
  <c r="L914" i="1" a="1"/>
  <c r="L914" i="1"/>
  <c r="L915" i="1" a="1"/>
  <c r="L915" i="1"/>
  <c r="L916" i="1" a="1"/>
  <c r="L916" i="1"/>
  <c r="L917" i="1" a="1"/>
  <c r="L917" i="1"/>
  <c r="L918" i="1" a="1"/>
  <c r="L918" i="1"/>
  <c r="L919" i="1" a="1"/>
  <c r="L919" i="1"/>
  <c r="L920" i="1" a="1"/>
  <c r="L920" i="1"/>
  <c r="L921" i="1" a="1"/>
  <c r="L921" i="1"/>
  <c r="L922" i="1" a="1"/>
  <c r="L922" i="1"/>
  <c r="L923" i="1" a="1"/>
  <c r="L923" i="1"/>
  <c r="L924" i="1" a="1"/>
  <c r="L924" i="1"/>
  <c r="L925" i="1" a="1"/>
  <c r="L925" i="1"/>
  <c r="L926" i="1" a="1"/>
  <c r="L926" i="1"/>
  <c r="L927" i="1" a="1"/>
  <c r="L927" i="1"/>
  <c r="L928" i="1" a="1"/>
  <c r="L928" i="1"/>
  <c r="L929" i="1" a="1"/>
  <c r="L929" i="1"/>
  <c r="L930" i="1" a="1"/>
  <c r="L930" i="1"/>
  <c r="L931" i="1" a="1"/>
  <c r="L931" i="1"/>
  <c r="L932" i="1" a="1"/>
  <c r="L932" i="1"/>
  <c r="L933" i="1" a="1"/>
  <c r="L933" i="1"/>
  <c r="L934" i="1" a="1"/>
  <c r="L934" i="1"/>
  <c r="L935" i="1" a="1"/>
  <c r="L935" i="1"/>
  <c r="L936" i="1" a="1"/>
  <c r="L936" i="1"/>
  <c r="L937" i="1" a="1"/>
  <c r="L937" i="1"/>
  <c r="L938" i="1" a="1"/>
  <c r="L938" i="1"/>
  <c r="L939" i="1" a="1"/>
  <c r="L939" i="1"/>
  <c r="L940" i="1" a="1"/>
  <c r="L940" i="1"/>
  <c r="L941" i="1" a="1"/>
  <c r="L941" i="1"/>
  <c r="L942" i="1" a="1"/>
  <c r="L942" i="1"/>
  <c r="L943" i="1" a="1"/>
  <c r="L943" i="1"/>
  <c r="L944" i="1" a="1"/>
  <c r="L944" i="1"/>
  <c r="L945" i="1" a="1"/>
  <c r="L945" i="1"/>
  <c r="L946" i="1" a="1"/>
  <c r="L946" i="1"/>
  <c r="L947" i="1" a="1"/>
  <c r="L947" i="1"/>
  <c r="L948" i="1" a="1"/>
  <c r="L948" i="1"/>
  <c r="L949" i="1" a="1"/>
  <c r="L949" i="1"/>
  <c r="L950" i="1" a="1"/>
  <c r="L950" i="1"/>
  <c r="L951" i="1" a="1"/>
  <c r="L951" i="1"/>
  <c r="L2" i="1" a="1"/>
  <c r="L2" i="1" s="1"/>
  <c r="W951" i="1"/>
  <c r="U951" i="1" a="1"/>
  <c r="U951" i="1" s="1"/>
  <c r="S951" i="1"/>
  <c r="P951" i="1" a="1"/>
  <c r="P951" i="1" s="1"/>
  <c r="N951" i="1"/>
  <c r="J951" i="1" a="1"/>
  <c r="J951" i="1" s="1"/>
  <c r="G951" i="1" a="1"/>
  <c r="G951" i="1" s="1"/>
  <c r="D951" i="1"/>
  <c r="W950" i="1"/>
  <c r="U950" i="1" a="1"/>
  <c r="U950" i="1" s="1"/>
  <c r="S950" i="1"/>
  <c r="P950" i="1" a="1"/>
  <c r="P950" i="1" s="1"/>
  <c r="N950" i="1"/>
  <c r="J950" i="1" a="1"/>
  <c r="J950" i="1" s="1"/>
  <c r="G950" i="1" a="1"/>
  <c r="G950" i="1" s="1"/>
  <c r="D950" i="1"/>
  <c r="W949" i="1"/>
  <c r="U949" i="1" a="1"/>
  <c r="U949" i="1" s="1"/>
  <c r="S949" i="1"/>
  <c r="P949" i="1" a="1"/>
  <c r="P949" i="1" s="1"/>
  <c r="N949" i="1"/>
  <c r="J949" i="1" a="1"/>
  <c r="J949" i="1" s="1"/>
  <c r="G949" i="1" a="1"/>
  <c r="G949" i="1" s="1"/>
  <c r="D949" i="1"/>
  <c r="W948" i="1"/>
  <c r="U948" i="1"/>
  <c r="U948" i="1" a="1"/>
  <c r="S948" i="1"/>
  <c r="P948" i="1"/>
  <c r="P948" i="1" a="1"/>
  <c r="N948" i="1"/>
  <c r="J948" i="1" a="1"/>
  <c r="J948" i="1" s="1"/>
  <c r="G948" i="1" a="1"/>
  <c r="G948" i="1" s="1"/>
  <c r="D948" i="1"/>
  <c r="W947" i="1"/>
  <c r="U947" i="1" a="1"/>
  <c r="U947" i="1" s="1"/>
  <c r="S947" i="1"/>
  <c r="P947" i="1"/>
  <c r="P947" i="1" a="1"/>
  <c r="N947" i="1"/>
  <c r="J947" i="1" a="1"/>
  <c r="J947" i="1" s="1"/>
  <c r="G947" i="1"/>
  <c r="G947" i="1" a="1"/>
  <c r="D947" i="1"/>
  <c r="W946" i="1"/>
  <c r="U946" i="1"/>
  <c r="U946" i="1" a="1"/>
  <c r="S946" i="1"/>
  <c r="P946" i="1" a="1"/>
  <c r="P946" i="1" s="1"/>
  <c r="N946" i="1"/>
  <c r="J946" i="1"/>
  <c r="J946" i="1" a="1"/>
  <c r="G946" i="1" a="1"/>
  <c r="G946" i="1" s="1"/>
  <c r="D946" i="1"/>
  <c r="W945" i="1"/>
  <c r="U945" i="1"/>
  <c r="U945" i="1" a="1"/>
  <c r="S945" i="1"/>
  <c r="P945" i="1"/>
  <c r="P945" i="1" a="1"/>
  <c r="N945" i="1"/>
  <c r="J945" i="1" a="1"/>
  <c r="J945" i="1" s="1"/>
  <c r="G945" i="1"/>
  <c r="G945" i="1" a="1"/>
  <c r="D945" i="1"/>
  <c r="W944" i="1"/>
  <c r="U944" i="1" a="1"/>
  <c r="U944" i="1" s="1"/>
  <c r="S944" i="1"/>
  <c r="P944" i="1"/>
  <c r="P944" i="1" a="1"/>
  <c r="N944" i="1"/>
  <c r="J944" i="1"/>
  <c r="J944" i="1" a="1"/>
  <c r="G944" i="1"/>
  <c r="G944" i="1" a="1"/>
  <c r="D944" i="1"/>
  <c r="W943" i="1"/>
  <c r="U943" i="1" a="1"/>
  <c r="U943" i="1" s="1"/>
  <c r="S943" i="1"/>
  <c r="P943" i="1" a="1"/>
  <c r="P943" i="1" s="1"/>
  <c r="N943" i="1"/>
  <c r="J943" i="1"/>
  <c r="J943" i="1" a="1"/>
  <c r="G943" i="1" a="1"/>
  <c r="G943" i="1" s="1"/>
  <c r="D943" i="1"/>
  <c r="W942" i="1"/>
  <c r="U942" i="1"/>
  <c r="U942" i="1" a="1"/>
  <c r="S942" i="1"/>
  <c r="P942" i="1"/>
  <c r="P942" i="1" a="1"/>
  <c r="N942" i="1"/>
  <c r="J942" i="1" a="1"/>
  <c r="J942" i="1" s="1"/>
  <c r="G942" i="1" a="1"/>
  <c r="G942" i="1" s="1"/>
  <c r="D942" i="1"/>
  <c r="W941" i="1"/>
  <c r="U941" i="1" a="1"/>
  <c r="U941" i="1" s="1"/>
  <c r="S941" i="1"/>
  <c r="P941" i="1"/>
  <c r="P941" i="1" a="1"/>
  <c r="N941" i="1"/>
  <c r="J941" i="1" a="1"/>
  <c r="J941" i="1" s="1"/>
  <c r="G941" i="1"/>
  <c r="G941" i="1" a="1"/>
  <c r="D941" i="1"/>
  <c r="W940" i="1"/>
  <c r="U940" i="1"/>
  <c r="U940" i="1" a="1"/>
  <c r="S940" i="1"/>
  <c r="P940" i="1" a="1"/>
  <c r="P940" i="1" s="1"/>
  <c r="N940" i="1"/>
  <c r="J940" i="1"/>
  <c r="J940" i="1" a="1"/>
  <c r="G940" i="1" a="1"/>
  <c r="G940" i="1" s="1"/>
  <c r="D940" i="1"/>
  <c r="W939" i="1"/>
  <c r="U939" i="1"/>
  <c r="U939" i="1" a="1"/>
  <c r="S939" i="1"/>
  <c r="P939" i="1"/>
  <c r="P939" i="1" a="1"/>
  <c r="N939" i="1"/>
  <c r="J939" i="1" a="1"/>
  <c r="J939" i="1" s="1"/>
  <c r="G939" i="1"/>
  <c r="G939" i="1" a="1"/>
  <c r="D939" i="1"/>
  <c r="W938" i="1"/>
  <c r="U938" i="1" a="1"/>
  <c r="U938" i="1" s="1"/>
  <c r="S938" i="1"/>
  <c r="P938" i="1"/>
  <c r="P938" i="1" a="1"/>
  <c r="N938" i="1"/>
  <c r="J938" i="1"/>
  <c r="J938" i="1" a="1"/>
  <c r="G938" i="1"/>
  <c r="G938" i="1" a="1"/>
  <c r="D938" i="1"/>
  <c r="W937" i="1"/>
  <c r="U937" i="1" a="1"/>
  <c r="U937" i="1" s="1"/>
  <c r="S937" i="1"/>
  <c r="P937" i="1" a="1"/>
  <c r="P937" i="1" s="1"/>
  <c r="N937" i="1"/>
  <c r="J937" i="1"/>
  <c r="J937" i="1" a="1"/>
  <c r="G937" i="1" a="1"/>
  <c r="G937" i="1" s="1"/>
  <c r="D937" i="1"/>
  <c r="W936" i="1"/>
  <c r="U936" i="1"/>
  <c r="U936" i="1" a="1"/>
  <c r="S936" i="1"/>
  <c r="P936" i="1" a="1"/>
  <c r="P936" i="1" s="1"/>
  <c r="N936" i="1"/>
  <c r="J936" i="1" a="1"/>
  <c r="J936" i="1" s="1"/>
  <c r="G936" i="1" a="1"/>
  <c r="G936" i="1" s="1"/>
  <c r="D936" i="1"/>
  <c r="W935" i="1"/>
  <c r="U935" i="1"/>
  <c r="U935" i="1" a="1"/>
  <c r="S935" i="1"/>
  <c r="P935" i="1"/>
  <c r="P935" i="1" a="1"/>
  <c r="N935" i="1"/>
  <c r="J935" i="1" a="1"/>
  <c r="J935" i="1" s="1"/>
  <c r="G935" i="1"/>
  <c r="G935" i="1" a="1"/>
  <c r="D935" i="1"/>
  <c r="W934" i="1"/>
  <c r="U934" i="1"/>
  <c r="U934" i="1" a="1"/>
  <c r="S934" i="1"/>
  <c r="P934" i="1" a="1"/>
  <c r="P934" i="1" s="1"/>
  <c r="N934" i="1"/>
  <c r="J934" i="1"/>
  <c r="J934" i="1" a="1"/>
  <c r="G934" i="1"/>
  <c r="G934" i="1" a="1"/>
  <c r="D934" i="1"/>
  <c r="W933" i="1"/>
  <c r="U933" i="1"/>
  <c r="U933" i="1" a="1"/>
  <c r="S933" i="1"/>
  <c r="P933" i="1"/>
  <c r="P933" i="1" a="1"/>
  <c r="N933" i="1"/>
  <c r="J933" i="1"/>
  <c r="J933" i="1" a="1"/>
  <c r="G933" i="1"/>
  <c r="G933" i="1" a="1"/>
  <c r="D933" i="1"/>
  <c r="W932" i="1"/>
  <c r="U932" i="1" a="1"/>
  <c r="U932" i="1" s="1"/>
  <c r="S932" i="1"/>
  <c r="P932" i="1"/>
  <c r="P932" i="1" a="1"/>
  <c r="N932" i="1"/>
  <c r="J932" i="1"/>
  <c r="J932" i="1" a="1"/>
  <c r="G932" i="1"/>
  <c r="G932" i="1" a="1"/>
  <c r="D932" i="1"/>
  <c r="W931" i="1"/>
  <c r="U931" i="1" a="1"/>
  <c r="U931" i="1" s="1"/>
  <c r="S931" i="1"/>
  <c r="P931" i="1" a="1"/>
  <c r="P931" i="1" s="1"/>
  <c r="N931" i="1"/>
  <c r="J931" i="1"/>
  <c r="J931" i="1" a="1"/>
  <c r="G931" i="1" a="1"/>
  <c r="G931" i="1" s="1"/>
  <c r="D931" i="1"/>
  <c r="W930" i="1"/>
  <c r="U930" i="1"/>
  <c r="U930" i="1" a="1"/>
  <c r="S930" i="1"/>
  <c r="P930" i="1"/>
  <c r="P930" i="1" a="1"/>
  <c r="N930" i="1"/>
  <c r="J930" i="1" a="1"/>
  <c r="J930" i="1" s="1"/>
  <c r="G930" i="1" a="1"/>
  <c r="G930" i="1" s="1"/>
  <c r="D930" i="1"/>
  <c r="W929" i="1"/>
  <c r="U929" i="1" a="1"/>
  <c r="U929" i="1" s="1"/>
  <c r="S929" i="1"/>
  <c r="P929" i="1"/>
  <c r="P929" i="1" a="1"/>
  <c r="N929" i="1"/>
  <c r="J929" i="1" a="1"/>
  <c r="J929" i="1" s="1"/>
  <c r="G929" i="1"/>
  <c r="G929" i="1" a="1"/>
  <c r="D929" i="1"/>
  <c r="W928" i="1"/>
  <c r="U928" i="1"/>
  <c r="U928" i="1" a="1"/>
  <c r="S928" i="1"/>
  <c r="P928" i="1" a="1"/>
  <c r="P928" i="1" s="1"/>
  <c r="N928" i="1"/>
  <c r="J928" i="1"/>
  <c r="J928" i="1" a="1"/>
  <c r="G928" i="1" a="1"/>
  <c r="G928" i="1" s="1"/>
  <c r="D928" i="1"/>
  <c r="W927" i="1"/>
  <c r="U927" i="1"/>
  <c r="U927" i="1" a="1"/>
  <c r="S927" i="1"/>
  <c r="P927" i="1"/>
  <c r="P927" i="1" a="1"/>
  <c r="N927" i="1"/>
  <c r="J927" i="1" a="1"/>
  <c r="J927" i="1" s="1"/>
  <c r="G927" i="1"/>
  <c r="G927" i="1" a="1"/>
  <c r="D927" i="1"/>
  <c r="W926" i="1"/>
  <c r="U926" i="1" a="1"/>
  <c r="U926" i="1" s="1"/>
  <c r="S926" i="1"/>
  <c r="P926" i="1"/>
  <c r="P926" i="1" a="1"/>
  <c r="N926" i="1"/>
  <c r="J926" i="1"/>
  <c r="J926" i="1" a="1"/>
  <c r="G926" i="1"/>
  <c r="G926" i="1" a="1"/>
  <c r="D926" i="1"/>
  <c r="W925" i="1"/>
  <c r="U925" i="1" a="1"/>
  <c r="U925" i="1" s="1"/>
  <c r="S925" i="1"/>
  <c r="P925" i="1" a="1"/>
  <c r="P925" i="1" s="1"/>
  <c r="N925" i="1"/>
  <c r="J925" i="1"/>
  <c r="J925" i="1" a="1"/>
  <c r="G925" i="1" a="1"/>
  <c r="G925" i="1" s="1"/>
  <c r="D925" i="1"/>
  <c r="W924" i="1"/>
  <c r="U924" i="1"/>
  <c r="U924" i="1" a="1"/>
  <c r="S924" i="1"/>
  <c r="P924" i="1" a="1"/>
  <c r="P924" i="1" s="1"/>
  <c r="N924" i="1"/>
  <c r="J924" i="1" a="1"/>
  <c r="J924" i="1" s="1"/>
  <c r="G924" i="1" a="1"/>
  <c r="G924" i="1" s="1"/>
  <c r="D924" i="1"/>
  <c r="W923" i="1"/>
  <c r="U923" i="1" a="1"/>
  <c r="U923" i="1" s="1"/>
  <c r="S923" i="1"/>
  <c r="P923" i="1"/>
  <c r="P923" i="1" a="1"/>
  <c r="N923" i="1"/>
  <c r="J923" i="1" a="1"/>
  <c r="J923" i="1" s="1"/>
  <c r="G923" i="1"/>
  <c r="G923" i="1" a="1"/>
  <c r="D923" i="1"/>
  <c r="W922" i="1"/>
  <c r="U922" i="1"/>
  <c r="U922" i="1" a="1"/>
  <c r="S922" i="1"/>
  <c r="P922" i="1" a="1"/>
  <c r="P922" i="1" s="1"/>
  <c r="N922" i="1"/>
  <c r="J922" i="1"/>
  <c r="J922" i="1" a="1"/>
  <c r="G922" i="1" a="1"/>
  <c r="G922" i="1" s="1"/>
  <c r="D922" i="1"/>
  <c r="W921" i="1"/>
  <c r="U921" i="1"/>
  <c r="U921" i="1" a="1"/>
  <c r="S921" i="1"/>
  <c r="P921" i="1"/>
  <c r="P921" i="1" a="1"/>
  <c r="N921" i="1"/>
  <c r="J921" i="1" a="1"/>
  <c r="J921" i="1" s="1"/>
  <c r="G921" i="1"/>
  <c r="G921" i="1" a="1"/>
  <c r="D921" i="1"/>
  <c r="W920" i="1"/>
  <c r="U920" i="1" a="1"/>
  <c r="U920" i="1" s="1"/>
  <c r="S920" i="1"/>
  <c r="P920" i="1"/>
  <c r="P920" i="1" a="1"/>
  <c r="N920" i="1"/>
  <c r="J920" i="1"/>
  <c r="J920" i="1" a="1"/>
  <c r="G920" i="1"/>
  <c r="G920" i="1" a="1"/>
  <c r="D920" i="1"/>
  <c r="W919" i="1"/>
  <c r="U919" i="1" a="1"/>
  <c r="U919" i="1" s="1"/>
  <c r="S919" i="1"/>
  <c r="P919" i="1" a="1"/>
  <c r="P919" i="1" s="1"/>
  <c r="N919" i="1"/>
  <c r="J919" i="1"/>
  <c r="J919" i="1" a="1"/>
  <c r="G919" i="1" a="1"/>
  <c r="G919" i="1" s="1"/>
  <c r="D919" i="1"/>
  <c r="W918" i="1"/>
  <c r="U918" i="1"/>
  <c r="U918" i="1" a="1"/>
  <c r="S918" i="1"/>
  <c r="P918" i="1"/>
  <c r="P918" i="1" a="1"/>
  <c r="N918" i="1"/>
  <c r="J918" i="1" a="1"/>
  <c r="J918" i="1" s="1"/>
  <c r="G918" i="1" a="1"/>
  <c r="G918" i="1" s="1"/>
  <c r="D918" i="1"/>
  <c r="W917" i="1"/>
  <c r="U917" i="1" a="1"/>
  <c r="U917" i="1" s="1"/>
  <c r="S917" i="1"/>
  <c r="P917" i="1"/>
  <c r="P917" i="1" a="1"/>
  <c r="N917" i="1"/>
  <c r="J917" i="1" a="1"/>
  <c r="J917" i="1" s="1"/>
  <c r="G917" i="1"/>
  <c r="G917" i="1" a="1"/>
  <c r="D917" i="1"/>
  <c r="W916" i="1"/>
  <c r="U916" i="1"/>
  <c r="U916" i="1" a="1"/>
  <c r="S916" i="1"/>
  <c r="P916" i="1" a="1"/>
  <c r="P916" i="1" s="1"/>
  <c r="N916" i="1"/>
  <c r="J916" i="1"/>
  <c r="J916" i="1" a="1"/>
  <c r="G916" i="1" a="1"/>
  <c r="G916" i="1" s="1"/>
  <c r="D916" i="1"/>
  <c r="W915" i="1"/>
  <c r="U915" i="1"/>
  <c r="U915" i="1" a="1"/>
  <c r="S915" i="1"/>
  <c r="P915" i="1"/>
  <c r="P915" i="1" a="1"/>
  <c r="N915" i="1"/>
  <c r="J915" i="1" a="1"/>
  <c r="J915" i="1" s="1"/>
  <c r="G915" i="1"/>
  <c r="G915" i="1" a="1"/>
  <c r="D915" i="1"/>
  <c r="W914" i="1"/>
  <c r="U914" i="1" a="1"/>
  <c r="U914" i="1" s="1"/>
  <c r="S914" i="1"/>
  <c r="P914" i="1"/>
  <c r="P914" i="1" a="1"/>
  <c r="N914" i="1"/>
  <c r="J914" i="1"/>
  <c r="J914" i="1" a="1"/>
  <c r="G914" i="1"/>
  <c r="G914" i="1" a="1"/>
  <c r="D914" i="1"/>
  <c r="W913" i="1"/>
  <c r="U913" i="1" a="1"/>
  <c r="U913" i="1" s="1"/>
  <c r="S913" i="1"/>
  <c r="P913" i="1" a="1"/>
  <c r="P913" i="1" s="1"/>
  <c r="N913" i="1"/>
  <c r="J913" i="1"/>
  <c r="J913" i="1" a="1"/>
  <c r="G913" i="1" a="1"/>
  <c r="G913" i="1" s="1"/>
  <c r="D913" i="1"/>
  <c r="W912" i="1"/>
  <c r="U912" i="1"/>
  <c r="U912" i="1" a="1"/>
  <c r="S912" i="1"/>
  <c r="P912" i="1"/>
  <c r="P912" i="1" a="1"/>
  <c r="N912" i="1"/>
  <c r="J912" i="1" a="1"/>
  <c r="J912" i="1" s="1"/>
  <c r="G912" i="1" a="1"/>
  <c r="G912" i="1" s="1"/>
  <c r="D912" i="1"/>
  <c r="W911" i="1"/>
  <c r="U911" i="1"/>
  <c r="U911" i="1" a="1"/>
  <c r="S911" i="1"/>
  <c r="P911" i="1"/>
  <c r="P911" i="1" a="1"/>
  <c r="N911" i="1"/>
  <c r="J911" i="1" a="1"/>
  <c r="J911" i="1" s="1"/>
  <c r="G911" i="1"/>
  <c r="G911" i="1" a="1"/>
  <c r="D911" i="1"/>
  <c r="W910" i="1"/>
  <c r="U910" i="1"/>
  <c r="U910" i="1" a="1"/>
  <c r="S910" i="1"/>
  <c r="P910" i="1" a="1"/>
  <c r="P910" i="1" s="1"/>
  <c r="N910" i="1"/>
  <c r="J910" i="1"/>
  <c r="J910" i="1" a="1"/>
  <c r="G910" i="1" a="1"/>
  <c r="G910" i="1" s="1"/>
  <c r="D910" i="1"/>
  <c r="W909" i="1"/>
  <c r="U909" i="1"/>
  <c r="U909" i="1" a="1"/>
  <c r="S909" i="1"/>
  <c r="P909" i="1"/>
  <c r="P909" i="1" a="1"/>
  <c r="N909" i="1"/>
  <c r="J909" i="1" a="1"/>
  <c r="J909" i="1" s="1"/>
  <c r="G909" i="1"/>
  <c r="G909" i="1" a="1"/>
  <c r="D909" i="1"/>
  <c r="W908" i="1"/>
  <c r="U908" i="1" a="1"/>
  <c r="U908" i="1" s="1"/>
  <c r="S908" i="1"/>
  <c r="P908" i="1"/>
  <c r="P908" i="1" a="1"/>
  <c r="N908" i="1"/>
  <c r="J908" i="1"/>
  <c r="J908" i="1" a="1"/>
  <c r="G908" i="1"/>
  <c r="G908" i="1" a="1"/>
  <c r="D908" i="1"/>
  <c r="W907" i="1"/>
  <c r="U907" i="1" a="1"/>
  <c r="U907" i="1" s="1"/>
  <c r="S907" i="1"/>
  <c r="P907" i="1" a="1"/>
  <c r="P907" i="1" s="1"/>
  <c r="N907" i="1"/>
  <c r="J907" i="1"/>
  <c r="J907" i="1" a="1"/>
  <c r="G907" i="1" a="1"/>
  <c r="G907" i="1" s="1"/>
  <c r="D907" i="1"/>
  <c r="W906" i="1"/>
  <c r="U906" i="1"/>
  <c r="U906" i="1" a="1"/>
  <c r="S906" i="1"/>
  <c r="P906" i="1"/>
  <c r="P906" i="1" a="1"/>
  <c r="N906" i="1"/>
  <c r="J906" i="1" a="1"/>
  <c r="J906" i="1" s="1"/>
  <c r="G906" i="1" a="1"/>
  <c r="G906" i="1" s="1"/>
  <c r="D906" i="1"/>
  <c r="W905" i="1"/>
  <c r="U905" i="1" a="1"/>
  <c r="U905" i="1" s="1"/>
  <c r="S905" i="1"/>
  <c r="P905" i="1"/>
  <c r="P905" i="1" a="1"/>
  <c r="N905" i="1"/>
  <c r="J905" i="1" a="1"/>
  <c r="J905" i="1" s="1"/>
  <c r="G905" i="1" a="1"/>
  <c r="G905" i="1" s="1"/>
  <c r="D905" i="1"/>
  <c r="W904" i="1"/>
  <c r="U904" i="1"/>
  <c r="U904" i="1" a="1"/>
  <c r="S904" i="1"/>
  <c r="P904" i="1" a="1"/>
  <c r="P904" i="1" s="1"/>
  <c r="N904" i="1"/>
  <c r="J904" i="1" a="1"/>
  <c r="J904" i="1" s="1"/>
  <c r="G904" i="1" a="1"/>
  <c r="G904" i="1" s="1"/>
  <c r="D904" i="1"/>
  <c r="W903" i="1"/>
  <c r="U903" i="1"/>
  <c r="U903" i="1" a="1"/>
  <c r="S903" i="1"/>
  <c r="P903" i="1"/>
  <c r="P903" i="1" a="1"/>
  <c r="N903" i="1"/>
  <c r="J903" i="1" a="1"/>
  <c r="J903" i="1" s="1"/>
  <c r="G903" i="1"/>
  <c r="G903" i="1" a="1"/>
  <c r="D903" i="1"/>
  <c r="W902" i="1"/>
  <c r="U902" i="1" a="1"/>
  <c r="U902" i="1" s="1"/>
  <c r="S902" i="1"/>
  <c r="P902" i="1"/>
  <c r="P902" i="1" a="1"/>
  <c r="N902" i="1"/>
  <c r="J902" i="1"/>
  <c r="J902" i="1" a="1"/>
  <c r="G902" i="1" a="1"/>
  <c r="G902" i="1" s="1"/>
  <c r="D902" i="1"/>
  <c r="W901" i="1"/>
  <c r="U901" i="1" a="1"/>
  <c r="U901" i="1" s="1"/>
  <c r="S901" i="1"/>
  <c r="P901" i="1" a="1"/>
  <c r="P901" i="1" s="1"/>
  <c r="N901" i="1"/>
  <c r="J901" i="1" a="1"/>
  <c r="J901" i="1" s="1"/>
  <c r="G901" i="1" a="1"/>
  <c r="G901" i="1" s="1"/>
  <c r="D901" i="1"/>
  <c r="W900" i="1"/>
  <c r="U900" i="1" a="1"/>
  <c r="U900" i="1" s="1"/>
  <c r="S900" i="1"/>
  <c r="P900" i="1"/>
  <c r="P900" i="1" a="1"/>
  <c r="N900" i="1"/>
  <c r="J900" i="1" a="1"/>
  <c r="J900" i="1" s="1"/>
  <c r="G900" i="1" a="1"/>
  <c r="G900" i="1" s="1"/>
  <c r="D900" i="1"/>
  <c r="W899" i="1"/>
  <c r="U899" i="1"/>
  <c r="U899" i="1" a="1"/>
  <c r="S899" i="1"/>
  <c r="P899" i="1"/>
  <c r="P899" i="1" a="1"/>
  <c r="N899" i="1"/>
  <c r="J899" i="1" a="1"/>
  <c r="J899" i="1" s="1"/>
  <c r="G899" i="1" a="1"/>
  <c r="G899" i="1" s="1"/>
  <c r="D899" i="1"/>
  <c r="W898" i="1"/>
  <c r="U898" i="1"/>
  <c r="U898" i="1" a="1"/>
  <c r="S898" i="1"/>
  <c r="P898" i="1" a="1"/>
  <c r="P898" i="1" s="1"/>
  <c r="N898" i="1"/>
  <c r="J898" i="1" a="1"/>
  <c r="J898" i="1" s="1"/>
  <c r="G898" i="1" a="1"/>
  <c r="G898" i="1" s="1"/>
  <c r="D898" i="1"/>
  <c r="W897" i="1"/>
  <c r="U897" i="1" a="1"/>
  <c r="U897" i="1" s="1"/>
  <c r="S897" i="1"/>
  <c r="P897" i="1"/>
  <c r="P897" i="1" a="1"/>
  <c r="N897" i="1"/>
  <c r="J897" i="1"/>
  <c r="J897" i="1" a="1"/>
  <c r="G897" i="1"/>
  <c r="G897" i="1" a="1"/>
  <c r="D897" i="1"/>
  <c r="W896" i="1"/>
  <c r="U896" i="1" a="1"/>
  <c r="U896" i="1" s="1"/>
  <c r="S896" i="1"/>
  <c r="P896" i="1"/>
  <c r="P896" i="1" a="1"/>
  <c r="N896" i="1"/>
  <c r="J896" i="1"/>
  <c r="J896" i="1" a="1"/>
  <c r="G896" i="1" a="1"/>
  <c r="G896" i="1" s="1"/>
  <c r="D896" i="1"/>
  <c r="W895" i="1"/>
  <c r="U895" i="1" a="1"/>
  <c r="U895" i="1" s="1"/>
  <c r="S895" i="1"/>
  <c r="P895" i="1" a="1"/>
  <c r="P895" i="1" s="1"/>
  <c r="N895" i="1"/>
  <c r="J895" i="1" a="1"/>
  <c r="J895" i="1" s="1"/>
  <c r="G895" i="1" a="1"/>
  <c r="G895" i="1" s="1"/>
  <c r="D895" i="1"/>
  <c r="W894" i="1"/>
  <c r="U894" i="1" a="1"/>
  <c r="U894" i="1" s="1"/>
  <c r="S894" i="1"/>
  <c r="P894" i="1" a="1"/>
  <c r="P894" i="1" s="1"/>
  <c r="N894" i="1"/>
  <c r="J894" i="1" a="1"/>
  <c r="J894" i="1" s="1"/>
  <c r="G894" i="1" a="1"/>
  <c r="G894" i="1" s="1"/>
  <c r="D894" i="1"/>
  <c r="W893" i="1"/>
  <c r="U893" i="1" a="1"/>
  <c r="U893" i="1" s="1"/>
  <c r="S893" i="1"/>
  <c r="P893" i="1"/>
  <c r="P893" i="1" a="1"/>
  <c r="N893" i="1"/>
  <c r="J893" i="1" a="1"/>
  <c r="J893" i="1" s="1"/>
  <c r="G893" i="1" a="1"/>
  <c r="G893" i="1" s="1"/>
  <c r="D893" i="1"/>
  <c r="W892" i="1"/>
  <c r="U892" i="1" a="1"/>
  <c r="U892" i="1" s="1"/>
  <c r="S892" i="1"/>
  <c r="P892" i="1" a="1"/>
  <c r="P892" i="1" s="1"/>
  <c r="N892" i="1"/>
  <c r="J892" i="1" a="1"/>
  <c r="J892" i="1" s="1"/>
  <c r="G892" i="1"/>
  <c r="G892" i="1" a="1"/>
  <c r="D892" i="1"/>
  <c r="W891" i="1"/>
  <c r="U891" i="1" a="1"/>
  <c r="U891" i="1" s="1"/>
  <c r="S891" i="1"/>
  <c r="P891" i="1"/>
  <c r="P891" i="1" a="1"/>
  <c r="N891" i="1"/>
  <c r="J891" i="1" a="1"/>
  <c r="J891" i="1" s="1"/>
  <c r="G891" i="1"/>
  <c r="G891" i="1" a="1"/>
  <c r="D891" i="1"/>
  <c r="W890" i="1"/>
  <c r="U890" i="1" a="1"/>
  <c r="U890" i="1" s="1"/>
  <c r="S890" i="1"/>
  <c r="P890" i="1"/>
  <c r="P890" i="1" a="1"/>
  <c r="N890" i="1"/>
  <c r="J890" i="1" a="1"/>
  <c r="J890" i="1" s="1"/>
  <c r="G890" i="1" a="1"/>
  <c r="G890" i="1" s="1"/>
  <c r="D890" i="1"/>
  <c r="W889" i="1"/>
  <c r="U889" i="1" a="1"/>
  <c r="U889" i="1" s="1"/>
  <c r="S889" i="1"/>
  <c r="P889" i="1" a="1"/>
  <c r="P889" i="1" s="1"/>
  <c r="N889" i="1"/>
  <c r="J889" i="1" a="1"/>
  <c r="J889" i="1" s="1"/>
  <c r="G889" i="1" a="1"/>
  <c r="G889" i="1" s="1"/>
  <c r="D889" i="1"/>
  <c r="W888" i="1"/>
  <c r="U888" i="1" a="1"/>
  <c r="U888" i="1" s="1"/>
  <c r="S888" i="1"/>
  <c r="P888" i="1"/>
  <c r="P888" i="1" a="1"/>
  <c r="N888" i="1"/>
  <c r="J888" i="1" a="1"/>
  <c r="J888" i="1" s="1"/>
  <c r="G888" i="1" a="1"/>
  <c r="G888" i="1" s="1"/>
  <c r="D888" i="1"/>
  <c r="W887" i="1"/>
  <c r="U887" i="1"/>
  <c r="U887" i="1" a="1"/>
  <c r="S887" i="1"/>
  <c r="P887" i="1"/>
  <c r="P887" i="1" a="1"/>
  <c r="N887" i="1"/>
  <c r="J887" i="1" a="1"/>
  <c r="J887" i="1" s="1"/>
  <c r="G887" i="1" a="1"/>
  <c r="G887" i="1" s="1"/>
  <c r="D887" i="1"/>
  <c r="W886" i="1"/>
  <c r="U886" i="1" a="1"/>
  <c r="U886" i="1" s="1"/>
  <c r="S886" i="1"/>
  <c r="P886" i="1" a="1"/>
  <c r="P886" i="1" s="1"/>
  <c r="N886" i="1"/>
  <c r="J886" i="1" a="1"/>
  <c r="J886" i="1" s="1"/>
  <c r="G886" i="1" a="1"/>
  <c r="G886" i="1" s="1"/>
  <c r="D886" i="1"/>
  <c r="W885" i="1"/>
  <c r="U885" i="1" a="1"/>
  <c r="U885" i="1" s="1"/>
  <c r="S885" i="1"/>
  <c r="P885" i="1"/>
  <c r="P885" i="1" a="1"/>
  <c r="N885" i="1"/>
  <c r="J885" i="1"/>
  <c r="J885" i="1" a="1"/>
  <c r="G885" i="1" a="1"/>
  <c r="G885" i="1" s="1"/>
  <c r="D885" i="1"/>
  <c r="W884" i="1"/>
  <c r="U884" i="1" a="1"/>
  <c r="U884" i="1" s="1"/>
  <c r="S884" i="1"/>
  <c r="P884" i="1"/>
  <c r="P884" i="1" a="1"/>
  <c r="N884" i="1"/>
  <c r="J884" i="1" a="1"/>
  <c r="J884" i="1" s="1"/>
  <c r="G884" i="1" a="1"/>
  <c r="G884" i="1" s="1"/>
  <c r="D884" i="1"/>
  <c r="W883" i="1"/>
  <c r="U883" i="1" a="1"/>
  <c r="U883" i="1" s="1"/>
  <c r="S883" i="1"/>
  <c r="P883" i="1" a="1"/>
  <c r="P883" i="1" s="1"/>
  <c r="N883" i="1"/>
  <c r="J883" i="1" a="1"/>
  <c r="J883" i="1" s="1"/>
  <c r="G883" i="1" a="1"/>
  <c r="G883" i="1" s="1"/>
  <c r="D883" i="1"/>
  <c r="W882" i="1"/>
  <c r="U882" i="1" a="1"/>
  <c r="U882" i="1" s="1"/>
  <c r="S882" i="1"/>
  <c r="P882" i="1" a="1"/>
  <c r="P882" i="1" s="1"/>
  <c r="N882" i="1"/>
  <c r="J882" i="1" a="1"/>
  <c r="J882" i="1" s="1"/>
  <c r="G882" i="1" a="1"/>
  <c r="G882" i="1" s="1"/>
  <c r="D882" i="1"/>
  <c r="W881" i="1"/>
  <c r="U881" i="1" a="1"/>
  <c r="U881" i="1" s="1"/>
  <c r="S881" i="1"/>
  <c r="P881" i="1"/>
  <c r="P881" i="1" a="1"/>
  <c r="N881" i="1"/>
  <c r="J881" i="1" a="1"/>
  <c r="J881" i="1" s="1"/>
  <c r="G881" i="1" a="1"/>
  <c r="G881" i="1" s="1"/>
  <c r="D881" i="1"/>
  <c r="W880" i="1"/>
  <c r="U880" i="1" a="1"/>
  <c r="U880" i="1" s="1"/>
  <c r="S880" i="1"/>
  <c r="P880" i="1" a="1"/>
  <c r="P880" i="1" s="1"/>
  <c r="N880" i="1"/>
  <c r="J880" i="1" a="1"/>
  <c r="J880" i="1" s="1"/>
  <c r="G880" i="1"/>
  <c r="G880" i="1" a="1"/>
  <c r="D880" i="1"/>
  <c r="W879" i="1"/>
  <c r="U879" i="1" a="1"/>
  <c r="U879" i="1" s="1"/>
  <c r="S879" i="1"/>
  <c r="P879" i="1"/>
  <c r="P879" i="1" a="1"/>
  <c r="N879" i="1"/>
  <c r="J879" i="1" a="1"/>
  <c r="J879" i="1" s="1"/>
  <c r="G879" i="1"/>
  <c r="G879" i="1" a="1"/>
  <c r="D879" i="1"/>
  <c r="W878" i="1"/>
  <c r="U878" i="1" a="1"/>
  <c r="U878" i="1" s="1"/>
  <c r="S878" i="1"/>
  <c r="P878" i="1"/>
  <c r="P878" i="1" a="1"/>
  <c r="N878" i="1"/>
  <c r="J878" i="1" a="1"/>
  <c r="J878" i="1" s="1"/>
  <c r="G878" i="1" a="1"/>
  <c r="G878" i="1" s="1"/>
  <c r="D878" i="1"/>
  <c r="W877" i="1"/>
  <c r="U877" i="1" a="1"/>
  <c r="U877" i="1" s="1"/>
  <c r="S877" i="1"/>
  <c r="P877" i="1" a="1"/>
  <c r="P877" i="1" s="1"/>
  <c r="N877" i="1"/>
  <c r="J877" i="1" a="1"/>
  <c r="J877" i="1" s="1"/>
  <c r="G877" i="1" a="1"/>
  <c r="G877" i="1" s="1"/>
  <c r="D877" i="1"/>
  <c r="W876" i="1"/>
  <c r="U876" i="1" a="1"/>
  <c r="U876" i="1" s="1"/>
  <c r="S876" i="1"/>
  <c r="P876" i="1"/>
  <c r="P876" i="1" a="1"/>
  <c r="N876" i="1"/>
  <c r="J876" i="1" a="1"/>
  <c r="J876" i="1" s="1"/>
  <c r="G876" i="1" a="1"/>
  <c r="G876" i="1" s="1"/>
  <c r="D876" i="1"/>
  <c r="W875" i="1"/>
  <c r="U875" i="1"/>
  <c r="U875" i="1" a="1"/>
  <c r="S875" i="1"/>
  <c r="P875" i="1"/>
  <c r="P875" i="1" a="1"/>
  <c r="N875" i="1"/>
  <c r="J875" i="1" a="1"/>
  <c r="J875" i="1" s="1"/>
  <c r="G875" i="1" a="1"/>
  <c r="G875" i="1" s="1"/>
  <c r="D875" i="1"/>
  <c r="W874" i="1"/>
  <c r="U874" i="1" a="1"/>
  <c r="U874" i="1" s="1"/>
  <c r="S874" i="1"/>
  <c r="P874" i="1" a="1"/>
  <c r="P874" i="1" s="1"/>
  <c r="N874" i="1"/>
  <c r="J874" i="1" a="1"/>
  <c r="J874" i="1" s="1"/>
  <c r="G874" i="1" a="1"/>
  <c r="G874" i="1" s="1"/>
  <c r="D874" i="1"/>
  <c r="W873" i="1"/>
  <c r="U873" i="1" a="1"/>
  <c r="U873" i="1" s="1"/>
  <c r="S873" i="1"/>
  <c r="P873" i="1"/>
  <c r="P873" i="1" a="1"/>
  <c r="N873" i="1"/>
  <c r="J873" i="1"/>
  <c r="J873" i="1" a="1"/>
  <c r="G873" i="1" a="1"/>
  <c r="G873" i="1" s="1"/>
  <c r="D873" i="1"/>
  <c r="W872" i="1"/>
  <c r="U872" i="1" a="1"/>
  <c r="U872" i="1" s="1"/>
  <c r="S872" i="1"/>
  <c r="P872" i="1"/>
  <c r="P872" i="1" a="1"/>
  <c r="N872" i="1"/>
  <c r="J872" i="1" a="1"/>
  <c r="J872" i="1" s="1"/>
  <c r="G872" i="1" a="1"/>
  <c r="G872" i="1" s="1"/>
  <c r="D872" i="1"/>
  <c r="W871" i="1"/>
  <c r="U871" i="1" a="1"/>
  <c r="U871" i="1" s="1"/>
  <c r="S871" i="1"/>
  <c r="P871" i="1" a="1"/>
  <c r="P871" i="1" s="1"/>
  <c r="N871" i="1"/>
  <c r="J871" i="1" a="1"/>
  <c r="J871" i="1" s="1"/>
  <c r="G871" i="1" a="1"/>
  <c r="G871" i="1" s="1"/>
  <c r="D871" i="1"/>
  <c r="W870" i="1"/>
  <c r="U870" i="1" a="1"/>
  <c r="U870" i="1" s="1"/>
  <c r="S870" i="1"/>
  <c r="P870" i="1" a="1"/>
  <c r="P870" i="1" s="1"/>
  <c r="N870" i="1"/>
  <c r="J870" i="1" a="1"/>
  <c r="J870" i="1" s="1"/>
  <c r="G870" i="1"/>
  <c r="G870" i="1" a="1"/>
  <c r="D870" i="1"/>
  <c r="W869" i="1"/>
  <c r="U869" i="1"/>
  <c r="U869" i="1" a="1"/>
  <c r="S869" i="1"/>
  <c r="P869" i="1"/>
  <c r="P869" i="1" a="1"/>
  <c r="N869" i="1"/>
  <c r="J869" i="1"/>
  <c r="J869" i="1" a="1"/>
  <c r="G869" i="1" a="1"/>
  <c r="G869" i="1" s="1"/>
  <c r="D869" i="1"/>
  <c r="W868" i="1"/>
  <c r="U868" i="1"/>
  <c r="U868" i="1" a="1"/>
  <c r="S868" i="1"/>
  <c r="P868" i="1"/>
  <c r="P868" i="1" a="1"/>
  <c r="N868" i="1"/>
  <c r="J868" i="1" a="1"/>
  <c r="J868" i="1" s="1"/>
  <c r="G868" i="1"/>
  <c r="G868" i="1" a="1"/>
  <c r="D868" i="1"/>
  <c r="W867" i="1"/>
  <c r="U867" i="1" a="1"/>
  <c r="U867" i="1" s="1"/>
  <c r="S867" i="1"/>
  <c r="P867" i="1" a="1"/>
  <c r="P867" i="1" s="1"/>
  <c r="N867" i="1"/>
  <c r="J867" i="1" a="1"/>
  <c r="J867" i="1" s="1"/>
  <c r="G867" i="1"/>
  <c r="G867" i="1" a="1"/>
  <c r="D867" i="1"/>
  <c r="W866" i="1"/>
  <c r="U866" i="1" a="1"/>
  <c r="U866" i="1" s="1"/>
  <c r="S866" i="1"/>
  <c r="P866" i="1"/>
  <c r="P866" i="1" a="1"/>
  <c r="N866" i="1"/>
  <c r="J866" i="1"/>
  <c r="J866" i="1" a="1"/>
  <c r="G866" i="1" a="1"/>
  <c r="G866" i="1" s="1"/>
  <c r="D866" i="1"/>
  <c r="W865" i="1"/>
  <c r="U865" i="1"/>
  <c r="U865" i="1" a="1"/>
  <c r="S865" i="1"/>
  <c r="P865" i="1" a="1"/>
  <c r="P865" i="1" s="1"/>
  <c r="N865" i="1"/>
  <c r="J865" i="1" a="1"/>
  <c r="J865" i="1" s="1"/>
  <c r="G865" i="1" a="1"/>
  <c r="G865" i="1" s="1"/>
  <c r="D865" i="1"/>
  <c r="W864" i="1"/>
  <c r="U864" i="1" a="1"/>
  <c r="U864" i="1" s="1"/>
  <c r="S864" i="1"/>
  <c r="P864" i="1" a="1"/>
  <c r="P864" i="1" s="1"/>
  <c r="N864" i="1"/>
  <c r="J864" i="1" a="1"/>
  <c r="J864" i="1" s="1"/>
  <c r="G864" i="1"/>
  <c r="G864" i="1" a="1"/>
  <c r="D864" i="1"/>
  <c r="W863" i="1"/>
  <c r="U863" i="1" a="1"/>
  <c r="U863" i="1" s="1"/>
  <c r="S863" i="1"/>
  <c r="P863" i="1"/>
  <c r="P863" i="1" a="1"/>
  <c r="N863" i="1"/>
  <c r="J863" i="1" a="1"/>
  <c r="J863" i="1" s="1"/>
  <c r="G863" i="1" a="1"/>
  <c r="G863" i="1" s="1"/>
  <c r="D863" i="1"/>
  <c r="W862" i="1"/>
  <c r="U862" i="1" a="1"/>
  <c r="U862" i="1" s="1"/>
  <c r="S862" i="1"/>
  <c r="P862" i="1"/>
  <c r="P862" i="1" a="1"/>
  <c r="N862" i="1"/>
  <c r="J862" i="1" a="1"/>
  <c r="J862" i="1" s="1"/>
  <c r="G862" i="1"/>
  <c r="G862" i="1" a="1"/>
  <c r="D862" i="1"/>
  <c r="W861" i="1"/>
  <c r="U861" i="1" a="1"/>
  <c r="U861" i="1" s="1"/>
  <c r="S861" i="1"/>
  <c r="P861" i="1" a="1"/>
  <c r="P861" i="1" s="1"/>
  <c r="N861" i="1"/>
  <c r="J861" i="1" a="1"/>
  <c r="J861" i="1" s="1"/>
  <c r="G861" i="1"/>
  <c r="G861" i="1" a="1"/>
  <c r="D861" i="1"/>
  <c r="W860" i="1"/>
  <c r="U860" i="1" a="1"/>
  <c r="U860" i="1" s="1"/>
  <c r="S860" i="1"/>
  <c r="P860" i="1"/>
  <c r="P860" i="1" a="1"/>
  <c r="N860" i="1"/>
  <c r="J860" i="1" a="1"/>
  <c r="J860" i="1" s="1"/>
  <c r="G860" i="1" a="1"/>
  <c r="G860" i="1" s="1"/>
  <c r="D860" i="1"/>
  <c r="W859" i="1"/>
  <c r="U859" i="1"/>
  <c r="U859" i="1" a="1"/>
  <c r="S859" i="1"/>
  <c r="P859" i="1" a="1"/>
  <c r="P859" i="1" s="1"/>
  <c r="N859" i="1"/>
  <c r="J859" i="1" a="1"/>
  <c r="J859" i="1" s="1"/>
  <c r="G859" i="1" a="1"/>
  <c r="G859" i="1" s="1"/>
  <c r="D859" i="1"/>
  <c r="W858" i="1"/>
  <c r="U858" i="1" a="1"/>
  <c r="U858" i="1" s="1"/>
  <c r="S858" i="1"/>
  <c r="P858" i="1"/>
  <c r="P858" i="1" a="1"/>
  <c r="N858" i="1"/>
  <c r="J858" i="1" a="1"/>
  <c r="J858" i="1" s="1"/>
  <c r="G858" i="1" a="1"/>
  <c r="G858" i="1" s="1"/>
  <c r="D858" i="1"/>
  <c r="W857" i="1"/>
  <c r="U857" i="1" a="1"/>
  <c r="U857" i="1" s="1"/>
  <c r="S857" i="1"/>
  <c r="P857" i="1"/>
  <c r="P857" i="1" a="1"/>
  <c r="N857" i="1"/>
  <c r="J857" i="1"/>
  <c r="J857" i="1" a="1"/>
  <c r="G857" i="1" a="1"/>
  <c r="G857" i="1" s="1"/>
  <c r="D857" i="1"/>
  <c r="W856" i="1"/>
  <c r="U856" i="1" a="1"/>
  <c r="U856" i="1" s="1"/>
  <c r="S856" i="1"/>
  <c r="P856" i="1"/>
  <c r="P856" i="1" a="1"/>
  <c r="N856" i="1"/>
  <c r="J856" i="1" a="1"/>
  <c r="J856" i="1" s="1"/>
  <c r="G856" i="1" a="1"/>
  <c r="G856" i="1" s="1"/>
  <c r="D856" i="1"/>
  <c r="W855" i="1"/>
  <c r="U855" i="1" a="1"/>
  <c r="U855" i="1" s="1"/>
  <c r="S855" i="1"/>
  <c r="P855" i="1"/>
  <c r="P855" i="1" a="1"/>
  <c r="N855" i="1"/>
  <c r="J855" i="1"/>
  <c r="J855" i="1" a="1"/>
  <c r="G855" i="1" a="1"/>
  <c r="G855" i="1" s="1"/>
  <c r="D855" i="1"/>
  <c r="W854" i="1"/>
  <c r="U854" i="1" a="1"/>
  <c r="U854" i="1" s="1"/>
  <c r="S854" i="1"/>
  <c r="P854" i="1"/>
  <c r="P854" i="1" a="1"/>
  <c r="N854" i="1"/>
  <c r="J854" i="1" a="1"/>
  <c r="J854" i="1" s="1"/>
  <c r="G854" i="1" a="1"/>
  <c r="G854" i="1" s="1"/>
  <c r="D854" i="1"/>
  <c r="W853" i="1"/>
  <c r="U853" i="1" a="1"/>
  <c r="U853" i="1" s="1"/>
  <c r="S853" i="1"/>
  <c r="P853" i="1" a="1"/>
  <c r="P853" i="1" s="1"/>
  <c r="N853" i="1"/>
  <c r="J853" i="1" a="1"/>
  <c r="J853" i="1" s="1"/>
  <c r="G853" i="1" a="1"/>
  <c r="G853" i="1" s="1"/>
  <c r="D853" i="1"/>
  <c r="W852" i="1"/>
  <c r="U852" i="1" a="1"/>
  <c r="U852" i="1" s="1"/>
  <c r="S852" i="1"/>
  <c r="P852" i="1"/>
  <c r="P852" i="1" a="1"/>
  <c r="N852" i="1"/>
  <c r="J852" i="1" a="1"/>
  <c r="J852" i="1" s="1"/>
  <c r="G852" i="1"/>
  <c r="G852" i="1" a="1"/>
  <c r="D852" i="1"/>
  <c r="W851" i="1"/>
  <c r="U851" i="1"/>
  <c r="U851" i="1" a="1"/>
  <c r="S851" i="1"/>
  <c r="P851" i="1"/>
  <c r="P851" i="1" a="1"/>
  <c r="N851" i="1"/>
  <c r="J851" i="1" a="1"/>
  <c r="J851" i="1" s="1"/>
  <c r="G851" i="1" a="1"/>
  <c r="G851" i="1" s="1"/>
  <c r="D851" i="1"/>
  <c r="W850" i="1"/>
  <c r="U850" i="1"/>
  <c r="U850" i="1" a="1"/>
  <c r="S850" i="1"/>
  <c r="P850" i="1"/>
  <c r="P850" i="1" a="1"/>
  <c r="N850" i="1"/>
  <c r="J850" i="1" a="1"/>
  <c r="J850" i="1" s="1"/>
  <c r="G850" i="1" a="1"/>
  <c r="G850" i="1" s="1"/>
  <c r="D850" i="1"/>
  <c r="W849" i="1"/>
  <c r="U849" i="1" a="1"/>
  <c r="U849" i="1" s="1"/>
  <c r="S849" i="1"/>
  <c r="P849" i="1"/>
  <c r="P849" i="1" a="1"/>
  <c r="N849" i="1"/>
  <c r="J849" i="1" a="1"/>
  <c r="J849" i="1" s="1"/>
  <c r="G849" i="1" a="1"/>
  <c r="G849" i="1" s="1"/>
  <c r="D849" i="1"/>
  <c r="W848" i="1"/>
  <c r="U848" i="1" a="1"/>
  <c r="U848" i="1" s="1"/>
  <c r="S848" i="1"/>
  <c r="P848" i="1"/>
  <c r="P848" i="1" a="1"/>
  <c r="N848" i="1"/>
  <c r="J848" i="1"/>
  <c r="J848" i="1" a="1"/>
  <c r="G848" i="1" a="1"/>
  <c r="G848" i="1" s="1"/>
  <c r="D848" i="1"/>
  <c r="W847" i="1"/>
  <c r="U847" i="1" a="1"/>
  <c r="U847" i="1" s="1"/>
  <c r="S847" i="1"/>
  <c r="P847" i="1"/>
  <c r="P847" i="1" a="1"/>
  <c r="N847" i="1"/>
  <c r="J847" i="1" a="1"/>
  <c r="J847" i="1" s="1"/>
  <c r="G847" i="1" a="1"/>
  <c r="G847" i="1" s="1"/>
  <c r="D847" i="1"/>
  <c r="W846" i="1"/>
  <c r="U846" i="1" a="1"/>
  <c r="U846" i="1" s="1"/>
  <c r="S846" i="1"/>
  <c r="P846" i="1"/>
  <c r="P846" i="1" a="1"/>
  <c r="N846" i="1"/>
  <c r="J846" i="1" a="1"/>
  <c r="J846" i="1" s="1"/>
  <c r="G846" i="1"/>
  <c r="G846" i="1" a="1"/>
  <c r="D846" i="1"/>
  <c r="W845" i="1"/>
  <c r="U845" i="1"/>
  <c r="U845" i="1" a="1"/>
  <c r="S845" i="1"/>
  <c r="P845" i="1"/>
  <c r="P845" i="1" a="1"/>
  <c r="N845" i="1"/>
  <c r="J845" i="1" a="1"/>
  <c r="J845" i="1" s="1"/>
  <c r="G845" i="1" a="1"/>
  <c r="G845" i="1" s="1"/>
  <c r="D845" i="1"/>
  <c r="W844" i="1"/>
  <c r="U844" i="1"/>
  <c r="U844" i="1" a="1"/>
  <c r="S844" i="1"/>
  <c r="P844" i="1"/>
  <c r="P844" i="1" a="1"/>
  <c r="N844" i="1"/>
  <c r="J844" i="1" a="1"/>
  <c r="J844" i="1" s="1"/>
  <c r="G844" i="1" a="1"/>
  <c r="G844" i="1" s="1"/>
  <c r="D844" i="1"/>
  <c r="W843" i="1"/>
  <c r="U843" i="1" a="1"/>
  <c r="U843" i="1" s="1"/>
  <c r="S843" i="1"/>
  <c r="P843" i="1"/>
  <c r="P843" i="1" a="1"/>
  <c r="N843" i="1"/>
  <c r="J843" i="1" a="1"/>
  <c r="J843" i="1" s="1"/>
  <c r="G843" i="1" a="1"/>
  <c r="G843" i="1" s="1"/>
  <c r="D843" i="1"/>
  <c r="W842" i="1"/>
  <c r="U842" i="1" a="1"/>
  <c r="U842" i="1" s="1"/>
  <c r="S842" i="1"/>
  <c r="P842" i="1"/>
  <c r="P842" i="1" a="1"/>
  <c r="N842" i="1"/>
  <c r="J842" i="1"/>
  <c r="J842" i="1" a="1"/>
  <c r="G842" i="1" a="1"/>
  <c r="G842" i="1" s="1"/>
  <c r="D842" i="1"/>
  <c r="W841" i="1"/>
  <c r="U841" i="1" a="1"/>
  <c r="U841" i="1" s="1"/>
  <c r="S841" i="1"/>
  <c r="P841" i="1"/>
  <c r="P841" i="1" a="1"/>
  <c r="N841" i="1"/>
  <c r="J841" i="1" a="1"/>
  <c r="J841" i="1" s="1"/>
  <c r="G841" i="1" a="1"/>
  <c r="G841" i="1" s="1"/>
  <c r="D841" i="1"/>
  <c r="W840" i="1"/>
  <c r="U840" i="1" a="1"/>
  <c r="U840" i="1" s="1"/>
  <c r="S840" i="1"/>
  <c r="P840" i="1"/>
  <c r="P840" i="1" a="1"/>
  <c r="N840" i="1"/>
  <c r="J840" i="1" a="1"/>
  <c r="J840" i="1" s="1"/>
  <c r="G840" i="1"/>
  <c r="G840" i="1" a="1"/>
  <c r="D840" i="1"/>
  <c r="W839" i="1"/>
  <c r="U839" i="1" a="1"/>
  <c r="U839" i="1" s="1"/>
  <c r="S839" i="1"/>
  <c r="P839" i="1"/>
  <c r="P839" i="1" a="1"/>
  <c r="N839" i="1"/>
  <c r="J839" i="1" a="1"/>
  <c r="J839" i="1" s="1"/>
  <c r="G839" i="1" a="1"/>
  <c r="G839" i="1" s="1"/>
  <c r="D839" i="1"/>
  <c r="W838" i="1"/>
  <c r="U838" i="1" a="1"/>
  <c r="U838" i="1" s="1"/>
  <c r="S838" i="1"/>
  <c r="P838" i="1"/>
  <c r="P838" i="1" a="1"/>
  <c r="N838" i="1"/>
  <c r="J838" i="1" a="1"/>
  <c r="J838" i="1" s="1"/>
  <c r="G838" i="1" a="1"/>
  <c r="G838" i="1" s="1"/>
  <c r="D838" i="1"/>
  <c r="W837" i="1"/>
  <c r="U837" i="1" a="1"/>
  <c r="U837" i="1" s="1"/>
  <c r="S837" i="1"/>
  <c r="P837" i="1"/>
  <c r="P837" i="1" a="1"/>
  <c r="N837" i="1"/>
  <c r="J837" i="1" a="1"/>
  <c r="J837" i="1" s="1"/>
  <c r="G837" i="1" a="1"/>
  <c r="G837" i="1" s="1"/>
  <c r="D837" i="1"/>
  <c r="W836" i="1"/>
  <c r="U836" i="1" a="1"/>
  <c r="U836" i="1" s="1"/>
  <c r="S836" i="1"/>
  <c r="P836" i="1"/>
  <c r="P836" i="1" a="1"/>
  <c r="N836" i="1"/>
  <c r="J836" i="1"/>
  <c r="J836" i="1" a="1"/>
  <c r="G836" i="1" a="1"/>
  <c r="G836" i="1" s="1"/>
  <c r="D836" i="1"/>
  <c r="W835" i="1"/>
  <c r="U835" i="1"/>
  <c r="U835" i="1" a="1"/>
  <c r="S835" i="1"/>
  <c r="P835" i="1"/>
  <c r="P835" i="1" a="1"/>
  <c r="N835" i="1"/>
  <c r="J835" i="1" a="1"/>
  <c r="J835" i="1" s="1"/>
  <c r="G835" i="1" a="1"/>
  <c r="G835" i="1" s="1"/>
  <c r="D835" i="1"/>
  <c r="W834" i="1"/>
  <c r="U834" i="1" a="1"/>
  <c r="U834" i="1" s="1"/>
  <c r="S834" i="1"/>
  <c r="P834" i="1"/>
  <c r="P834" i="1" a="1"/>
  <c r="N834" i="1"/>
  <c r="J834" i="1" a="1"/>
  <c r="J834" i="1" s="1"/>
  <c r="G834" i="1"/>
  <c r="G834" i="1" a="1"/>
  <c r="D834" i="1"/>
  <c r="W833" i="1"/>
  <c r="U833" i="1" a="1"/>
  <c r="U833" i="1" s="1"/>
  <c r="S833" i="1"/>
  <c r="P833" i="1"/>
  <c r="P833" i="1" a="1"/>
  <c r="N833" i="1"/>
  <c r="J833" i="1" a="1"/>
  <c r="J833" i="1" s="1"/>
  <c r="G833" i="1" a="1"/>
  <c r="G833" i="1" s="1"/>
  <c r="D833" i="1"/>
  <c r="W832" i="1"/>
  <c r="U832" i="1" a="1"/>
  <c r="U832" i="1" s="1"/>
  <c r="S832" i="1"/>
  <c r="P832" i="1"/>
  <c r="P832" i="1" a="1"/>
  <c r="N832" i="1"/>
  <c r="J832" i="1" a="1"/>
  <c r="J832" i="1" s="1"/>
  <c r="G832" i="1" a="1"/>
  <c r="G832" i="1" s="1"/>
  <c r="D832" i="1"/>
  <c r="W831" i="1"/>
  <c r="U831" i="1" a="1"/>
  <c r="U831" i="1" s="1"/>
  <c r="S831" i="1"/>
  <c r="P831" i="1"/>
  <c r="P831" i="1" a="1"/>
  <c r="N831" i="1"/>
  <c r="J831" i="1" a="1"/>
  <c r="J831" i="1" s="1"/>
  <c r="G831" i="1" a="1"/>
  <c r="G831" i="1" s="1"/>
  <c r="D831" i="1"/>
  <c r="W830" i="1"/>
  <c r="U830" i="1" a="1"/>
  <c r="U830" i="1" s="1"/>
  <c r="S830" i="1"/>
  <c r="P830" i="1"/>
  <c r="P830" i="1" a="1"/>
  <c r="N830" i="1"/>
  <c r="J830" i="1"/>
  <c r="J830" i="1" a="1"/>
  <c r="G830" i="1" a="1"/>
  <c r="G830" i="1" s="1"/>
  <c r="D830" i="1"/>
  <c r="W829" i="1"/>
  <c r="U829" i="1"/>
  <c r="U829" i="1" a="1"/>
  <c r="S829" i="1"/>
  <c r="P829" i="1"/>
  <c r="P829" i="1" a="1"/>
  <c r="N829" i="1"/>
  <c r="J829" i="1" a="1"/>
  <c r="J829" i="1" s="1"/>
  <c r="G829" i="1" a="1"/>
  <c r="G829" i="1" s="1"/>
  <c r="D829" i="1"/>
  <c r="W828" i="1"/>
  <c r="U828" i="1" a="1"/>
  <c r="U828" i="1" s="1"/>
  <c r="S828" i="1"/>
  <c r="P828" i="1"/>
  <c r="P828" i="1" a="1"/>
  <c r="N828" i="1"/>
  <c r="J828" i="1" a="1"/>
  <c r="J828" i="1" s="1"/>
  <c r="G828" i="1"/>
  <c r="G828" i="1" a="1"/>
  <c r="D828" i="1"/>
  <c r="W827" i="1"/>
  <c r="U827" i="1" a="1"/>
  <c r="U827" i="1" s="1"/>
  <c r="S827" i="1"/>
  <c r="P827" i="1"/>
  <c r="P827" i="1" a="1"/>
  <c r="N827" i="1"/>
  <c r="J827" i="1" a="1"/>
  <c r="J827" i="1" s="1"/>
  <c r="G827" i="1" a="1"/>
  <c r="G827" i="1" s="1"/>
  <c r="D827" i="1"/>
  <c r="W826" i="1"/>
  <c r="U826" i="1" a="1"/>
  <c r="U826" i="1" s="1"/>
  <c r="S826" i="1"/>
  <c r="P826" i="1"/>
  <c r="P826" i="1" a="1"/>
  <c r="N826" i="1"/>
  <c r="J826" i="1" a="1"/>
  <c r="J826" i="1" s="1"/>
  <c r="G826" i="1" a="1"/>
  <c r="G826" i="1" s="1"/>
  <c r="D826" i="1"/>
  <c r="W825" i="1"/>
  <c r="U825" i="1" a="1"/>
  <c r="U825" i="1" s="1"/>
  <c r="S825" i="1"/>
  <c r="P825" i="1"/>
  <c r="P825" i="1" a="1"/>
  <c r="N825" i="1"/>
  <c r="J825" i="1" a="1"/>
  <c r="J825" i="1" s="1"/>
  <c r="G825" i="1" a="1"/>
  <c r="G825" i="1" s="1"/>
  <c r="D825" i="1"/>
  <c r="W824" i="1"/>
  <c r="U824" i="1" a="1"/>
  <c r="U824" i="1" s="1"/>
  <c r="S824" i="1"/>
  <c r="P824" i="1"/>
  <c r="P824" i="1" a="1"/>
  <c r="N824" i="1"/>
  <c r="J824" i="1"/>
  <c r="J824" i="1" a="1"/>
  <c r="G824" i="1" a="1"/>
  <c r="G824" i="1" s="1"/>
  <c r="D824" i="1"/>
  <c r="W823" i="1"/>
  <c r="U823" i="1"/>
  <c r="U823" i="1" a="1"/>
  <c r="S823" i="1"/>
  <c r="P823" i="1"/>
  <c r="P823" i="1" a="1"/>
  <c r="N823" i="1"/>
  <c r="J823" i="1" a="1"/>
  <c r="J823" i="1" s="1"/>
  <c r="G823" i="1" a="1"/>
  <c r="G823" i="1" s="1"/>
  <c r="D823" i="1"/>
  <c r="W822" i="1"/>
  <c r="U822" i="1" a="1"/>
  <c r="U822" i="1" s="1"/>
  <c r="S822" i="1"/>
  <c r="P822" i="1"/>
  <c r="P822" i="1" a="1"/>
  <c r="N822" i="1"/>
  <c r="J822" i="1"/>
  <c r="J822" i="1" a="1"/>
  <c r="G822" i="1" a="1"/>
  <c r="G822" i="1" s="1"/>
  <c r="D822" i="1"/>
  <c r="W821" i="1"/>
  <c r="U821" i="1" a="1"/>
  <c r="U821" i="1" s="1"/>
  <c r="S821" i="1"/>
  <c r="P821" i="1"/>
  <c r="P821" i="1" a="1"/>
  <c r="N821" i="1"/>
  <c r="J821" i="1" a="1"/>
  <c r="J821" i="1" s="1"/>
  <c r="G821" i="1" a="1"/>
  <c r="G821" i="1" s="1"/>
  <c r="D821" i="1"/>
  <c r="W820" i="1"/>
  <c r="U820" i="1"/>
  <c r="U820" i="1" a="1"/>
  <c r="S820" i="1"/>
  <c r="P820" i="1" a="1"/>
  <c r="P820" i="1" s="1"/>
  <c r="N820" i="1"/>
  <c r="J820" i="1" a="1"/>
  <c r="J820" i="1" s="1"/>
  <c r="G820" i="1" a="1"/>
  <c r="G820" i="1" s="1"/>
  <c r="D820" i="1"/>
  <c r="W819" i="1"/>
  <c r="U819" i="1" a="1"/>
  <c r="U819" i="1" s="1"/>
  <c r="S819" i="1"/>
  <c r="P819" i="1" a="1"/>
  <c r="P819" i="1" s="1"/>
  <c r="N819" i="1"/>
  <c r="J819" i="1"/>
  <c r="J819" i="1" a="1"/>
  <c r="G819" i="1" a="1"/>
  <c r="G819" i="1" s="1"/>
  <c r="D819" i="1"/>
  <c r="W818" i="1"/>
  <c r="U818" i="1"/>
  <c r="U818" i="1" a="1"/>
  <c r="S818" i="1"/>
  <c r="P818" i="1"/>
  <c r="P818" i="1" a="1"/>
  <c r="N818" i="1"/>
  <c r="J818" i="1" a="1"/>
  <c r="J818" i="1" s="1"/>
  <c r="G818" i="1" a="1"/>
  <c r="G818" i="1" s="1"/>
  <c r="D818" i="1"/>
  <c r="W817" i="1"/>
  <c r="U817" i="1" a="1"/>
  <c r="U817" i="1" s="1"/>
  <c r="S817" i="1"/>
  <c r="P817" i="1"/>
  <c r="P817" i="1" a="1"/>
  <c r="N817" i="1"/>
  <c r="J817" i="1" a="1"/>
  <c r="J817" i="1" s="1"/>
  <c r="G817" i="1" a="1"/>
  <c r="G817" i="1" s="1"/>
  <c r="D817" i="1"/>
  <c r="W816" i="1"/>
  <c r="U816" i="1" a="1"/>
  <c r="U816" i="1" s="1"/>
  <c r="S816" i="1"/>
  <c r="P816" i="1"/>
  <c r="P816" i="1" a="1"/>
  <c r="N816" i="1"/>
  <c r="J816" i="1" a="1"/>
  <c r="J816" i="1" s="1"/>
  <c r="G816" i="1" a="1"/>
  <c r="G816" i="1" s="1"/>
  <c r="D816" i="1"/>
  <c r="W815" i="1"/>
  <c r="U815" i="1" a="1"/>
  <c r="U815" i="1" s="1"/>
  <c r="S815" i="1"/>
  <c r="P815" i="1"/>
  <c r="P815" i="1" a="1"/>
  <c r="N815" i="1"/>
  <c r="J815" i="1" a="1"/>
  <c r="J815" i="1" s="1"/>
  <c r="G815" i="1" a="1"/>
  <c r="G815" i="1" s="1"/>
  <c r="D815" i="1"/>
  <c r="W814" i="1"/>
  <c r="U814" i="1" a="1"/>
  <c r="U814" i="1" s="1"/>
  <c r="S814" i="1"/>
  <c r="P814" i="1" a="1"/>
  <c r="P814" i="1" s="1"/>
  <c r="N814" i="1"/>
  <c r="J814" i="1" a="1"/>
  <c r="J814" i="1" s="1"/>
  <c r="G814" i="1"/>
  <c r="G814" i="1" a="1"/>
  <c r="D814" i="1"/>
  <c r="W813" i="1"/>
  <c r="U813" i="1" a="1"/>
  <c r="U813" i="1" s="1"/>
  <c r="S813" i="1"/>
  <c r="P813" i="1" a="1"/>
  <c r="P813" i="1" s="1"/>
  <c r="N813" i="1"/>
  <c r="J813" i="1" a="1"/>
  <c r="J813" i="1" s="1"/>
  <c r="G813" i="1"/>
  <c r="G813" i="1" a="1"/>
  <c r="D813" i="1"/>
  <c r="W812" i="1"/>
  <c r="U812" i="1"/>
  <c r="U812" i="1" a="1"/>
  <c r="S812" i="1"/>
  <c r="P812" i="1"/>
  <c r="P812" i="1" a="1"/>
  <c r="N812" i="1"/>
  <c r="J812" i="1"/>
  <c r="J812" i="1" a="1"/>
  <c r="G812" i="1" a="1"/>
  <c r="G812" i="1" s="1"/>
  <c r="D812" i="1"/>
  <c r="W811" i="1"/>
  <c r="U811" i="1" a="1"/>
  <c r="U811" i="1" s="1"/>
  <c r="S811" i="1"/>
  <c r="P811" i="1" a="1"/>
  <c r="P811" i="1" s="1"/>
  <c r="N811" i="1"/>
  <c r="J811" i="1" a="1"/>
  <c r="J811" i="1" s="1"/>
  <c r="G811" i="1" a="1"/>
  <c r="G811" i="1" s="1"/>
  <c r="D811" i="1"/>
  <c r="W810" i="1"/>
  <c r="U810" i="1" a="1"/>
  <c r="U810" i="1" s="1"/>
  <c r="S810" i="1"/>
  <c r="P810" i="1"/>
  <c r="P810" i="1" a="1"/>
  <c r="N810" i="1"/>
  <c r="J810" i="1" a="1"/>
  <c r="J810" i="1" s="1"/>
  <c r="G810" i="1" a="1"/>
  <c r="G810" i="1" s="1"/>
  <c r="D810" i="1"/>
  <c r="W809" i="1"/>
  <c r="U809" i="1"/>
  <c r="U809" i="1" a="1"/>
  <c r="S809" i="1"/>
  <c r="P809" i="1"/>
  <c r="P809" i="1" a="1"/>
  <c r="N809" i="1"/>
  <c r="J809" i="1" a="1"/>
  <c r="J809" i="1" s="1"/>
  <c r="G809" i="1" a="1"/>
  <c r="G809" i="1" s="1"/>
  <c r="D809" i="1"/>
  <c r="W808" i="1"/>
  <c r="U808" i="1"/>
  <c r="U808" i="1" a="1"/>
  <c r="S808" i="1"/>
  <c r="P808" i="1"/>
  <c r="P808" i="1" a="1"/>
  <c r="N808" i="1"/>
  <c r="J808" i="1" a="1"/>
  <c r="J808" i="1" s="1"/>
  <c r="G808" i="1"/>
  <c r="G808" i="1" a="1"/>
  <c r="D808" i="1"/>
  <c r="W807" i="1"/>
  <c r="U807" i="1"/>
  <c r="U807" i="1" a="1"/>
  <c r="S807" i="1"/>
  <c r="P807" i="1" a="1"/>
  <c r="P807" i="1" s="1"/>
  <c r="N807" i="1"/>
  <c r="J807" i="1"/>
  <c r="J807" i="1" a="1"/>
  <c r="G807" i="1"/>
  <c r="G807" i="1" a="1"/>
  <c r="D807" i="1"/>
  <c r="W806" i="1"/>
  <c r="U806" i="1" a="1"/>
  <c r="U806" i="1" s="1"/>
  <c r="S806" i="1"/>
  <c r="P806" i="1"/>
  <c r="P806" i="1" a="1"/>
  <c r="N806" i="1"/>
  <c r="J806" i="1"/>
  <c r="J806" i="1" a="1"/>
  <c r="G806" i="1"/>
  <c r="G806" i="1" a="1"/>
  <c r="D806" i="1"/>
  <c r="W805" i="1"/>
  <c r="U805" i="1" a="1"/>
  <c r="U805" i="1" s="1"/>
  <c r="S805" i="1"/>
  <c r="P805" i="1"/>
  <c r="P805" i="1" a="1"/>
  <c r="N805" i="1"/>
  <c r="J805" i="1"/>
  <c r="J805" i="1" a="1"/>
  <c r="G805" i="1" a="1"/>
  <c r="G805" i="1" s="1"/>
  <c r="D805" i="1"/>
  <c r="W804" i="1"/>
  <c r="U804" i="1" a="1"/>
  <c r="U804" i="1" s="1"/>
  <c r="S804" i="1"/>
  <c r="P804" i="1" a="1"/>
  <c r="P804" i="1" s="1"/>
  <c r="N804" i="1"/>
  <c r="J804" i="1" a="1"/>
  <c r="J804" i="1" s="1"/>
  <c r="G804" i="1" a="1"/>
  <c r="G804" i="1" s="1"/>
  <c r="D804" i="1"/>
  <c r="W803" i="1"/>
  <c r="U803" i="1"/>
  <c r="U803" i="1" a="1"/>
  <c r="S803" i="1"/>
  <c r="P803" i="1" a="1"/>
  <c r="P803" i="1" s="1"/>
  <c r="N803" i="1"/>
  <c r="J803" i="1" a="1"/>
  <c r="J803" i="1" s="1"/>
  <c r="G803" i="1" a="1"/>
  <c r="G803" i="1" s="1"/>
  <c r="D803" i="1"/>
  <c r="W802" i="1"/>
  <c r="U802" i="1"/>
  <c r="U802" i="1" a="1"/>
  <c r="S802" i="1"/>
  <c r="P802" i="1"/>
  <c r="P802" i="1" a="1"/>
  <c r="N802" i="1"/>
  <c r="J802" i="1" a="1"/>
  <c r="J802" i="1" s="1"/>
  <c r="G802" i="1"/>
  <c r="G802" i="1" a="1"/>
  <c r="D802" i="1"/>
  <c r="W801" i="1"/>
  <c r="U801" i="1"/>
  <c r="U801" i="1" a="1"/>
  <c r="S801" i="1"/>
  <c r="P801" i="1" a="1"/>
  <c r="P801" i="1" s="1"/>
  <c r="N801" i="1"/>
  <c r="J801" i="1"/>
  <c r="J801" i="1" a="1"/>
  <c r="G801" i="1"/>
  <c r="G801" i="1" a="1"/>
  <c r="D801" i="1"/>
  <c r="W800" i="1"/>
  <c r="U800" i="1" a="1"/>
  <c r="U800" i="1" s="1"/>
  <c r="S800" i="1"/>
  <c r="P800" i="1"/>
  <c r="P800" i="1" a="1"/>
  <c r="N800" i="1"/>
  <c r="J800" i="1"/>
  <c r="J800" i="1" a="1"/>
  <c r="G800" i="1"/>
  <c r="G800" i="1" a="1"/>
  <c r="D800" i="1"/>
  <c r="W799" i="1"/>
  <c r="U799" i="1" a="1"/>
  <c r="U799" i="1" s="1"/>
  <c r="S799" i="1"/>
  <c r="P799" i="1" a="1"/>
  <c r="P799" i="1" s="1"/>
  <c r="N799" i="1"/>
  <c r="J799" i="1"/>
  <c r="J799" i="1" a="1"/>
  <c r="G799" i="1" a="1"/>
  <c r="G799" i="1" s="1"/>
  <c r="D799" i="1"/>
  <c r="W798" i="1"/>
  <c r="U798" i="1" a="1"/>
  <c r="U798" i="1" s="1"/>
  <c r="S798" i="1"/>
  <c r="P798" i="1" a="1"/>
  <c r="P798" i="1" s="1"/>
  <c r="N798" i="1"/>
  <c r="J798" i="1" a="1"/>
  <c r="J798" i="1" s="1"/>
  <c r="G798" i="1" a="1"/>
  <c r="G798" i="1" s="1"/>
  <c r="D798" i="1"/>
  <c r="W797" i="1"/>
  <c r="U797" i="1"/>
  <c r="U797" i="1" a="1"/>
  <c r="S797" i="1"/>
  <c r="P797" i="1" a="1"/>
  <c r="P797" i="1" s="1"/>
  <c r="N797" i="1"/>
  <c r="J797" i="1" a="1"/>
  <c r="J797" i="1" s="1"/>
  <c r="G797" i="1" a="1"/>
  <c r="G797" i="1" s="1"/>
  <c r="D797" i="1"/>
  <c r="W796" i="1"/>
  <c r="U796" i="1"/>
  <c r="U796" i="1" a="1"/>
  <c r="S796" i="1"/>
  <c r="P796" i="1"/>
  <c r="P796" i="1" a="1"/>
  <c r="N796" i="1"/>
  <c r="J796" i="1" a="1"/>
  <c r="J796" i="1" s="1"/>
  <c r="G796" i="1"/>
  <c r="G796" i="1" a="1"/>
  <c r="D796" i="1"/>
  <c r="W795" i="1"/>
  <c r="U795" i="1"/>
  <c r="U795" i="1" a="1"/>
  <c r="S795" i="1"/>
  <c r="P795" i="1" a="1"/>
  <c r="P795" i="1" s="1"/>
  <c r="N795" i="1"/>
  <c r="J795" i="1"/>
  <c r="J795" i="1" a="1"/>
  <c r="G795" i="1"/>
  <c r="G795" i="1" a="1"/>
  <c r="D795" i="1"/>
  <c r="W794" i="1"/>
  <c r="U794" i="1" a="1"/>
  <c r="U794" i="1" s="1"/>
  <c r="S794" i="1"/>
  <c r="P794" i="1"/>
  <c r="P794" i="1" a="1"/>
  <c r="N794" i="1"/>
  <c r="J794" i="1"/>
  <c r="J794" i="1" a="1"/>
  <c r="G794" i="1"/>
  <c r="G794" i="1" a="1"/>
  <c r="D794" i="1"/>
  <c r="W793" i="1"/>
  <c r="U793" i="1" a="1"/>
  <c r="U793" i="1" s="1"/>
  <c r="S793" i="1"/>
  <c r="P793" i="1" a="1"/>
  <c r="P793" i="1" s="1"/>
  <c r="N793" i="1"/>
  <c r="J793" i="1"/>
  <c r="J793" i="1" a="1"/>
  <c r="G793" i="1" a="1"/>
  <c r="G793" i="1" s="1"/>
  <c r="D793" i="1"/>
  <c r="W792" i="1"/>
  <c r="U792" i="1" a="1"/>
  <c r="U792" i="1" s="1"/>
  <c r="S792" i="1"/>
  <c r="P792" i="1" a="1"/>
  <c r="P792" i="1" s="1"/>
  <c r="N792" i="1"/>
  <c r="J792" i="1" a="1"/>
  <c r="J792" i="1" s="1"/>
  <c r="G792" i="1" a="1"/>
  <c r="G792" i="1" s="1"/>
  <c r="D792" i="1"/>
  <c r="W791" i="1"/>
  <c r="U791" i="1"/>
  <c r="U791" i="1" a="1"/>
  <c r="S791" i="1"/>
  <c r="P791" i="1" a="1"/>
  <c r="P791" i="1" s="1"/>
  <c r="N791" i="1"/>
  <c r="J791" i="1" a="1"/>
  <c r="J791" i="1" s="1"/>
  <c r="G791" i="1" a="1"/>
  <c r="G791" i="1" s="1"/>
  <c r="D791" i="1"/>
  <c r="W790" i="1"/>
  <c r="U790" i="1"/>
  <c r="U790" i="1" a="1"/>
  <c r="S790" i="1"/>
  <c r="P790" i="1"/>
  <c r="P790" i="1" a="1"/>
  <c r="N790" i="1"/>
  <c r="J790" i="1" a="1"/>
  <c r="J790" i="1" s="1"/>
  <c r="G790" i="1"/>
  <c r="G790" i="1" a="1"/>
  <c r="D790" i="1"/>
  <c r="W789" i="1"/>
  <c r="U789" i="1"/>
  <c r="U789" i="1" a="1"/>
  <c r="S789" i="1"/>
  <c r="P789" i="1" a="1"/>
  <c r="P789" i="1" s="1"/>
  <c r="N789" i="1"/>
  <c r="J789" i="1"/>
  <c r="J789" i="1" a="1"/>
  <c r="G789" i="1"/>
  <c r="G789" i="1" a="1"/>
  <c r="D789" i="1"/>
  <c r="W788" i="1"/>
  <c r="U788" i="1" a="1"/>
  <c r="U788" i="1" s="1"/>
  <c r="S788" i="1"/>
  <c r="P788" i="1"/>
  <c r="P788" i="1" a="1"/>
  <c r="N788" i="1"/>
  <c r="J788" i="1"/>
  <c r="J788" i="1" a="1"/>
  <c r="G788" i="1"/>
  <c r="G788" i="1" a="1"/>
  <c r="D788" i="1"/>
  <c r="W787" i="1"/>
  <c r="U787" i="1" a="1"/>
  <c r="U787" i="1" s="1"/>
  <c r="S787" i="1"/>
  <c r="P787" i="1"/>
  <c r="P787" i="1" a="1"/>
  <c r="N787" i="1"/>
  <c r="J787" i="1"/>
  <c r="J787" i="1" a="1"/>
  <c r="G787" i="1" a="1"/>
  <c r="G787" i="1" s="1"/>
  <c r="D787" i="1"/>
  <c r="W786" i="1"/>
  <c r="U786" i="1" a="1"/>
  <c r="U786" i="1" s="1"/>
  <c r="S786" i="1"/>
  <c r="P786" i="1" a="1"/>
  <c r="P786" i="1" s="1"/>
  <c r="N786" i="1"/>
  <c r="J786" i="1" a="1"/>
  <c r="J786" i="1" s="1"/>
  <c r="G786" i="1" a="1"/>
  <c r="G786" i="1" s="1"/>
  <c r="D786" i="1"/>
  <c r="W785" i="1"/>
  <c r="U785" i="1"/>
  <c r="U785" i="1" a="1"/>
  <c r="S785" i="1"/>
  <c r="P785" i="1" a="1"/>
  <c r="P785" i="1" s="1"/>
  <c r="N785" i="1"/>
  <c r="J785" i="1" a="1"/>
  <c r="J785" i="1" s="1"/>
  <c r="G785" i="1" a="1"/>
  <c r="G785" i="1" s="1"/>
  <c r="D785" i="1"/>
  <c r="W784" i="1"/>
  <c r="U784" i="1"/>
  <c r="U784" i="1" a="1"/>
  <c r="S784" i="1"/>
  <c r="P784" i="1"/>
  <c r="P784" i="1" a="1"/>
  <c r="N784" i="1"/>
  <c r="J784" i="1" a="1"/>
  <c r="J784" i="1" s="1"/>
  <c r="G784" i="1"/>
  <c r="G784" i="1" a="1"/>
  <c r="D784" i="1"/>
  <c r="W783" i="1"/>
  <c r="U783" i="1"/>
  <c r="U783" i="1" a="1"/>
  <c r="S783" i="1"/>
  <c r="P783" i="1" a="1"/>
  <c r="P783" i="1" s="1"/>
  <c r="N783" i="1"/>
  <c r="J783" i="1"/>
  <c r="J783" i="1" a="1"/>
  <c r="G783" i="1"/>
  <c r="G783" i="1" a="1"/>
  <c r="D783" i="1"/>
  <c r="W782" i="1"/>
  <c r="U782" i="1" a="1"/>
  <c r="U782" i="1" s="1"/>
  <c r="S782" i="1"/>
  <c r="P782" i="1"/>
  <c r="P782" i="1" a="1"/>
  <c r="N782" i="1"/>
  <c r="J782" i="1"/>
  <c r="J782" i="1" a="1"/>
  <c r="G782" i="1" a="1"/>
  <c r="G782" i="1" s="1"/>
  <c r="D782" i="1"/>
  <c r="W781" i="1"/>
  <c r="U781" i="1" a="1"/>
  <c r="U781" i="1" s="1"/>
  <c r="S781" i="1"/>
  <c r="P781" i="1" a="1"/>
  <c r="P781" i="1" s="1"/>
  <c r="N781" i="1"/>
  <c r="J781" i="1" a="1"/>
  <c r="J781" i="1" s="1"/>
  <c r="G781" i="1" a="1"/>
  <c r="G781" i="1" s="1"/>
  <c r="D781" i="1"/>
  <c r="W780" i="1"/>
  <c r="U780" i="1" a="1"/>
  <c r="U780" i="1" s="1"/>
  <c r="S780" i="1"/>
  <c r="P780" i="1"/>
  <c r="P780" i="1" a="1"/>
  <c r="N780" i="1"/>
  <c r="J780" i="1" a="1"/>
  <c r="J780" i="1" s="1"/>
  <c r="G780" i="1" a="1"/>
  <c r="G780" i="1" s="1"/>
  <c r="D780" i="1"/>
  <c r="W779" i="1"/>
  <c r="U779" i="1"/>
  <c r="U779" i="1" a="1"/>
  <c r="S779" i="1"/>
  <c r="P779" i="1" a="1"/>
  <c r="P779" i="1" s="1"/>
  <c r="N779" i="1"/>
  <c r="J779" i="1" a="1"/>
  <c r="J779" i="1" s="1"/>
  <c r="G779" i="1" a="1"/>
  <c r="G779" i="1" s="1"/>
  <c r="D779" i="1"/>
  <c r="W778" i="1"/>
  <c r="U778" i="1" a="1"/>
  <c r="U778" i="1" s="1"/>
  <c r="S778" i="1"/>
  <c r="P778" i="1"/>
  <c r="P778" i="1" a="1"/>
  <c r="N778" i="1"/>
  <c r="J778" i="1" a="1"/>
  <c r="J778" i="1" s="1"/>
  <c r="G778" i="1"/>
  <c r="G778" i="1" a="1"/>
  <c r="D778" i="1"/>
  <c r="W777" i="1"/>
  <c r="U777" i="1" a="1"/>
  <c r="U777" i="1" s="1"/>
  <c r="S777" i="1"/>
  <c r="P777" i="1" a="1"/>
  <c r="P777" i="1" s="1"/>
  <c r="N777" i="1"/>
  <c r="J777" i="1"/>
  <c r="J777" i="1" a="1"/>
  <c r="G777" i="1" a="1"/>
  <c r="G777" i="1" s="1"/>
  <c r="D777" i="1"/>
  <c r="W776" i="1"/>
  <c r="U776" i="1" a="1"/>
  <c r="U776" i="1" s="1"/>
  <c r="S776" i="1"/>
  <c r="P776" i="1"/>
  <c r="P776" i="1" a="1"/>
  <c r="N776" i="1"/>
  <c r="J776" i="1" a="1"/>
  <c r="J776" i="1" s="1"/>
  <c r="G776" i="1" a="1"/>
  <c r="G776" i="1" s="1"/>
  <c r="D776" i="1"/>
  <c r="W775" i="1"/>
  <c r="U775" i="1" a="1"/>
  <c r="U775" i="1" s="1"/>
  <c r="S775" i="1"/>
  <c r="P775" i="1"/>
  <c r="P775" i="1" a="1"/>
  <c r="N775" i="1"/>
  <c r="J775" i="1" a="1"/>
  <c r="J775" i="1" s="1"/>
  <c r="G775" i="1" a="1"/>
  <c r="G775" i="1" s="1"/>
  <c r="D775" i="1"/>
  <c r="W774" i="1"/>
  <c r="U774" i="1" a="1"/>
  <c r="U774" i="1" s="1"/>
  <c r="S774" i="1"/>
  <c r="P774" i="1"/>
  <c r="P774" i="1" a="1"/>
  <c r="N774" i="1"/>
  <c r="J774" i="1" a="1"/>
  <c r="J774" i="1" s="1"/>
  <c r="G774" i="1" a="1"/>
  <c r="G774" i="1" s="1"/>
  <c r="D774" i="1"/>
  <c r="W773" i="1"/>
  <c r="U773" i="1"/>
  <c r="U773" i="1" a="1"/>
  <c r="S773" i="1"/>
  <c r="P773" i="1"/>
  <c r="P773" i="1" a="1"/>
  <c r="N773" i="1"/>
  <c r="J773" i="1" a="1"/>
  <c r="J773" i="1" s="1"/>
  <c r="G773" i="1" a="1"/>
  <c r="G773" i="1" s="1"/>
  <c r="D773" i="1"/>
  <c r="W772" i="1"/>
  <c r="U772" i="1" a="1"/>
  <c r="U772" i="1" s="1"/>
  <c r="S772" i="1"/>
  <c r="P772" i="1"/>
  <c r="P772" i="1" a="1"/>
  <c r="N772" i="1"/>
  <c r="J772" i="1" a="1"/>
  <c r="J772" i="1" s="1"/>
  <c r="G772" i="1"/>
  <c r="G772" i="1" a="1"/>
  <c r="D772" i="1"/>
  <c r="W771" i="1"/>
  <c r="U771" i="1" a="1"/>
  <c r="U771" i="1" s="1"/>
  <c r="S771" i="1"/>
  <c r="P771" i="1" a="1"/>
  <c r="P771" i="1" s="1"/>
  <c r="N771" i="1"/>
  <c r="J771" i="1"/>
  <c r="J771" i="1" a="1"/>
  <c r="G771" i="1" a="1"/>
  <c r="G771" i="1" s="1"/>
  <c r="D771" i="1"/>
  <c r="W770" i="1"/>
  <c r="U770" i="1" a="1"/>
  <c r="U770" i="1" s="1"/>
  <c r="S770" i="1"/>
  <c r="P770" i="1"/>
  <c r="P770" i="1" a="1"/>
  <c r="N770" i="1"/>
  <c r="J770" i="1" a="1"/>
  <c r="J770" i="1" s="1"/>
  <c r="G770" i="1" a="1"/>
  <c r="G770" i="1" s="1"/>
  <c r="D770" i="1"/>
  <c r="W769" i="1"/>
  <c r="U769" i="1" a="1"/>
  <c r="U769" i="1" s="1"/>
  <c r="S769" i="1"/>
  <c r="P769" i="1"/>
  <c r="P769" i="1" a="1"/>
  <c r="N769" i="1"/>
  <c r="J769" i="1" a="1"/>
  <c r="J769" i="1" s="1"/>
  <c r="G769" i="1" a="1"/>
  <c r="G769" i="1" s="1"/>
  <c r="D769" i="1"/>
  <c r="W768" i="1"/>
  <c r="U768" i="1" a="1"/>
  <c r="U768" i="1" s="1"/>
  <c r="S768" i="1"/>
  <c r="P768" i="1"/>
  <c r="P768" i="1" a="1"/>
  <c r="N768" i="1"/>
  <c r="J768" i="1" a="1"/>
  <c r="J768" i="1" s="1"/>
  <c r="G768" i="1" a="1"/>
  <c r="G768" i="1" s="1"/>
  <c r="D768" i="1"/>
  <c r="W767" i="1"/>
  <c r="U767" i="1"/>
  <c r="U767" i="1" a="1"/>
  <c r="S767" i="1"/>
  <c r="P767" i="1"/>
  <c r="P767" i="1" a="1"/>
  <c r="N767" i="1"/>
  <c r="J767" i="1" a="1"/>
  <c r="J767" i="1" s="1"/>
  <c r="G767" i="1" a="1"/>
  <c r="G767" i="1" s="1"/>
  <c r="D767" i="1"/>
  <c r="W766" i="1"/>
  <c r="U766" i="1" a="1"/>
  <c r="U766" i="1" s="1"/>
  <c r="S766" i="1"/>
  <c r="P766" i="1"/>
  <c r="P766" i="1" a="1"/>
  <c r="N766" i="1"/>
  <c r="J766" i="1" a="1"/>
  <c r="J766" i="1" s="1"/>
  <c r="G766" i="1"/>
  <c r="G766" i="1" a="1"/>
  <c r="D766" i="1"/>
  <c r="W765" i="1"/>
  <c r="U765" i="1" a="1"/>
  <c r="U765" i="1" s="1"/>
  <c r="S765" i="1"/>
  <c r="P765" i="1" a="1"/>
  <c r="P765" i="1" s="1"/>
  <c r="N765" i="1"/>
  <c r="J765" i="1"/>
  <c r="J765" i="1" a="1"/>
  <c r="G765" i="1" a="1"/>
  <c r="G765" i="1" s="1"/>
  <c r="D765" i="1"/>
  <c r="W764" i="1"/>
  <c r="U764" i="1" a="1"/>
  <c r="U764" i="1" s="1"/>
  <c r="S764" i="1"/>
  <c r="P764" i="1"/>
  <c r="P764" i="1" a="1"/>
  <c r="N764" i="1"/>
  <c r="J764" i="1" a="1"/>
  <c r="J764" i="1" s="1"/>
  <c r="G764" i="1" a="1"/>
  <c r="G764" i="1" s="1"/>
  <c r="D764" i="1"/>
  <c r="W763" i="1"/>
  <c r="U763" i="1" a="1"/>
  <c r="U763" i="1" s="1"/>
  <c r="S763" i="1"/>
  <c r="P763" i="1" a="1"/>
  <c r="P763" i="1" s="1"/>
  <c r="N763" i="1"/>
  <c r="J763" i="1" a="1"/>
  <c r="J763" i="1" s="1"/>
  <c r="G763" i="1" a="1"/>
  <c r="G763" i="1" s="1"/>
  <c r="D763" i="1"/>
  <c r="W762" i="1"/>
  <c r="U762" i="1" a="1"/>
  <c r="U762" i="1" s="1"/>
  <c r="S762" i="1"/>
  <c r="P762" i="1"/>
  <c r="P762" i="1" a="1"/>
  <c r="N762" i="1"/>
  <c r="J762" i="1" a="1"/>
  <c r="J762" i="1" s="1"/>
  <c r="G762" i="1" a="1"/>
  <c r="G762" i="1" s="1"/>
  <c r="D762" i="1"/>
  <c r="W761" i="1"/>
  <c r="U761" i="1"/>
  <c r="U761" i="1" a="1"/>
  <c r="S761" i="1"/>
  <c r="P761" i="1"/>
  <c r="P761" i="1" a="1"/>
  <c r="N761" i="1"/>
  <c r="J761" i="1" a="1"/>
  <c r="J761" i="1" s="1"/>
  <c r="G761" i="1" a="1"/>
  <c r="G761" i="1" s="1"/>
  <c r="D761" i="1"/>
  <c r="W760" i="1"/>
  <c r="U760" i="1" a="1"/>
  <c r="U760" i="1" s="1"/>
  <c r="S760" i="1"/>
  <c r="P760" i="1"/>
  <c r="P760" i="1" a="1"/>
  <c r="N760" i="1"/>
  <c r="J760" i="1" a="1"/>
  <c r="J760" i="1" s="1"/>
  <c r="G760" i="1" a="1"/>
  <c r="G760" i="1" s="1"/>
  <c r="D760" i="1"/>
  <c r="W759" i="1"/>
  <c r="U759" i="1" a="1"/>
  <c r="U759" i="1" s="1"/>
  <c r="S759" i="1"/>
  <c r="P759" i="1" a="1"/>
  <c r="P759" i="1" s="1"/>
  <c r="N759" i="1"/>
  <c r="J759" i="1"/>
  <c r="J759" i="1" a="1"/>
  <c r="G759" i="1" a="1"/>
  <c r="G759" i="1" s="1"/>
  <c r="D759" i="1"/>
  <c r="W758" i="1"/>
  <c r="U758" i="1" a="1"/>
  <c r="U758" i="1" s="1"/>
  <c r="S758" i="1"/>
  <c r="P758" i="1"/>
  <c r="P758" i="1" a="1"/>
  <c r="N758" i="1"/>
  <c r="J758" i="1" a="1"/>
  <c r="J758" i="1" s="1"/>
  <c r="G758" i="1" a="1"/>
  <c r="G758" i="1" s="1"/>
  <c r="D758" i="1"/>
  <c r="W757" i="1"/>
  <c r="U757" i="1" a="1"/>
  <c r="U757" i="1" s="1"/>
  <c r="S757" i="1"/>
  <c r="P757" i="1" a="1"/>
  <c r="P757" i="1" s="1"/>
  <c r="N757" i="1"/>
  <c r="J757" i="1" a="1"/>
  <c r="J757" i="1" s="1"/>
  <c r="G757" i="1" a="1"/>
  <c r="G757" i="1" s="1"/>
  <c r="D757" i="1"/>
  <c r="W756" i="1"/>
  <c r="U756" i="1" a="1"/>
  <c r="U756" i="1" s="1"/>
  <c r="S756" i="1"/>
  <c r="P756" i="1"/>
  <c r="P756" i="1" a="1"/>
  <c r="N756" i="1"/>
  <c r="J756" i="1" a="1"/>
  <c r="J756" i="1" s="1"/>
  <c r="G756" i="1" a="1"/>
  <c r="G756" i="1" s="1"/>
  <c r="D756" i="1"/>
  <c r="W755" i="1"/>
  <c r="U755" i="1"/>
  <c r="U755" i="1" a="1"/>
  <c r="S755" i="1"/>
  <c r="P755" i="1"/>
  <c r="P755" i="1" a="1"/>
  <c r="N755" i="1"/>
  <c r="J755" i="1" a="1"/>
  <c r="J755" i="1" s="1"/>
  <c r="G755" i="1" a="1"/>
  <c r="G755" i="1" s="1"/>
  <c r="D755" i="1"/>
  <c r="W754" i="1"/>
  <c r="U754" i="1" a="1"/>
  <c r="U754" i="1" s="1"/>
  <c r="S754" i="1"/>
  <c r="P754" i="1"/>
  <c r="P754" i="1" a="1"/>
  <c r="N754" i="1"/>
  <c r="J754" i="1" a="1"/>
  <c r="J754" i="1" s="1"/>
  <c r="G754" i="1" a="1"/>
  <c r="G754" i="1" s="1"/>
  <c r="D754" i="1"/>
  <c r="W753" i="1"/>
  <c r="U753" i="1" a="1"/>
  <c r="U753" i="1" s="1"/>
  <c r="S753" i="1"/>
  <c r="P753" i="1"/>
  <c r="P753" i="1" a="1"/>
  <c r="N753" i="1"/>
  <c r="J753" i="1"/>
  <c r="J753" i="1" a="1"/>
  <c r="G753" i="1" a="1"/>
  <c r="G753" i="1" s="1"/>
  <c r="D753" i="1"/>
  <c r="W752" i="1"/>
  <c r="U752" i="1" a="1"/>
  <c r="U752" i="1" s="1"/>
  <c r="S752" i="1"/>
  <c r="P752" i="1"/>
  <c r="P752" i="1" a="1"/>
  <c r="N752" i="1"/>
  <c r="J752" i="1" a="1"/>
  <c r="J752" i="1" s="1"/>
  <c r="G752" i="1" a="1"/>
  <c r="G752" i="1" s="1"/>
  <c r="D752" i="1"/>
  <c r="W751" i="1"/>
  <c r="U751" i="1" a="1"/>
  <c r="U751" i="1" s="1"/>
  <c r="S751" i="1"/>
  <c r="P751" i="1" a="1"/>
  <c r="P751" i="1" s="1"/>
  <c r="N751" i="1"/>
  <c r="J751" i="1" a="1"/>
  <c r="J751" i="1" s="1"/>
  <c r="G751" i="1" a="1"/>
  <c r="G751" i="1" s="1"/>
  <c r="D751" i="1"/>
  <c r="W750" i="1"/>
  <c r="U750" i="1" a="1"/>
  <c r="U750" i="1" s="1"/>
  <c r="S750" i="1"/>
  <c r="P750" i="1"/>
  <c r="P750" i="1" a="1"/>
  <c r="N750" i="1"/>
  <c r="J750" i="1" a="1"/>
  <c r="J750" i="1" s="1"/>
  <c r="G750" i="1" a="1"/>
  <c r="G750" i="1" s="1"/>
  <c r="D750" i="1"/>
  <c r="W749" i="1"/>
  <c r="U749" i="1"/>
  <c r="U749" i="1" a="1"/>
  <c r="S749" i="1"/>
  <c r="P749" i="1"/>
  <c r="P749" i="1" a="1"/>
  <c r="N749" i="1"/>
  <c r="J749" i="1" a="1"/>
  <c r="J749" i="1" s="1"/>
  <c r="G749" i="1" a="1"/>
  <c r="G749" i="1" s="1"/>
  <c r="D749" i="1"/>
  <c r="W748" i="1"/>
  <c r="U748" i="1" a="1"/>
  <c r="U748" i="1" s="1"/>
  <c r="S748" i="1"/>
  <c r="P748" i="1"/>
  <c r="P748" i="1" a="1"/>
  <c r="N748" i="1"/>
  <c r="J748" i="1" a="1"/>
  <c r="J748" i="1" s="1"/>
  <c r="G748" i="1" a="1"/>
  <c r="G748" i="1" s="1"/>
  <c r="D748" i="1"/>
  <c r="W747" i="1"/>
  <c r="U747" i="1" a="1"/>
  <c r="U747" i="1" s="1"/>
  <c r="S747" i="1"/>
  <c r="P747" i="1"/>
  <c r="P747" i="1" a="1"/>
  <c r="N747" i="1"/>
  <c r="J747" i="1" a="1"/>
  <c r="J747" i="1" s="1"/>
  <c r="G747" i="1" a="1"/>
  <c r="G747" i="1" s="1"/>
  <c r="D747" i="1"/>
  <c r="W746" i="1"/>
  <c r="U746" i="1" a="1"/>
  <c r="U746" i="1" s="1"/>
  <c r="S746" i="1"/>
  <c r="P746" i="1"/>
  <c r="P746" i="1" a="1"/>
  <c r="N746" i="1"/>
  <c r="J746" i="1" a="1"/>
  <c r="J746" i="1" s="1"/>
  <c r="G746" i="1" a="1"/>
  <c r="G746" i="1" s="1"/>
  <c r="D746" i="1"/>
  <c r="W745" i="1"/>
  <c r="U745" i="1" a="1"/>
  <c r="U745" i="1" s="1"/>
  <c r="S745" i="1"/>
  <c r="P745" i="1" a="1"/>
  <c r="P745" i="1" s="1"/>
  <c r="N745" i="1"/>
  <c r="J745" i="1" a="1"/>
  <c r="J745" i="1" s="1"/>
  <c r="G745" i="1" a="1"/>
  <c r="G745" i="1" s="1"/>
  <c r="D745" i="1"/>
  <c r="W744" i="1"/>
  <c r="U744" i="1" a="1"/>
  <c r="U744" i="1" s="1"/>
  <c r="S744" i="1"/>
  <c r="P744" i="1"/>
  <c r="P744" i="1" a="1"/>
  <c r="N744" i="1"/>
  <c r="J744" i="1" a="1"/>
  <c r="J744" i="1" s="1"/>
  <c r="G744" i="1" a="1"/>
  <c r="G744" i="1" s="1"/>
  <c r="D744" i="1"/>
  <c r="W743" i="1"/>
  <c r="U743" i="1" a="1"/>
  <c r="U743" i="1" s="1"/>
  <c r="S743" i="1"/>
  <c r="P743" i="1"/>
  <c r="P743" i="1" a="1"/>
  <c r="N743" i="1"/>
  <c r="J743" i="1" a="1"/>
  <c r="J743" i="1" s="1"/>
  <c r="G743" i="1" a="1"/>
  <c r="G743" i="1" s="1"/>
  <c r="D743" i="1"/>
  <c r="W742" i="1"/>
  <c r="U742" i="1" a="1"/>
  <c r="U742" i="1" s="1"/>
  <c r="S742" i="1"/>
  <c r="P742" i="1"/>
  <c r="P742" i="1" a="1"/>
  <c r="N742" i="1"/>
  <c r="J742" i="1" a="1"/>
  <c r="J742" i="1" s="1"/>
  <c r="G742" i="1" a="1"/>
  <c r="G742" i="1" s="1"/>
  <c r="D742" i="1"/>
  <c r="W741" i="1"/>
  <c r="U741" i="1" a="1"/>
  <c r="U741" i="1" s="1"/>
  <c r="S741" i="1"/>
  <c r="P741" i="1"/>
  <c r="P741" i="1" a="1"/>
  <c r="N741" i="1"/>
  <c r="J741" i="1"/>
  <c r="J741" i="1" a="1"/>
  <c r="G741" i="1" a="1"/>
  <c r="G741" i="1" s="1"/>
  <c r="D741" i="1"/>
  <c r="W740" i="1"/>
  <c r="U740" i="1" a="1"/>
  <c r="U740" i="1" s="1"/>
  <c r="S740" i="1"/>
  <c r="P740" i="1"/>
  <c r="P740" i="1" a="1"/>
  <c r="N740" i="1"/>
  <c r="J740" i="1" a="1"/>
  <c r="J740" i="1" s="1"/>
  <c r="G740" i="1" a="1"/>
  <c r="G740" i="1" s="1"/>
  <c r="D740" i="1"/>
  <c r="W739" i="1"/>
  <c r="U739" i="1" a="1"/>
  <c r="U739" i="1" s="1"/>
  <c r="S739" i="1"/>
  <c r="P739" i="1" a="1"/>
  <c r="P739" i="1" s="1"/>
  <c r="N739" i="1"/>
  <c r="J739" i="1" a="1"/>
  <c r="J739" i="1" s="1"/>
  <c r="G739" i="1" a="1"/>
  <c r="G739" i="1" s="1"/>
  <c r="D739" i="1"/>
  <c r="W738" i="1"/>
  <c r="U738" i="1" a="1"/>
  <c r="U738" i="1" s="1"/>
  <c r="S738" i="1"/>
  <c r="P738" i="1"/>
  <c r="P738" i="1" a="1"/>
  <c r="N738" i="1"/>
  <c r="J738" i="1" a="1"/>
  <c r="J738" i="1" s="1"/>
  <c r="G738" i="1" a="1"/>
  <c r="G738" i="1" s="1"/>
  <c r="D738" i="1"/>
  <c r="W737" i="1"/>
  <c r="U737" i="1" a="1"/>
  <c r="U737" i="1" s="1"/>
  <c r="S737" i="1"/>
  <c r="P737" i="1"/>
  <c r="P737" i="1" a="1"/>
  <c r="N737" i="1"/>
  <c r="J737" i="1" a="1"/>
  <c r="J737" i="1" s="1"/>
  <c r="G737" i="1" a="1"/>
  <c r="G737" i="1" s="1"/>
  <c r="D737" i="1"/>
  <c r="W736" i="1"/>
  <c r="U736" i="1" a="1"/>
  <c r="U736" i="1" s="1"/>
  <c r="S736" i="1"/>
  <c r="P736" i="1"/>
  <c r="P736" i="1" a="1"/>
  <c r="N736" i="1"/>
  <c r="J736" i="1" a="1"/>
  <c r="J736" i="1" s="1"/>
  <c r="G736" i="1" a="1"/>
  <c r="G736" i="1" s="1"/>
  <c r="D736" i="1"/>
  <c r="W735" i="1"/>
  <c r="U735" i="1" a="1"/>
  <c r="U735" i="1" s="1"/>
  <c r="S735" i="1"/>
  <c r="P735" i="1"/>
  <c r="P735" i="1" a="1"/>
  <c r="N735" i="1"/>
  <c r="J735" i="1" a="1"/>
  <c r="J735" i="1" s="1"/>
  <c r="G735" i="1" a="1"/>
  <c r="G735" i="1" s="1"/>
  <c r="D735" i="1"/>
  <c r="W734" i="1"/>
  <c r="U734" i="1" a="1"/>
  <c r="U734" i="1" s="1"/>
  <c r="S734" i="1"/>
  <c r="P734" i="1"/>
  <c r="P734" i="1" a="1"/>
  <c r="N734" i="1"/>
  <c r="J734" i="1" a="1"/>
  <c r="J734" i="1" s="1"/>
  <c r="G734" i="1" a="1"/>
  <c r="G734" i="1" s="1"/>
  <c r="D734" i="1"/>
  <c r="W733" i="1"/>
  <c r="U733" i="1" a="1"/>
  <c r="U733" i="1" s="1"/>
  <c r="S733" i="1"/>
  <c r="P733" i="1" a="1"/>
  <c r="P733" i="1" s="1"/>
  <c r="N733" i="1"/>
  <c r="J733" i="1"/>
  <c r="J733" i="1" a="1"/>
  <c r="G733" i="1" a="1"/>
  <c r="G733" i="1" s="1"/>
  <c r="D733" i="1"/>
  <c r="W732" i="1"/>
  <c r="U732" i="1" a="1"/>
  <c r="U732" i="1" s="1"/>
  <c r="S732" i="1"/>
  <c r="P732" i="1"/>
  <c r="P732" i="1" a="1"/>
  <c r="N732" i="1"/>
  <c r="J732" i="1" a="1"/>
  <c r="J732" i="1" s="1"/>
  <c r="G732" i="1" a="1"/>
  <c r="G732" i="1" s="1"/>
  <c r="D732" i="1"/>
  <c r="W731" i="1"/>
  <c r="U731" i="1"/>
  <c r="U731" i="1" a="1"/>
  <c r="S731" i="1"/>
  <c r="P731" i="1"/>
  <c r="P731" i="1" a="1"/>
  <c r="N731" i="1"/>
  <c r="J731" i="1" a="1"/>
  <c r="J731" i="1" s="1"/>
  <c r="G731" i="1" a="1"/>
  <c r="G731" i="1" s="1"/>
  <c r="D731" i="1"/>
  <c r="W730" i="1"/>
  <c r="U730" i="1" a="1"/>
  <c r="U730" i="1" s="1"/>
  <c r="S730" i="1"/>
  <c r="P730" i="1"/>
  <c r="P730" i="1" a="1"/>
  <c r="N730" i="1"/>
  <c r="J730" i="1" a="1"/>
  <c r="J730" i="1" s="1"/>
  <c r="G730" i="1" a="1"/>
  <c r="G730" i="1" s="1"/>
  <c r="D730" i="1"/>
  <c r="W729" i="1"/>
  <c r="U729" i="1" a="1"/>
  <c r="U729" i="1" s="1"/>
  <c r="S729" i="1"/>
  <c r="P729" i="1"/>
  <c r="P729" i="1" a="1"/>
  <c r="N729" i="1"/>
  <c r="J729" i="1" a="1"/>
  <c r="J729" i="1" s="1"/>
  <c r="G729" i="1" a="1"/>
  <c r="G729" i="1" s="1"/>
  <c r="D729" i="1"/>
  <c r="W728" i="1"/>
  <c r="U728" i="1" a="1"/>
  <c r="U728" i="1" s="1"/>
  <c r="S728" i="1"/>
  <c r="P728" i="1"/>
  <c r="P728" i="1" a="1"/>
  <c r="N728" i="1"/>
  <c r="J728" i="1" a="1"/>
  <c r="J728" i="1" s="1"/>
  <c r="G728" i="1" a="1"/>
  <c r="G728" i="1" s="1"/>
  <c r="D728" i="1"/>
  <c r="W727" i="1"/>
  <c r="U727" i="1" a="1"/>
  <c r="U727" i="1" s="1"/>
  <c r="S727" i="1"/>
  <c r="P727" i="1" a="1"/>
  <c r="P727" i="1" s="1"/>
  <c r="N727" i="1"/>
  <c r="J727" i="1" a="1"/>
  <c r="J727" i="1" s="1"/>
  <c r="G727" i="1" a="1"/>
  <c r="G727" i="1" s="1"/>
  <c r="D727" i="1"/>
  <c r="W726" i="1"/>
  <c r="U726" i="1" a="1"/>
  <c r="U726" i="1" s="1"/>
  <c r="S726" i="1"/>
  <c r="P726" i="1"/>
  <c r="P726" i="1" a="1"/>
  <c r="N726" i="1"/>
  <c r="J726" i="1" a="1"/>
  <c r="J726" i="1" s="1"/>
  <c r="G726" i="1" a="1"/>
  <c r="G726" i="1" s="1"/>
  <c r="D726" i="1"/>
  <c r="W725" i="1"/>
  <c r="U725" i="1" a="1"/>
  <c r="U725" i="1" s="1"/>
  <c r="S725" i="1"/>
  <c r="P725" i="1" a="1"/>
  <c r="P725" i="1" s="1"/>
  <c r="N725" i="1"/>
  <c r="J725" i="1" a="1"/>
  <c r="J725" i="1" s="1"/>
  <c r="G725" i="1" a="1"/>
  <c r="G725" i="1" s="1"/>
  <c r="D725" i="1"/>
  <c r="W724" i="1"/>
  <c r="U724" i="1" a="1"/>
  <c r="U724" i="1" s="1"/>
  <c r="S724" i="1"/>
  <c r="P724" i="1"/>
  <c r="P724" i="1" a="1"/>
  <c r="N724" i="1"/>
  <c r="J724" i="1" a="1"/>
  <c r="J724" i="1" s="1"/>
  <c r="G724" i="1"/>
  <c r="G724" i="1" a="1"/>
  <c r="D724" i="1"/>
  <c r="W723" i="1"/>
  <c r="U723" i="1" a="1"/>
  <c r="U723" i="1" s="1"/>
  <c r="S723" i="1"/>
  <c r="P723" i="1" a="1"/>
  <c r="P723" i="1" s="1"/>
  <c r="N723" i="1"/>
  <c r="J723" i="1" a="1"/>
  <c r="J723" i="1" s="1"/>
  <c r="G723" i="1"/>
  <c r="G723" i="1" a="1"/>
  <c r="D723" i="1"/>
  <c r="W722" i="1"/>
  <c r="U722" i="1" a="1"/>
  <c r="U722" i="1" s="1"/>
  <c r="S722" i="1"/>
  <c r="P722" i="1"/>
  <c r="P722" i="1" a="1"/>
  <c r="N722" i="1"/>
  <c r="J722" i="1"/>
  <c r="J722" i="1" a="1"/>
  <c r="G722" i="1" a="1"/>
  <c r="G722" i="1" s="1"/>
  <c r="D722" i="1"/>
  <c r="W721" i="1"/>
  <c r="U721" i="1" a="1"/>
  <c r="U721" i="1" s="1"/>
  <c r="S721" i="1"/>
  <c r="P721" i="1"/>
  <c r="P721" i="1" a="1"/>
  <c r="N721" i="1"/>
  <c r="J721" i="1" a="1"/>
  <c r="J721" i="1" s="1"/>
  <c r="G721" i="1" a="1"/>
  <c r="G721" i="1" s="1"/>
  <c r="D721" i="1"/>
  <c r="W720" i="1"/>
  <c r="U720" i="1" a="1"/>
  <c r="U720" i="1" s="1"/>
  <c r="S720" i="1"/>
  <c r="P720" i="1" a="1"/>
  <c r="P720" i="1" s="1"/>
  <c r="N720" i="1"/>
  <c r="J720" i="1" a="1"/>
  <c r="J720" i="1" s="1"/>
  <c r="G720" i="1" a="1"/>
  <c r="G720" i="1" s="1"/>
  <c r="D720" i="1"/>
  <c r="W719" i="1"/>
  <c r="U719" i="1" a="1"/>
  <c r="U719" i="1" s="1"/>
  <c r="S719" i="1"/>
  <c r="P719" i="1" a="1"/>
  <c r="P719" i="1" s="1"/>
  <c r="N719" i="1"/>
  <c r="J719" i="1" a="1"/>
  <c r="J719" i="1" s="1"/>
  <c r="G719" i="1" a="1"/>
  <c r="G719" i="1" s="1"/>
  <c r="D719" i="1"/>
  <c r="W718" i="1"/>
  <c r="U718" i="1" a="1"/>
  <c r="U718" i="1" s="1"/>
  <c r="S718" i="1"/>
  <c r="P718" i="1"/>
  <c r="P718" i="1" a="1"/>
  <c r="N718" i="1"/>
  <c r="J718" i="1" a="1"/>
  <c r="J718" i="1" s="1"/>
  <c r="G718" i="1" a="1"/>
  <c r="G718" i="1" s="1"/>
  <c r="D718" i="1"/>
  <c r="W717" i="1"/>
  <c r="U717" i="1"/>
  <c r="U717" i="1" a="1"/>
  <c r="S717" i="1"/>
  <c r="P717" i="1" a="1"/>
  <c r="P717" i="1" s="1"/>
  <c r="N717" i="1"/>
  <c r="J717" i="1" a="1"/>
  <c r="J717" i="1" s="1"/>
  <c r="G717" i="1"/>
  <c r="G717" i="1" a="1"/>
  <c r="D717" i="1"/>
  <c r="W716" i="1"/>
  <c r="U716" i="1"/>
  <c r="U716" i="1" a="1"/>
  <c r="S716" i="1"/>
  <c r="P716" i="1"/>
  <c r="P716" i="1" a="1"/>
  <c r="N716" i="1"/>
  <c r="J716" i="1"/>
  <c r="J716" i="1" a="1"/>
  <c r="G716" i="1" a="1"/>
  <c r="G716" i="1" s="1"/>
  <c r="D716" i="1"/>
  <c r="W715" i="1"/>
  <c r="U715" i="1" a="1"/>
  <c r="U715" i="1" s="1"/>
  <c r="S715" i="1"/>
  <c r="P715" i="1" a="1"/>
  <c r="P715" i="1" s="1"/>
  <c r="N715" i="1"/>
  <c r="J715" i="1"/>
  <c r="J715" i="1" a="1"/>
  <c r="G715" i="1" a="1"/>
  <c r="G715" i="1" s="1"/>
  <c r="D715" i="1"/>
  <c r="W714" i="1"/>
  <c r="U714" i="1"/>
  <c r="U714" i="1" a="1"/>
  <c r="S714" i="1"/>
  <c r="P714" i="1"/>
  <c r="P714" i="1" a="1"/>
  <c r="N714" i="1"/>
  <c r="J714" i="1" a="1"/>
  <c r="J714" i="1" s="1"/>
  <c r="G714" i="1" a="1"/>
  <c r="G714" i="1" s="1"/>
  <c r="D714" i="1"/>
  <c r="W713" i="1"/>
  <c r="U713" i="1" a="1"/>
  <c r="U713" i="1" s="1"/>
  <c r="S713" i="1"/>
  <c r="P713" i="1" a="1"/>
  <c r="P713" i="1" s="1"/>
  <c r="N713" i="1"/>
  <c r="J713" i="1" a="1"/>
  <c r="J713" i="1" s="1"/>
  <c r="G713" i="1"/>
  <c r="G713" i="1" a="1"/>
  <c r="D713" i="1"/>
  <c r="W712" i="1"/>
  <c r="U712" i="1"/>
  <c r="U712" i="1" a="1"/>
  <c r="S712" i="1"/>
  <c r="P712" i="1"/>
  <c r="P712" i="1" a="1"/>
  <c r="N712" i="1"/>
  <c r="J712" i="1"/>
  <c r="J712" i="1" a="1"/>
  <c r="G712" i="1" a="1"/>
  <c r="G712" i="1" s="1"/>
  <c r="D712" i="1"/>
  <c r="W711" i="1"/>
  <c r="U711" i="1" a="1"/>
  <c r="U711" i="1" s="1"/>
  <c r="S711" i="1"/>
  <c r="P711" i="1"/>
  <c r="P711" i="1" a="1"/>
  <c r="N711" i="1"/>
  <c r="J711" i="1" a="1"/>
  <c r="J711" i="1" s="1"/>
  <c r="G711" i="1"/>
  <c r="G711" i="1" a="1"/>
  <c r="D711" i="1"/>
  <c r="W710" i="1"/>
  <c r="U710" i="1" a="1"/>
  <c r="U710" i="1" s="1"/>
  <c r="S710" i="1"/>
  <c r="P710" i="1"/>
  <c r="P710" i="1" a="1"/>
  <c r="N710" i="1"/>
  <c r="J710" i="1"/>
  <c r="J710" i="1" a="1"/>
  <c r="G710" i="1"/>
  <c r="G710" i="1" a="1"/>
  <c r="D710" i="1"/>
  <c r="W709" i="1"/>
  <c r="U709" i="1" a="1"/>
  <c r="U709" i="1" s="1"/>
  <c r="S709" i="1"/>
  <c r="P709" i="1" a="1"/>
  <c r="P709" i="1" s="1"/>
  <c r="N709" i="1"/>
  <c r="J709" i="1" a="1"/>
  <c r="J709" i="1" s="1"/>
  <c r="G709" i="1" a="1"/>
  <c r="G709" i="1" s="1"/>
  <c r="D709" i="1"/>
  <c r="W708" i="1"/>
  <c r="U708" i="1"/>
  <c r="U708" i="1" a="1"/>
  <c r="S708" i="1"/>
  <c r="P708" i="1" a="1"/>
  <c r="P708" i="1" s="1"/>
  <c r="N708" i="1"/>
  <c r="J708" i="1" a="1"/>
  <c r="J708" i="1" s="1"/>
  <c r="G708" i="1" a="1"/>
  <c r="G708" i="1" s="1"/>
  <c r="D708" i="1"/>
  <c r="W707" i="1"/>
  <c r="U707" i="1" a="1"/>
  <c r="U707" i="1" s="1"/>
  <c r="S707" i="1"/>
  <c r="P707" i="1" a="1"/>
  <c r="P707" i="1" s="1"/>
  <c r="N707" i="1"/>
  <c r="J707" i="1" a="1"/>
  <c r="J707" i="1" s="1"/>
  <c r="G707" i="1"/>
  <c r="G707" i="1" a="1"/>
  <c r="D707" i="1"/>
  <c r="W706" i="1"/>
  <c r="U706" i="1"/>
  <c r="U706" i="1" a="1"/>
  <c r="S706" i="1"/>
  <c r="P706" i="1"/>
  <c r="P706" i="1" a="1"/>
  <c r="N706" i="1"/>
  <c r="J706" i="1"/>
  <c r="J706" i="1" a="1"/>
  <c r="G706" i="1" a="1"/>
  <c r="G706" i="1" s="1"/>
  <c r="D706" i="1"/>
  <c r="W705" i="1"/>
  <c r="U705" i="1" a="1"/>
  <c r="U705" i="1" s="1"/>
  <c r="S705" i="1"/>
  <c r="P705" i="1"/>
  <c r="P705" i="1" a="1"/>
  <c r="N705" i="1"/>
  <c r="J705" i="1" a="1"/>
  <c r="J705" i="1" s="1"/>
  <c r="G705" i="1"/>
  <c r="G705" i="1" a="1"/>
  <c r="D705" i="1"/>
  <c r="W704" i="1"/>
  <c r="U704" i="1" a="1"/>
  <c r="U704" i="1" s="1"/>
  <c r="S704" i="1"/>
  <c r="P704" i="1"/>
  <c r="P704" i="1" a="1"/>
  <c r="N704" i="1"/>
  <c r="J704" i="1"/>
  <c r="J704" i="1" a="1"/>
  <c r="G704" i="1" a="1"/>
  <c r="G704" i="1" s="1"/>
  <c r="D704" i="1"/>
  <c r="W703" i="1"/>
  <c r="U703" i="1" a="1"/>
  <c r="U703" i="1" s="1"/>
  <c r="S703" i="1"/>
  <c r="P703" i="1" a="1"/>
  <c r="P703" i="1" s="1"/>
  <c r="N703" i="1"/>
  <c r="J703" i="1"/>
  <c r="J703" i="1" a="1"/>
  <c r="G703" i="1" a="1"/>
  <c r="G703" i="1" s="1"/>
  <c r="D703" i="1"/>
  <c r="W702" i="1"/>
  <c r="U702" i="1"/>
  <c r="U702" i="1" a="1"/>
  <c r="S702" i="1"/>
  <c r="P702" i="1" a="1"/>
  <c r="P702" i="1" s="1"/>
  <c r="N702" i="1"/>
  <c r="J702" i="1" a="1"/>
  <c r="J702" i="1" s="1"/>
  <c r="G702" i="1" a="1"/>
  <c r="G702" i="1" s="1"/>
  <c r="D702" i="1"/>
  <c r="W701" i="1"/>
  <c r="U701" i="1" a="1"/>
  <c r="U701" i="1" s="1"/>
  <c r="S701" i="1"/>
  <c r="P701" i="1" a="1"/>
  <c r="P701" i="1" s="1"/>
  <c r="N701" i="1"/>
  <c r="J701" i="1" a="1"/>
  <c r="J701" i="1" s="1"/>
  <c r="G701" i="1"/>
  <c r="G701" i="1" a="1"/>
  <c r="D701" i="1"/>
  <c r="W700" i="1"/>
  <c r="U700" i="1"/>
  <c r="U700" i="1" a="1"/>
  <c r="S700" i="1"/>
  <c r="P700" i="1"/>
  <c r="P700" i="1" a="1"/>
  <c r="N700" i="1"/>
  <c r="J700" i="1"/>
  <c r="J700" i="1" a="1"/>
  <c r="G700" i="1" a="1"/>
  <c r="G700" i="1" s="1"/>
  <c r="D700" i="1"/>
  <c r="W699" i="1"/>
  <c r="U699" i="1" a="1"/>
  <c r="U699" i="1" s="1"/>
  <c r="S699" i="1"/>
  <c r="P699" i="1"/>
  <c r="P699" i="1" a="1"/>
  <c r="N699" i="1"/>
  <c r="J699" i="1" a="1"/>
  <c r="J699" i="1" s="1"/>
  <c r="G699" i="1"/>
  <c r="G699" i="1" a="1"/>
  <c r="D699" i="1"/>
  <c r="W698" i="1"/>
  <c r="U698" i="1" a="1"/>
  <c r="U698" i="1" s="1"/>
  <c r="S698" i="1"/>
  <c r="P698" i="1"/>
  <c r="P698" i="1" a="1"/>
  <c r="N698" i="1"/>
  <c r="J698" i="1"/>
  <c r="J698" i="1" a="1"/>
  <c r="G698" i="1"/>
  <c r="G698" i="1" a="1"/>
  <c r="D698" i="1"/>
  <c r="W697" i="1"/>
  <c r="U697" i="1" a="1"/>
  <c r="U697" i="1" s="1"/>
  <c r="S697" i="1"/>
  <c r="P697" i="1" a="1"/>
  <c r="P697" i="1" s="1"/>
  <c r="N697" i="1"/>
  <c r="J697" i="1"/>
  <c r="J697" i="1" a="1"/>
  <c r="G697" i="1" a="1"/>
  <c r="G697" i="1" s="1"/>
  <c r="D697" i="1"/>
  <c r="W696" i="1"/>
  <c r="U696" i="1"/>
  <c r="U696" i="1" a="1"/>
  <c r="S696" i="1"/>
  <c r="P696" i="1" a="1"/>
  <c r="P696" i="1" s="1"/>
  <c r="N696" i="1"/>
  <c r="J696" i="1" a="1"/>
  <c r="J696" i="1" s="1"/>
  <c r="G696" i="1" a="1"/>
  <c r="G696" i="1" s="1"/>
  <c r="D696" i="1"/>
  <c r="W695" i="1"/>
  <c r="U695" i="1" a="1"/>
  <c r="U695" i="1" s="1"/>
  <c r="S695" i="1"/>
  <c r="P695" i="1" a="1"/>
  <c r="P695" i="1" s="1"/>
  <c r="N695" i="1"/>
  <c r="J695" i="1" a="1"/>
  <c r="J695" i="1" s="1"/>
  <c r="G695" i="1"/>
  <c r="G695" i="1" a="1"/>
  <c r="D695" i="1"/>
  <c r="W694" i="1"/>
  <c r="U694" i="1"/>
  <c r="U694" i="1" a="1"/>
  <c r="S694" i="1"/>
  <c r="P694" i="1"/>
  <c r="P694" i="1" a="1"/>
  <c r="N694" i="1"/>
  <c r="J694" i="1"/>
  <c r="J694" i="1" a="1"/>
  <c r="G694" i="1" a="1"/>
  <c r="G694" i="1" s="1"/>
  <c r="D694" i="1"/>
  <c r="W693" i="1"/>
  <c r="U693" i="1"/>
  <c r="U693" i="1" a="1"/>
  <c r="S693" i="1"/>
  <c r="P693" i="1"/>
  <c r="P693" i="1" a="1"/>
  <c r="N693" i="1"/>
  <c r="J693" i="1" a="1"/>
  <c r="J693" i="1" s="1"/>
  <c r="G693" i="1"/>
  <c r="G693" i="1" a="1"/>
  <c r="D693" i="1"/>
  <c r="W692" i="1"/>
  <c r="U692" i="1" a="1"/>
  <c r="U692" i="1" s="1"/>
  <c r="S692" i="1"/>
  <c r="P692" i="1"/>
  <c r="P692" i="1" a="1"/>
  <c r="N692" i="1"/>
  <c r="J692" i="1"/>
  <c r="J692" i="1" a="1"/>
  <c r="G692" i="1" a="1"/>
  <c r="G692" i="1" s="1"/>
  <c r="D692" i="1"/>
  <c r="W691" i="1"/>
  <c r="U691" i="1" a="1"/>
  <c r="U691" i="1" s="1"/>
  <c r="S691" i="1"/>
  <c r="P691" i="1" a="1"/>
  <c r="P691" i="1" s="1"/>
  <c r="N691" i="1"/>
  <c r="J691" i="1" a="1"/>
  <c r="J691" i="1" s="1"/>
  <c r="G691" i="1" a="1"/>
  <c r="G691" i="1" s="1"/>
  <c r="D691" i="1"/>
  <c r="W690" i="1"/>
  <c r="U690" i="1"/>
  <c r="U690" i="1" a="1"/>
  <c r="S690" i="1"/>
  <c r="P690" i="1"/>
  <c r="P690" i="1" a="1"/>
  <c r="N690" i="1"/>
  <c r="J690" i="1" a="1"/>
  <c r="J690" i="1" s="1"/>
  <c r="G690" i="1" a="1"/>
  <c r="G690" i="1" s="1"/>
  <c r="D690" i="1"/>
  <c r="W689" i="1"/>
  <c r="U689" i="1" a="1"/>
  <c r="U689" i="1" s="1"/>
  <c r="S689" i="1"/>
  <c r="P689" i="1" a="1"/>
  <c r="P689" i="1" s="1"/>
  <c r="N689" i="1"/>
  <c r="J689" i="1" a="1"/>
  <c r="J689" i="1" s="1"/>
  <c r="G689" i="1"/>
  <c r="G689" i="1" a="1"/>
  <c r="D689" i="1"/>
  <c r="W688" i="1"/>
  <c r="U688" i="1"/>
  <c r="U688" i="1" a="1"/>
  <c r="S688" i="1"/>
  <c r="P688" i="1"/>
  <c r="P688" i="1" a="1"/>
  <c r="N688" i="1"/>
  <c r="J688" i="1"/>
  <c r="J688" i="1" a="1"/>
  <c r="G688" i="1" a="1"/>
  <c r="G688" i="1" s="1"/>
  <c r="D688" i="1"/>
  <c r="W687" i="1"/>
  <c r="U687" i="1" a="1"/>
  <c r="U687" i="1" s="1"/>
  <c r="S687" i="1"/>
  <c r="P687" i="1"/>
  <c r="P687" i="1" a="1"/>
  <c r="N687" i="1"/>
  <c r="J687" i="1" a="1"/>
  <c r="J687" i="1" s="1"/>
  <c r="G687" i="1"/>
  <c r="G687" i="1" a="1"/>
  <c r="D687" i="1"/>
  <c r="W686" i="1"/>
  <c r="U686" i="1" a="1"/>
  <c r="U686" i="1" s="1"/>
  <c r="S686" i="1"/>
  <c r="P686" i="1"/>
  <c r="P686" i="1" a="1"/>
  <c r="N686" i="1"/>
  <c r="J686" i="1"/>
  <c r="J686" i="1" a="1"/>
  <c r="G686" i="1" a="1"/>
  <c r="G686" i="1" s="1"/>
  <c r="D686" i="1"/>
  <c r="W685" i="1"/>
  <c r="U685" i="1" a="1"/>
  <c r="U685" i="1" s="1"/>
  <c r="S685" i="1"/>
  <c r="P685" i="1" a="1"/>
  <c r="P685" i="1" s="1"/>
  <c r="N685" i="1"/>
  <c r="J685" i="1" a="1"/>
  <c r="J685" i="1" s="1"/>
  <c r="G685" i="1" a="1"/>
  <c r="G685" i="1" s="1"/>
  <c r="D685" i="1"/>
  <c r="W684" i="1"/>
  <c r="U684" i="1"/>
  <c r="U684" i="1" a="1"/>
  <c r="S684" i="1"/>
  <c r="P684" i="1" a="1"/>
  <c r="P684" i="1" s="1"/>
  <c r="N684" i="1"/>
  <c r="J684" i="1" a="1"/>
  <c r="J684" i="1" s="1"/>
  <c r="G684" i="1" a="1"/>
  <c r="G684" i="1" s="1"/>
  <c r="D684" i="1"/>
  <c r="W683" i="1"/>
  <c r="U683" i="1" a="1"/>
  <c r="U683" i="1" s="1"/>
  <c r="S683" i="1"/>
  <c r="P683" i="1" a="1"/>
  <c r="P683" i="1" s="1"/>
  <c r="N683" i="1"/>
  <c r="J683" i="1" a="1"/>
  <c r="J683" i="1" s="1"/>
  <c r="G683" i="1"/>
  <c r="G683" i="1" a="1"/>
  <c r="D683" i="1"/>
  <c r="W682" i="1"/>
  <c r="U682" i="1"/>
  <c r="U682" i="1" a="1"/>
  <c r="S682" i="1"/>
  <c r="P682" i="1"/>
  <c r="P682" i="1" a="1"/>
  <c r="N682" i="1"/>
  <c r="J682" i="1"/>
  <c r="J682" i="1" a="1"/>
  <c r="G682" i="1" a="1"/>
  <c r="G682" i="1" s="1"/>
  <c r="D682" i="1"/>
  <c r="W681" i="1"/>
  <c r="U681" i="1" a="1"/>
  <c r="U681" i="1" s="1"/>
  <c r="S681" i="1"/>
  <c r="P681" i="1"/>
  <c r="P681" i="1" a="1"/>
  <c r="N681" i="1"/>
  <c r="J681" i="1" a="1"/>
  <c r="J681" i="1" s="1"/>
  <c r="G681" i="1"/>
  <c r="G681" i="1" a="1"/>
  <c r="D681" i="1"/>
  <c r="W680" i="1"/>
  <c r="U680" i="1" a="1"/>
  <c r="U680" i="1" s="1"/>
  <c r="S680" i="1"/>
  <c r="P680" i="1"/>
  <c r="P680" i="1" a="1"/>
  <c r="N680" i="1"/>
  <c r="J680" i="1"/>
  <c r="J680" i="1" a="1"/>
  <c r="G680" i="1" a="1"/>
  <c r="G680" i="1" s="1"/>
  <c r="D680" i="1"/>
  <c r="W679" i="1"/>
  <c r="U679" i="1" a="1"/>
  <c r="U679" i="1" s="1"/>
  <c r="S679" i="1"/>
  <c r="P679" i="1" a="1"/>
  <c r="P679" i="1" s="1"/>
  <c r="N679" i="1"/>
  <c r="J679" i="1"/>
  <c r="J679" i="1" a="1"/>
  <c r="G679" i="1" a="1"/>
  <c r="G679" i="1" s="1"/>
  <c r="D679" i="1"/>
  <c r="W678" i="1"/>
  <c r="U678" i="1"/>
  <c r="U678" i="1" a="1"/>
  <c r="S678" i="1"/>
  <c r="P678" i="1"/>
  <c r="P678" i="1" a="1"/>
  <c r="N678" i="1"/>
  <c r="J678" i="1" a="1"/>
  <c r="J678" i="1" s="1"/>
  <c r="G678" i="1" a="1"/>
  <c r="G678" i="1" s="1"/>
  <c r="D678" i="1"/>
  <c r="W677" i="1"/>
  <c r="U677" i="1" a="1"/>
  <c r="U677" i="1" s="1"/>
  <c r="S677" i="1"/>
  <c r="P677" i="1" a="1"/>
  <c r="P677" i="1" s="1"/>
  <c r="N677" i="1"/>
  <c r="J677" i="1" a="1"/>
  <c r="J677" i="1" s="1"/>
  <c r="G677" i="1"/>
  <c r="G677" i="1" a="1"/>
  <c r="D677" i="1"/>
  <c r="W676" i="1"/>
  <c r="U676" i="1"/>
  <c r="U676" i="1" a="1"/>
  <c r="S676" i="1"/>
  <c r="P676" i="1"/>
  <c r="P676" i="1" a="1"/>
  <c r="N676" i="1"/>
  <c r="J676" i="1"/>
  <c r="J676" i="1" a="1"/>
  <c r="G676" i="1" a="1"/>
  <c r="G676" i="1" s="1"/>
  <c r="D676" i="1"/>
  <c r="W675" i="1"/>
  <c r="U675" i="1" a="1"/>
  <c r="U675" i="1" s="1"/>
  <c r="S675" i="1"/>
  <c r="P675" i="1"/>
  <c r="P675" i="1" a="1"/>
  <c r="N675" i="1"/>
  <c r="J675" i="1" a="1"/>
  <c r="J675" i="1" s="1"/>
  <c r="G675" i="1"/>
  <c r="G675" i="1" a="1"/>
  <c r="D675" i="1"/>
  <c r="W674" i="1"/>
  <c r="U674" i="1" a="1"/>
  <c r="U674" i="1" s="1"/>
  <c r="S674" i="1"/>
  <c r="P674" i="1"/>
  <c r="P674" i="1" a="1"/>
  <c r="N674" i="1"/>
  <c r="J674" i="1"/>
  <c r="J674" i="1" a="1"/>
  <c r="G674" i="1"/>
  <c r="G674" i="1" a="1"/>
  <c r="D674" i="1"/>
  <c r="W673" i="1"/>
  <c r="U673" i="1" a="1"/>
  <c r="U673" i="1" s="1"/>
  <c r="S673" i="1"/>
  <c r="P673" i="1" a="1"/>
  <c r="P673" i="1" s="1"/>
  <c r="N673" i="1"/>
  <c r="J673" i="1" a="1"/>
  <c r="J673" i="1" s="1"/>
  <c r="G673" i="1" a="1"/>
  <c r="G673" i="1" s="1"/>
  <c r="D673" i="1"/>
  <c r="W672" i="1"/>
  <c r="U672" i="1"/>
  <c r="U672" i="1" a="1"/>
  <c r="S672" i="1"/>
  <c r="P672" i="1" a="1"/>
  <c r="P672" i="1" s="1"/>
  <c r="N672" i="1"/>
  <c r="J672" i="1" a="1"/>
  <c r="J672" i="1" s="1"/>
  <c r="G672" i="1" a="1"/>
  <c r="G672" i="1" s="1"/>
  <c r="D672" i="1"/>
  <c r="W671" i="1"/>
  <c r="U671" i="1" a="1"/>
  <c r="U671" i="1" s="1"/>
  <c r="S671" i="1"/>
  <c r="P671" i="1" a="1"/>
  <c r="P671" i="1" s="1"/>
  <c r="N671" i="1"/>
  <c r="J671" i="1" a="1"/>
  <c r="J671" i="1" s="1"/>
  <c r="G671" i="1"/>
  <c r="G671" i="1" a="1"/>
  <c r="D671" i="1"/>
  <c r="W670" i="1"/>
  <c r="U670" i="1"/>
  <c r="U670" i="1" a="1"/>
  <c r="S670" i="1"/>
  <c r="P670" i="1"/>
  <c r="P670" i="1" a="1"/>
  <c r="N670" i="1"/>
  <c r="J670" i="1"/>
  <c r="J670" i="1" a="1"/>
  <c r="G670" i="1" a="1"/>
  <c r="G670" i="1" s="1"/>
  <c r="D670" i="1"/>
  <c r="W669" i="1"/>
  <c r="U669" i="1" a="1"/>
  <c r="U669" i="1" s="1"/>
  <c r="S669" i="1"/>
  <c r="P669" i="1"/>
  <c r="P669" i="1" a="1"/>
  <c r="N669" i="1"/>
  <c r="J669" i="1" a="1"/>
  <c r="J669" i="1" s="1"/>
  <c r="G669" i="1"/>
  <c r="G669" i="1" a="1"/>
  <c r="D669" i="1"/>
  <c r="W668" i="1"/>
  <c r="U668" i="1" a="1"/>
  <c r="U668" i="1" s="1"/>
  <c r="S668" i="1"/>
  <c r="P668" i="1"/>
  <c r="P668" i="1" a="1"/>
  <c r="N668" i="1"/>
  <c r="J668" i="1"/>
  <c r="J668" i="1" a="1"/>
  <c r="G668" i="1" a="1"/>
  <c r="G668" i="1" s="1"/>
  <c r="D668" i="1"/>
  <c r="W667" i="1"/>
  <c r="U667" i="1" a="1"/>
  <c r="U667" i="1" s="1"/>
  <c r="S667" i="1"/>
  <c r="P667" i="1" a="1"/>
  <c r="P667" i="1" s="1"/>
  <c r="N667" i="1"/>
  <c r="J667" i="1"/>
  <c r="J667" i="1" a="1"/>
  <c r="G667" i="1" a="1"/>
  <c r="G667" i="1" s="1"/>
  <c r="D667" i="1"/>
  <c r="W666" i="1"/>
  <c r="U666" i="1"/>
  <c r="U666" i="1" a="1"/>
  <c r="S666" i="1"/>
  <c r="P666" i="1" a="1"/>
  <c r="P666" i="1" s="1"/>
  <c r="N666" i="1"/>
  <c r="J666" i="1" a="1"/>
  <c r="J666" i="1" s="1"/>
  <c r="G666" i="1" a="1"/>
  <c r="G666" i="1" s="1"/>
  <c r="D666" i="1"/>
  <c r="W665" i="1"/>
  <c r="U665" i="1" a="1"/>
  <c r="U665" i="1" s="1"/>
  <c r="S665" i="1"/>
  <c r="P665" i="1" a="1"/>
  <c r="P665" i="1" s="1"/>
  <c r="N665" i="1"/>
  <c r="J665" i="1" a="1"/>
  <c r="J665" i="1" s="1"/>
  <c r="G665" i="1"/>
  <c r="G665" i="1" a="1"/>
  <c r="D665" i="1"/>
  <c r="W664" i="1"/>
  <c r="U664" i="1"/>
  <c r="U664" i="1" a="1"/>
  <c r="S664" i="1"/>
  <c r="P664" i="1"/>
  <c r="P664" i="1" a="1"/>
  <c r="N664" i="1"/>
  <c r="J664" i="1"/>
  <c r="J664" i="1" a="1"/>
  <c r="G664" i="1" a="1"/>
  <c r="G664" i="1" s="1"/>
  <c r="D664" i="1"/>
  <c r="W663" i="1"/>
  <c r="U663" i="1" a="1"/>
  <c r="U663" i="1" s="1"/>
  <c r="S663" i="1"/>
  <c r="P663" i="1"/>
  <c r="P663" i="1" a="1"/>
  <c r="N663" i="1"/>
  <c r="J663" i="1" a="1"/>
  <c r="J663" i="1" s="1"/>
  <c r="G663" i="1"/>
  <c r="G663" i="1" a="1"/>
  <c r="D663" i="1"/>
  <c r="W662" i="1"/>
  <c r="U662" i="1" a="1"/>
  <c r="U662" i="1" s="1"/>
  <c r="S662" i="1"/>
  <c r="P662" i="1"/>
  <c r="P662" i="1" a="1"/>
  <c r="N662" i="1"/>
  <c r="J662" i="1"/>
  <c r="J662" i="1" a="1"/>
  <c r="G662" i="1"/>
  <c r="G662" i="1" a="1"/>
  <c r="D662" i="1"/>
  <c r="W661" i="1"/>
  <c r="U661" i="1" a="1"/>
  <c r="U661" i="1" s="1"/>
  <c r="S661" i="1"/>
  <c r="P661" i="1" a="1"/>
  <c r="P661" i="1" s="1"/>
  <c r="N661" i="1"/>
  <c r="J661" i="1" a="1"/>
  <c r="J661" i="1" s="1"/>
  <c r="G661" i="1" a="1"/>
  <c r="G661" i="1" s="1"/>
  <c r="D661" i="1"/>
  <c r="W660" i="1"/>
  <c r="U660" i="1"/>
  <c r="U660" i="1" a="1"/>
  <c r="S660" i="1"/>
  <c r="P660" i="1" a="1"/>
  <c r="P660" i="1" s="1"/>
  <c r="N660" i="1"/>
  <c r="J660" i="1" a="1"/>
  <c r="J660" i="1" s="1"/>
  <c r="G660" i="1" a="1"/>
  <c r="G660" i="1" s="1"/>
  <c r="D660" i="1"/>
  <c r="W659" i="1"/>
  <c r="U659" i="1" a="1"/>
  <c r="U659" i="1" s="1"/>
  <c r="S659" i="1"/>
  <c r="P659" i="1" a="1"/>
  <c r="P659" i="1" s="1"/>
  <c r="N659" i="1"/>
  <c r="J659" i="1" a="1"/>
  <c r="J659" i="1" s="1"/>
  <c r="G659" i="1" a="1"/>
  <c r="G659" i="1" s="1"/>
  <c r="D659" i="1"/>
  <c r="W658" i="1"/>
  <c r="U658" i="1"/>
  <c r="U658" i="1" a="1"/>
  <c r="S658" i="1"/>
  <c r="P658" i="1"/>
  <c r="P658" i="1" a="1"/>
  <c r="N658" i="1"/>
  <c r="J658" i="1" a="1"/>
  <c r="J658" i="1" s="1"/>
  <c r="G658" i="1" a="1"/>
  <c r="G658" i="1" s="1"/>
  <c r="D658" i="1"/>
  <c r="W657" i="1"/>
  <c r="U657" i="1" a="1"/>
  <c r="U657" i="1" s="1"/>
  <c r="S657" i="1"/>
  <c r="P657" i="1"/>
  <c r="P657" i="1" a="1"/>
  <c r="N657" i="1"/>
  <c r="J657" i="1" a="1"/>
  <c r="J657" i="1" s="1"/>
  <c r="G657" i="1"/>
  <c r="G657" i="1" a="1"/>
  <c r="D657" i="1"/>
  <c r="W656" i="1"/>
  <c r="U656" i="1" a="1"/>
  <c r="U656" i="1" s="1"/>
  <c r="S656" i="1"/>
  <c r="P656" i="1"/>
  <c r="P656" i="1" a="1"/>
  <c r="N656" i="1"/>
  <c r="J656" i="1"/>
  <c r="J656" i="1" a="1"/>
  <c r="G656" i="1" a="1"/>
  <c r="G656" i="1" s="1"/>
  <c r="D656" i="1"/>
  <c r="W655" i="1"/>
  <c r="U655" i="1" a="1"/>
  <c r="U655" i="1" s="1"/>
  <c r="S655" i="1"/>
  <c r="P655" i="1"/>
  <c r="P655" i="1" a="1"/>
  <c r="N655" i="1"/>
  <c r="J655" i="1" a="1"/>
  <c r="J655" i="1" s="1"/>
  <c r="G655" i="1" a="1"/>
  <c r="G655" i="1" s="1"/>
  <c r="D655" i="1"/>
  <c r="W654" i="1"/>
  <c r="U654" i="1" a="1"/>
  <c r="U654" i="1" s="1"/>
  <c r="S654" i="1"/>
  <c r="P654" i="1"/>
  <c r="P654" i="1" a="1"/>
  <c r="N654" i="1"/>
  <c r="J654" i="1" a="1"/>
  <c r="J654" i="1" s="1"/>
  <c r="G654" i="1" a="1"/>
  <c r="G654" i="1" s="1"/>
  <c r="D654" i="1"/>
  <c r="W653" i="1"/>
  <c r="U653" i="1" a="1"/>
  <c r="U653" i="1" s="1"/>
  <c r="S653" i="1"/>
  <c r="P653" i="1" a="1"/>
  <c r="P653" i="1" s="1"/>
  <c r="N653" i="1"/>
  <c r="J653" i="1" a="1"/>
  <c r="J653" i="1" s="1"/>
  <c r="G653" i="1" a="1"/>
  <c r="G653" i="1" s="1"/>
  <c r="D653" i="1"/>
  <c r="W652" i="1"/>
  <c r="U652" i="1"/>
  <c r="U652" i="1" a="1"/>
  <c r="S652" i="1"/>
  <c r="P652" i="1"/>
  <c r="P652" i="1" a="1"/>
  <c r="N652" i="1"/>
  <c r="J652" i="1" a="1"/>
  <c r="J652" i="1" s="1"/>
  <c r="G652" i="1" a="1"/>
  <c r="G652" i="1" s="1"/>
  <c r="D652" i="1"/>
  <c r="W651" i="1"/>
  <c r="U651" i="1" a="1"/>
  <c r="U651" i="1" s="1"/>
  <c r="S651" i="1"/>
  <c r="P651" i="1"/>
  <c r="P651" i="1" a="1"/>
  <c r="N651" i="1"/>
  <c r="J651" i="1" a="1"/>
  <c r="J651" i="1" s="1"/>
  <c r="G651" i="1"/>
  <c r="G651" i="1" a="1"/>
  <c r="D651" i="1"/>
  <c r="W650" i="1"/>
  <c r="U650" i="1" a="1"/>
  <c r="U650" i="1" s="1"/>
  <c r="S650" i="1"/>
  <c r="P650" i="1"/>
  <c r="P650" i="1" a="1"/>
  <c r="N650" i="1"/>
  <c r="J650" i="1"/>
  <c r="J650" i="1" a="1"/>
  <c r="G650" i="1" a="1"/>
  <c r="G650" i="1" s="1"/>
  <c r="D650" i="1"/>
  <c r="W649" i="1"/>
  <c r="U649" i="1" a="1"/>
  <c r="U649" i="1" s="1"/>
  <c r="S649" i="1"/>
  <c r="P649" i="1"/>
  <c r="P649" i="1" a="1"/>
  <c r="N649" i="1"/>
  <c r="J649" i="1"/>
  <c r="J649" i="1" a="1"/>
  <c r="G649" i="1" a="1"/>
  <c r="G649" i="1" s="1"/>
  <c r="D649" i="1"/>
  <c r="W648" i="1"/>
  <c r="U648" i="1" a="1"/>
  <c r="U648" i="1" s="1"/>
  <c r="S648" i="1"/>
  <c r="P648" i="1" a="1"/>
  <c r="P648" i="1" s="1"/>
  <c r="N648" i="1"/>
  <c r="J648" i="1" a="1"/>
  <c r="J648" i="1" s="1"/>
  <c r="G648" i="1" a="1"/>
  <c r="G648" i="1" s="1"/>
  <c r="D648" i="1"/>
  <c r="W647" i="1"/>
  <c r="U647" i="1" a="1"/>
  <c r="U647" i="1" s="1"/>
  <c r="S647" i="1"/>
  <c r="P647" i="1" a="1"/>
  <c r="P647" i="1" s="1"/>
  <c r="N647" i="1"/>
  <c r="J647" i="1" a="1"/>
  <c r="J647" i="1" s="1"/>
  <c r="G647" i="1" a="1"/>
  <c r="G647" i="1" s="1"/>
  <c r="D647" i="1"/>
  <c r="W646" i="1"/>
  <c r="U646" i="1" a="1"/>
  <c r="U646" i="1" s="1"/>
  <c r="S646" i="1"/>
  <c r="P646" i="1"/>
  <c r="P646" i="1" a="1"/>
  <c r="N646" i="1"/>
  <c r="J646" i="1" a="1"/>
  <c r="J646" i="1" s="1"/>
  <c r="G646" i="1" a="1"/>
  <c r="G646" i="1" s="1"/>
  <c r="D646" i="1"/>
  <c r="W645" i="1"/>
  <c r="U645" i="1" a="1"/>
  <c r="U645" i="1" s="1"/>
  <c r="S645" i="1"/>
  <c r="P645" i="1"/>
  <c r="P645" i="1" a="1"/>
  <c r="N645" i="1"/>
  <c r="J645" i="1" a="1"/>
  <c r="J645" i="1" s="1"/>
  <c r="G645" i="1" a="1"/>
  <c r="G645" i="1" s="1"/>
  <c r="D645" i="1"/>
  <c r="W644" i="1"/>
  <c r="U644" i="1" a="1"/>
  <c r="U644" i="1" s="1"/>
  <c r="S644" i="1"/>
  <c r="P644" i="1"/>
  <c r="P644" i="1" a="1"/>
  <c r="N644" i="1"/>
  <c r="J644" i="1" a="1"/>
  <c r="J644" i="1" s="1"/>
  <c r="G644" i="1"/>
  <c r="G644" i="1" a="1"/>
  <c r="D644" i="1"/>
  <c r="W643" i="1"/>
  <c r="U643" i="1" a="1"/>
  <c r="U643" i="1" s="1"/>
  <c r="S643" i="1"/>
  <c r="P643" i="1"/>
  <c r="P643" i="1" a="1"/>
  <c r="N643" i="1"/>
  <c r="J643" i="1" a="1"/>
  <c r="J643" i="1" s="1"/>
  <c r="G643" i="1" a="1"/>
  <c r="G643" i="1" s="1"/>
  <c r="D643" i="1"/>
  <c r="W642" i="1"/>
  <c r="U642" i="1" a="1"/>
  <c r="U642" i="1" s="1"/>
  <c r="S642" i="1"/>
  <c r="P642" i="1"/>
  <c r="P642" i="1" a="1"/>
  <c r="N642" i="1"/>
  <c r="J642" i="1" a="1"/>
  <c r="J642" i="1" s="1"/>
  <c r="G642" i="1" a="1"/>
  <c r="G642" i="1" s="1"/>
  <c r="D642" i="1"/>
  <c r="W641" i="1"/>
  <c r="U641" i="1" a="1"/>
  <c r="U641" i="1" s="1"/>
  <c r="S641" i="1"/>
  <c r="P641" i="1" a="1"/>
  <c r="P641" i="1" s="1"/>
  <c r="N641" i="1"/>
  <c r="J641" i="1" a="1"/>
  <c r="J641" i="1" s="1"/>
  <c r="G641" i="1" a="1"/>
  <c r="G641" i="1" s="1"/>
  <c r="D641" i="1"/>
  <c r="W640" i="1"/>
  <c r="U640" i="1"/>
  <c r="U640" i="1" a="1"/>
  <c r="S640" i="1"/>
  <c r="P640" i="1"/>
  <c r="P640" i="1" a="1"/>
  <c r="N640" i="1"/>
  <c r="J640" i="1" a="1"/>
  <c r="J640" i="1" s="1"/>
  <c r="G640" i="1" a="1"/>
  <c r="G640" i="1" s="1"/>
  <c r="D640" i="1"/>
  <c r="W639" i="1"/>
  <c r="U639" i="1" a="1"/>
  <c r="U639" i="1" s="1"/>
  <c r="S639" i="1"/>
  <c r="P639" i="1"/>
  <c r="P639" i="1" a="1"/>
  <c r="N639" i="1"/>
  <c r="J639" i="1" a="1"/>
  <c r="J639" i="1" s="1"/>
  <c r="G639" i="1" a="1"/>
  <c r="G639" i="1" s="1"/>
  <c r="D639" i="1"/>
  <c r="W638" i="1"/>
  <c r="U638" i="1" a="1"/>
  <c r="U638" i="1" s="1"/>
  <c r="S638" i="1"/>
  <c r="P638" i="1"/>
  <c r="P638" i="1" a="1"/>
  <c r="N638" i="1"/>
  <c r="J638" i="1"/>
  <c r="J638" i="1" a="1"/>
  <c r="G638" i="1" a="1"/>
  <c r="G638" i="1" s="1"/>
  <c r="D638" i="1"/>
  <c r="W637" i="1"/>
  <c r="U637" i="1" a="1"/>
  <c r="U637" i="1" s="1"/>
  <c r="S637" i="1"/>
  <c r="P637" i="1"/>
  <c r="P637" i="1" a="1"/>
  <c r="N637" i="1"/>
  <c r="J637" i="1"/>
  <c r="J637" i="1" a="1"/>
  <c r="G637" i="1" a="1"/>
  <c r="G637" i="1" s="1"/>
  <c r="D637" i="1"/>
  <c r="W636" i="1"/>
  <c r="U636" i="1" a="1"/>
  <c r="U636" i="1" s="1"/>
  <c r="S636" i="1"/>
  <c r="P636" i="1"/>
  <c r="P636" i="1" a="1"/>
  <c r="N636" i="1"/>
  <c r="J636" i="1" a="1"/>
  <c r="J636" i="1" s="1"/>
  <c r="G636" i="1" a="1"/>
  <c r="G636" i="1" s="1"/>
  <c r="D636" i="1"/>
  <c r="W635" i="1"/>
  <c r="U635" i="1" a="1"/>
  <c r="U635" i="1" s="1"/>
  <c r="S635" i="1"/>
  <c r="P635" i="1" a="1"/>
  <c r="P635" i="1" s="1"/>
  <c r="N635" i="1"/>
  <c r="J635" i="1" a="1"/>
  <c r="J635" i="1" s="1"/>
  <c r="G635" i="1" a="1"/>
  <c r="G635" i="1" s="1"/>
  <c r="D635" i="1"/>
  <c r="W634" i="1"/>
  <c r="U634" i="1" a="1"/>
  <c r="U634" i="1" s="1"/>
  <c r="S634" i="1"/>
  <c r="P634" i="1"/>
  <c r="P634" i="1" a="1"/>
  <c r="N634" i="1"/>
  <c r="J634" i="1" a="1"/>
  <c r="J634" i="1" s="1"/>
  <c r="G634" i="1" a="1"/>
  <c r="G634" i="1" s="1"/>
  <c r="D634" i="1"/>
  <c r="W633" i="1"/>
  <c r="U633" i="1" a="1"/>
  <c r="U633" i="1" s="1"/>
  <c r="S633" i="1"/>
  <c r="P633" i="1"/>
  <c r="P633" i="1" a="1"/>
  <c r="N633" i="1"/>
  <c r="J633" i="1" a="1"/>
  <c r="J633" i="1" s="1"/>
  <c r="G633" i="1" a="1"/>
  <c r="G633" i="1" s="1"/>
  <c r="D633" i="1"/>
  <c r="W632" i="1"/>
  <c r="U632" i="1" a="1"/>
  <c r="U632" i="1" s="1"/>
  <c r="S632" i="1"/>
  <c r="P632" i="1"/>
  <c r="P632" i="1" a="1"/>
  <c r="N632" i="1"/>
  <c r="J632" i="1"/>
  <c r="J632" i="1" a="1"/>
  <c r="G632" i="1" a="1"/>
  <c r="G632" i="1" s="1"/>
  <c r="D632" i="1"/>
  <c r="W631" i="1"/>
  <c r="U631" i="1" a="1"/>
  <c r="U631" i="1" s="1"/>
  <c r="S631" i="1"/>
  <c r="P631" i="1"/>
  <c r="P631" i="1" a="1"/>
  <c r="N631" i="1"/>
  <c r="J631" i="1"/>
  <c r="J631" i="1" a="1"/>
  <c r="G631" i="1" a="1"/>
  <c r="G631" i="1" s="1"/>
  <c r="D631" i="1"/>
  <c r="W630" i="1"/>
  <c r="U630" i="1" a="1"/>
  <c r="U630" i="1" s="1"/>
  <c r="S630" i="1"/>
  <c r="P630" i="1" a="1"/>
  <c r="P630" i="1" s="1"/>
  <c r="N630" i="1"/>
  <c r="J630" i="1" a="1"/>
  <c r="J630" i="1" s="1"/>
  <c r="G630" i="1" a="1"/>
  <c r="G630" i="1" s="1"/>
  <c r="D630" i="1"/>
  <c r="W629" i="1"/>
  <c r="U629" i="1" a="1"/>
  <c r="U629" i="1" s="1"/>
  <c r="S629" i="1"/>
  <c r="P629" i="1" a="1"/>
  <c r="P629" i="1" s="1"/>
  <c r="N629" i="1"/>
  <c r="J629" i="1" a="1"/>
  <c r="J629" i="1" s="1"/>
  <c r="G629" i="1" a="1"/>
  <c r="G629" i="1" s="1"/>
  <c r="D629" i="1"/>
  <c r="W628" i="1"/>
  <c r="U628" i="1" a="1"/>
  <c r="U628" i="1" s="1"/>
  <c r="S628" i="1"/>
  <c r="P628" i="1"/>
  <c r="P628" i="1" a="1"/>
  <c r="N628" i="1"/>
  <c r="J628" i="1" a="1"/>
  <c r="J628" i="1" s="1"/>
  <c r="G628" i="1" a="1"/>
  <c r="G628" i="1" s="1"/>
  <c r="D628" i="1"/>
  <c r="W627" i="1"/>
  <c r="U627" i="1" a="1"/>
  <c r="U627" i="1" s="1"/>
  <c r="S627" i="1"/>
  <c r="P627" i="1"/>
  <c r="P627" i="1" a="1"/>
  <c r="N627" i="1"/>
  <c r="J627" i="1" a="1"/>
  <c r="J627" i="1" s="1"/>
  <c r="G627" i="1" a="1"/>
  <c r="G627" i="1" s="1"/>
  <c r="D627" i="1"/>
  <c r="W626" i="1"/>
  <c r="U626" i="1" a="1"/>
  <c r="U626" i="1" s="1"/>
  <c r="S626" i="1"/>
  <c r="P626" i="1"/>
  <c r="P626" i="1" a="1"/>
  <c r="N626" i="1"/>
  <c r="J626" i="1" a="1"/>
  <c r="J626" i="1" s="1"/>
  <c r="G626" i="1" a="1"/>
  <c r="G626" i="1" s="1"/>
  <c r="D626" i="1"/>
  <c r="W625" i="1"/>
  <c r="U625" i="1" a="1"/>
  <c r="U625" i="1" s="1"/>
  <c r="S625" i="1"/>
  <c r="P625" i="1"/>
  <c r="P625" i="1" a="1"/>
  <c r="N625" i="1"/>
  <c r="J625" i="1" a="1"/>
  <c r="J625" i="1" s="1"/>
  <c r="G625" i="1" a="1"/>
  <c r="G625" i="1" s="1"/>
  <c r="D625" i="1"/>
  <c r="W624" i="1"/>
  <c r="U624" i="1" a="1"/>
  <c r="U624" i="1" s="1"/>
  <c r="S624" i="1"/>
  <c r="P624" i="1"/>
  <c r="P624" i="1" a="1"/>
  <c r="N624" i="1"/>
  <c r="J624" i="1" a="1"/>
  <c r="J624" i="1" s="1"/>
  <c r="G624" i="1" a="1"/>
  <c r="G624" i="1" s="1"/>
  <c r="D624" i="1"/>
  <c r="W623" i="1"/>
  <c r="U623" i="1" a="1"/>
  <c r="U623" i="1" s="1"/>
  <c r="S623" i="1"/>
  <c r="P623" i="1" a="1"/>
  <c r="P623" i="1" s="1"/>
  <c r="N623" i="1"/>
  <c r="J623" i="1" a="1"/>
  <c r="J623" i="1" s="1"/>
  <c r="G623" i="1" a="1"/>
  <c r="G623" i="1" s="1"/>
  <c r="D623" i="1"/>
  <c r="W622" i="1"/>
  <c r="U622" i="1"/>
  <c r="U622" i="1" a="1"/>
  <c r="S622" i="1"/>
  <c r="P622" i="1"/>
  <c r="P622" i="1" a="1"/>
  <c r="N622" i="1"/>
  <c r="J622" i="1" a="1"/>
  <c r="J622" i="1" s="1"/>
  <c r="G622" i="1" a="1"/>
  <c r="G622" i="1" s="1"/>
  <c r="D622" i="1"/>
  <c r="W621" i="1"/>
  <c r="U621" i="1" a="1"/>
  <c r="U621" i="1" s="1"/>
  <c r="S621" i="1"/>
  <c r="P621" i="1" a="1"/>
  <c r="P621" i="1" s="1"/>
  <c r="N621" i="1"/>
  <c r="J621" i="1" a="1"/>
  <c r="J621" i="1" s="1"/>
  <c r="G621" i="1" a="1"/>
  <c r="G621" i="1" s="1"/>
  <c r="D621" i="1"/>
  <c r="W620" i="1"/>
  <c r="U620" i="1" a="1"/>
  <c r="U620" i="1" s="1"/>
  <c r="S620" i="1"/>
  <c r="P620" i="1"/>
  <c r="P620" i="1" a="1"/>
  <c r="N620" i="1"/>
  <c r="J620" i="1" a="1"/>
  <c r="J620" i="1" s="1"/>
  <c r="G620" i="1" a="1"/>
  <c r="G620" i="1" s="1"/>
  <c r="D620" i="1"/>
  <c r="W619" i="1"/>
  <c r="U619" i="1" a="1"/>
  <c r="U619" i="1" s="1"/>
  <c r="S619" i="1"/>
  <c r="P619" i="1"/>
  <c r="P619" i="1" a="1"/>
  <c r="N619" i="1"/>
  <c r="J619" i="1" a="1"/>
  <c r="J619" i="1" s="1"/>
  <c r="G619" i="1" a="1"/>
  <c r="G619" i="1" s="1"/>
  <c r="D619" i="1"/>
  <c r="W618" i="1"/>
  <c r="U618" i="1" a="1"/>
  <c r="U618" i="1" s="1"/>
  <c r="S618" i="1"/>
  <c r="P618" i="1" a="1"/>
  <c r="P618" i="1" s="1"/>
  <c r="N618" i="1"/>
  <c r="J618" i="1" a="1"/>
  <c r="J618" i="1" s="1"/>
  <c r="G618" i="1"/>
  <c r="G618" i="1" a="1"/>
  <c r="D618" i="1"/>
  <c r="W617" i="1"/>
  <c r="U617" i="1" a="1"/>
  <c r="U617" i="1" s="1"/>
  <c r="S617" i="1"/>
  <c r="P617" i="1" a="1"/>
  <c r="P617" i="1" s="1"/>
  <c r="N617" i="1"/>
  <c r="J617" i="1" a="1"/>
  <c r="J617" i="1" s="1"/>
  <c r="G617" i="1" a="1"/>
  <c r="G617" i="1" s="1"/>
  <c r="D617" i="1"/>
  <c r="W616" i="1"/>
  <c r="U616" i="1" a="1"/>
  <c r="U616" i="1" s="1"/>
  <c r="S616" i="1"/>
  <c r="P616" i="1"/>
  <c r="P616" i="1" a="1"/>
  <c r="N616" i="1"/>
  <c r="J616" i="1" a="1"/>
  <c r="J616" i="1" s="1"/>
  <c r="G616" i="1" a="1"/>
  <c r="G616" i="1" s="1"/>
  <c r="D616" i="1"/>
  <c r="W615" i="1"/>
  <c r="U615" i="1"/>
  <c r="U615" i="1" a="1"/>
  <c r="S615" i="1"/>
  <c r="P615" i="1" a="1"/>
  <c r="P615" i="1" s="1"/>
  <c r="N615" i="1"/>
  <c r="J615" i="1" a="1"/>
  <c r="J615" i="1" s="1"/>
  <c r="G615" i="1" a="1"/>
  <c r="G615" i="1" s="1"/>
  <c r="D615" i="1"/>
  <c r="W614" i="1"/>
  <c r="U614" i="1" a="1"/>
  <c r="U614" i="1" s="1"/>
  <c r="S614" i="1"/>
  <c r="P614" i="1"/>
  <c r="P614" i="1" a="1"/>
  <c r="N614" i="1"/>
  <c r="J614" i="1" a="1"/>
  <c r="J614" i="1" s="1"/>
  <c r="G614" i="1" a="1"/>
  <c r="G614" i="1" s="1"/>
  <c r="D614" i="1"/>
  <c r="W613" i="1"/>
  <c r="U613" i="1" a="1"/>
  <c r="U613" i="1" s="1"/>
  <c r="S613" i="1"/>
  <c r="P613" i="1"/>
  <c r="P613" i="1" a="1"/>
  <c r="N613" i="1"/>
  <c r="J613" i="1" a="1"/>
  <c r="J613" i="1" s="1"/>
  <c r="G613" i="1" a="1"/>
  <c r="G613" i="1" s="1"/>
  <c r="D613" i="1"/>
  <c r="W612" i="1"/>
  <c r="U612" i="1" a="1"/>
  <c r="U612" i="1" s="1"/>
  <c r="S612" i="1"/>
  <c r="P612" i="1" a="1"/>
  <c r="P612" i="1" s="1"/>
  <c r="N612" i="1"/>
  <c r="J612" i="1" a="1"/>
  <c r="J612" i="1" s="1"/>
  <c r="G612" i="1"/>
  <c r="G612" i="1" a="1"/>
  <c r="D612" i="1"/>
  <c r="W611" i="1"/>
  <c r="U611" i="1" a="1"/>
  <c r="U611" i="1" s="1"/>
  <c r="S611" i="1"/>
  <c r="P611" i="1" a="1"/>
  <c r="P611" i="1" s="1"/>
  <c r="N611" i="1"/>
  <c r="J611" i="1" a="1"/>
  <c r="J611" i="1" s="1"/>
  <c r="G611" i="1" a="1"/>
  <c r="G611" i="1" s="1"/>
  <c r="D611" i="1"/>
  <c r="W610" i="1"/>
  <c r="U610" i="1"/>
  <c r="U610" i="1" a="1"/>
  <c r="S610" i="1"/>
  <c r="P610" i="1"/>
  <c r="P610" i="1" a="1"/>
  <c r="N610" i="1"/>
  <c r="J610" i="1" a="1"/>
  <c r="J610" i="1" s="1"/>
  <c r="G610" i="1" a="1"/>
  <c r="G610" i="1" s="1"/>
  <c r="D610" i="1"/>
  <c r="W609" i="1"/>
  <c r="U609" i="1" a="1"/>
  <c r="U609" i="1" s="1"/>
  <c r="S609" i="1"/>
  <c r="P609" i="1" a="1"/>
  <c r="P609" i="1" s="1"/>
  <c r="N609" i="1"/>
  <c r="J609" i="1" a="1"/>
  <c r="J609" i="1" s="1"/>
  <c r="G609" i="1" a="1"/>
  <c r="G609" i="1" s="1"/>
  <c r="D609" i="1"/>
  <c r="W608" i="1"/>
  <c r="U608" i="1" a="1"/>
  <c r="U608" i="1" s="1"/>
  <c r="S608" i="1"/>
  <c r="P608" i="1"/>
  <c r="P608" i="1" a="1"/>
  <c r="N608" i="1"/>
  <c r="J608" i="1" a="1"/>
  <c r="J608" i="1" s="1"/>
  <c r="G608" i="1" a="1"/>
  <c r="G608" i="1" s="1"/>
  <c r="D608" i="1"/>
  <c r="W607" i="1"/>
  <c r="U607" i="1" a="1"/>
  <c r="U607" i="1" s="1"/>
  <c r="S607" i="1"/>
  <c r="P607" i="1" a="1"/>
  <c r="P607" i="1" s="1"/>
  <c r="N607" i="1"/>
  <c r="J607" i="1" a="1"/>
  <c r="J607" i="1" s="1"/>
  <c r="G607" i="1" a="1"/>
  <c r="G607" i="1" s="1"/>
  <c r="D607" i="1"/>
  <c r="W606" i="1"/>
  <c r="U606" i="1"/>
  <c r="U606" i="1" a="1"/>
  <c r="S606" i="1"/>
  <c r="P606" i="1" a="1"/>
  <c r="P606" i="1" s="1"/>
  <c r="N606" i="1"/>
  <c r="J606" i="1" a="1"/>
  <c r="J606" i="1" s="1"/>
  <c r="G606" i="1" a="1"/>
  <c r="G606" i="1" s="1"/>
  <c r="D606" i="1"/>
  <c r="W605" i="1"/>
  <c r="U605" i="1"/>
  <c r="U605" i="1" a="1"/>
  <c r="S605" i="1"/>
  <c r="P605" i="1"/>
  <c r="P605" i="1" a="1"/>
  <c r="N605" i="1"/>
  <c r="J605" i="1" a="1"/>
  <c r="J605" i="1" s="1"/>
  <c r="G605" i="1"/>
  <c r="G605" i="1" a="1"/>
  <c r="D605" i="1"/>
  <c r="W604" i="1"/>
  <c r="U604" i="1" a="1"/>
  <c r="U604" i="1" s="1"/>
  <c r="S604" i="1"/>
  <c r="P604" i="1"/>
  <c r="P604" i="1" a="1"/>
  <c r="N604" i="1"/>
  <c r="J604" i="1" a="1"/>
  <c r="J604" i="1" s="1"/>
  <c r="G604" i="1"/>
  <c r="G604" i="1" a="1"/>
  <c r="D604" i="1"/>
  <c r="W603" i="1"/>
  <c r="U603" i="1" a="1"/>
  <c r="U603" i="1" s="1"/>
  <c r="S603" i="1"/>
  <c r="P603" i="1" a="1"/>
  <c r="P603" i="1" s="1"/>
  <c r="N603" i="1"/>
  <c r="J603" i="1"/>
  <c r="J603" i="1" a="1"/>
  <c r="G603" i="1" a="1"/>
  <c r="G603" i="1" s="1"/>
  <c r="D603" i="1"/>
  <c r="W602" i="1"/>
  <c r="U602" i="1" a="1"/>
  <c r="U602" i="1" s="1"/>
  <c r="S602" i="1"/>
  <c r="P602" i="1" a="1"/>
  <c r="P602" i="1" s="1"/>
  <c r="N602" i="1"/>
  <c r="J602" i="1" a="1"/>
  <c r="J602" i="1" s="1"/>
  <c r="G602" i="1" a="1"/>
  <c r="G602" i="1" s="1"/>
  <c r="D602" i="1"/>
  <c r="W601" i="1"/>
  <c r="U601" i="1"/>
  <c r="U601" i="1" a="1"/>
  <c r="S601" i="1"/>
  <c r="P601" i="1"/>
  <c r="P601" i="1" a="1"/>
  <c r="N601" i="1"/>
  <c r="J601" i="1" a="1"/>
  <c r="J601" i="1" s="1"/>
  <c r="G601" i="1" a="1"/>
  <c r="G601" i="1" s="1"/>
  <c r="D601" i="1"/>
  <c r="W600" i="1"/>
  <c r="U600" i="1" a="1"/>
  <c r="U600" i="1" s="1"/>
  <c r="S600" i="1"/>
  <c r="P600" i="1" a="1"/>
  <c r="P600" i="1" s="1"/>
  <c r="N600" i="1"/>
  <c r="J600" i="1" a="1"/>
  <c r="J600" i="1" s="1"/>
  <c r="G600" i="1" a="1"/>
  <c r="G600" i="1" s="1"/>
  <c r="D600" i="1"/>
  <c r="W599" i="1"/>
  <c r="U599" i="1" a="1"/>
  <c r="U599" i="1" s="1"/>
  <c r="S599" i="1"/>
  <c r="P599" i="1"/>
  <c r="P599" i="1" a="1"/>
  <c r="N599" i="1"/>
  <c r="J599" i="1" a="1"/>
  <c r="J599" i="1" s="1"/>
  <c r="G599" i="1"/>
  <c r="G599" i="1" a="1"/>
  <c r="D599" i="1"/>
  <c r="W598" i="1"/>
  <c r="U598" i="1" a="1"/>
  <c r="U598" i="1" s="1"/>
  <c r="S598" i="1"/>
  <c r="P598" i="1"/>
  <c r="P598" i="1" a="1"/>
  <c r="N598" i="1"/>
  <c r="J598" i="1" a="1"/>
  <c r="J598" i="1" s="1"/>
  <c r="G598" i="1" a="1"/>
  <c r="G598" i="1" s="1"/>
  <c r="D598" i="1"/>
  <c r="W597" i="1"/>
  <c r="U597" i="1" a="1"/>
  <c r="U597" i="1" s="1"/>
  <c r="S597" i="1"/>
  <c r="P597" i="1"/>
  <c r="P597" i="1" a="1"/>
  <c r="N597" i="1"/>
  <c r="J597" i="1" a="1"/>
  <c r="J597" i="1" s="1"/>
  <c r="G597" i="1" a="1"/>
  <c r="G597" i="1" s="1"/>
  <c r="D597" i="1"/>
  <c r="W596" i="1"/>
  <c r="U596" i="1" a="1"/>
  <c r="U596" i="1" s="1"/>
  <c r="S596" i="1"/>
  <c r="P596" i="1" a="1"/>
  <c r="P596" i="1" s="1"/>
  <c r="N596" i="1"/>
  <c r="J596" i="1" a="1"/>
  <c r="J596" i="1" s="1"/>
  <c r="G596" i="1" a="1"/>
  <c r="G596" i="1" s="1"/>
  <c r="D596" i="1"/>
  <c r="W595" i="1"/>
  <c r="U595" i="1"/>
  <c r="U595" i="1" a="1"/>
  <c r="S595" i="1"/>
  <c r="P595" i="1"/>
  <c r="P595" i="1" a="1"/>
  <c r="N595" i="1"/>
  <c r="J595" i="1" a="1"/>
  <c r="J595" i="1" s="1"/>
  <c r="G595" i="1" a="1"/>
  <c r="G595" i="1" s="1"/>
  <c r="D595" i="1"/>
  <c r="W594" i="1"/>
  <c r="U594" i="1" a="1"/>
  <c r="U594" i="1" s="1"/>
  <c r="S594" i="1"/>
  <c r="P594" i="1" a="1"/>
  <c r="P594" i="1" s="1"/>
  <c r="N594" i="1"/>
  <c r="J594" i="1" a="1"/>
  <c r="J594" i="1" s="1"/>
  <c r="G594" i="1"/>
  <c r="G594" i="1" a="1"/>
  <c r="D594" i="1"/>
  <c r="W593" i="1"/>
  <c r="U593" i="1" a="1"/>
  <c r="U593" i="1" s="1"/>
  <c r="S593" i="1"/>
  <c r="P593" i="1"/>
  <c r="P593" i="1" a="1"/>
  <c r="N593" i="1"/>
  <c r="J593" i="1" a="1"/>
  <c r="J593" i="1" s="1"/>
  <c r="G593" i="1"/>
  <c r="G593" i="1" a="1"/>
  <c r="D593" i="1"/>
  <c r="W592" i="1"/>
  <c r="U592" i="1" a="1"/>
  <c r="U592" i="1" s="1"/>
  <c r="S592" i="1"/>
  <c r="P592" i="1"/>
  <c r="P592" i="1" a="1"/>
  <c r="N592" i="1"/>
  <c r="J592" i="1"/>
  <c r="J592" i="1" a="1"/>
  <c r="G592" i="1" a="1"/>
  <c r="G592" i="1" s="1"/>
  <c r="D592" i="1"/>
  <c r="W591" i="1"/>
  <c r="U591" i="1" a="1"/>
  <c r="U591" i="1" s="1"/>
  <c r="S591" i="1"/>
  <c r="P591" i="1"/>
  <c r="P591" i="1" a="1"/>
  <c r="N591" i="1"/>
  <c r="J591" i="1" a="1"/>
  <c r="J591" i="1" s="1"/>
  <c r="G591" i="1" a="1"/>
  <c r="G591" i="1" s="1"/>
  <c r="D591" i="1"/>
  <c r="W590" i="1"/>
  <c r="U590" i="1" a="1"/>
  <c r="U590" i="1" s="1"/>
  <c r="S590" i="1"/>
  <c r="P590" i="1" a="1"/>
  <c r="P590" i="1" s="1"/>
  <c r="N590" i="1"/>
  <c r="J590" i="1" a="1"/>
  <c r="J590" i="1" s="1"/>
  <c r="G590" i="1" a="1"/>
  <c r="G590" i="1" s="1"/>
  <c r="D590" i="1"/>
  <c r="W589" i="1"/>
  <c r="U589" i="1" a="1"/>
  <c r="U589" i="1" s="1"/>
  <c r="S589" i="1"/>
  <c r="P589" i="1"/>
  <c r="P589" i="1" a="1"/>
  <c r="N589" i="1"/>
  <c r="J589" i="1" a="1"/>
  <c r="J589" i="1" s="1"/>
  <c r="G589" i="1" a="1"/>
  <c r="G589" i="1" s="1"/>
  <c r="D589" i="1"/>
  <c r="W588" i="1"/>
  <c r="U588" i="1"/>
  <c r="U588" i="1" a="1"/>
  <c r="S588" i="1"/>
  <c r="P588" i="1" a="1"/>
  <c r="P588" i="1" s="1"/>
  <c r="N588" i="1"/>
  <c r="J588" i="1" a="1"/>
  <c r="J588" i="1" s="1"/>
  <c r="G588" i="1" a="1"/>
  <c r="G588" i="1" s="1"/>
  <c r="D588" i="1"/>
  <c r="W587" i="1"/>
  <c r="U587" i="1" a="1"/>
  <c r="U587" i="1" s="1"/>
  <c r="S587" i="1"/>
  <c r="P587" i="1"/>
  <c r="P587" i="1" a="1"/>
  <c r="N587" i="1"/>
  <c r="J587" i="1"/>
  <c r="J587" i="1" a="1"/>
  <c r="G587" i="1" a="1"/>
  <c r="G587" i="1" s="1"/>
  <c r="D587" i="1"/>
  <c r="W586" i="1"/>
  <c r="U586" i="1" a="1"/>
  <c r="U586" i="1" s="1"/>
  <c r="S586" i="1"/>
  <c r="P586" i="1"/>
  <c r="P586" i="1" a="1"/>
  <c r="N586" i="1"/>
  <c r="J586" i="1"/>
  <c r="J586" i="1" a="1"/>
  <c r="G586" i="1" a="1"/>
  <c r="G586" i="1" s="1"/>
  <c r="D586" i="1"/>
  <c r="W585" i="1"/>
  <c r="U585" i="1" a="1"/>
  <c r="U585" i="1" s="1"/>
  <c r="S585" i="1"/>
  <c r="P585" i="1" a="1"/>
  <c r="P585" i="1" s="1"/>
  <c r="N585" i="1"/>
  <c r="J585" i="1" a="1"/>
  <c r="J585" i="1" s="1"/>
  <c r="G585" i="1" a="1"/>
  <c r="G585" i="1" s="1"/>
  <c r="D585" i="1"/>
  <c r="W584" i="1"/>
  <c r="U584" i="1" a="1"/>
  <c r="U584" i="1" s="1"/>
  <c r="S584" i="1"/>
  <c r="P584" i="1" a="1"/>
  <c r="P584" i="1" s="1"/>
  <c r="N584" i="1"/>
  <c r="J584" i="1" a="1"/>
  <c r="J584" i="1" s="1"/>
  <c r="G584" i="1" a="1"/>
  <c r="G584" i="1" s="1"/>
  <c r="D584" i="1"/>
  <c r="W583" i="1"/>
  <c r="U583" i="1" a="1"/>
  <c r="U583" i="1" s="1"/>
  <c r="S583" i="1"/>
  <c r="P583" i="1"/>
  <c r="P583" i="1" a="1"/>
  <c r="N583" i="1"/>
  <c r="J583" i="1" a="1"/>
  <c r="J583" i="1" s="1"/>
  <c r="G583" i="1" a="1"/>
  <c r="G583" i="1" s="1"/>
  <c r="D583" i="1"/>
  <c r="W582" i="1"/>
  <c r="U582" i="1" a="1"/>
  <c r="U582" i="1" s="1"/>
  <c r="S582" i="1"/>
  <c r="P582" i="1" a="1"/>
  <c r="P582" i="1" s="1"/>
  <c r="N582" i="1"/>
  <c r="J582" i="1" a="1"/>
  <c r="J582" i="1" s="1"/>
  <c r="G582" i="1"/>
  <c r="G582" i="1" a="1"/>
  <c r="D582" i="1"/>
  <c r="W581" i="1"/>
  <c r="U581" i="1" a="1"/>
  <c r="U581" i="1" s="1"/>
  <c r="S581" i="1"/>
  <c r="P581" i="1"/>
  <c r="P581" i="1" a="1"/>
  <c r="N581" i="1"/>
  <c r="J581" i="1" a="1"/>
  <c r="J581" i="1" s="1"/>
  <c r="G581" i="1" a="1"/>
  <c r="G581" i="1" s="1"/>
  <c r="D581" i="1"/>
  <c r="W580" i="1"/>
  <c r="U580" i="1" a="1"/>
  <c r="U580" i="1" s="1"/>
  <c r="S580" i="1"/>
  <c r="P580" i="1"/>
  <c r="P580" i="1" a="1"/>
  <c r="N580" i="1"/>
  <c r="J580" i="1" a="1"/>
  <c r="J580" i="1" s="1"/>
  <c r="G580" i="1" a="1"/>
  <c r="G580" i="1" s="1"/>
  <c r="D580" i="1"/>
  <c r="W579" i="1"/>
  <c r="U579" i="1" a="1"/>
  <c r="U579" i="1" s="1"/>
  <c r="S579" i="1"/>
  <c r="P579" i="1" a="1"/>
  <c r="P579" i="1" s="1"/>
  <c r="N579" i="1"/>
  <c r="J579" i="1" a="1"/>
  <c r="J579" i="1" s="1"/>
  <c r="G579" i="1" a="1"/>
  <c r="G579" i="1" s="1"/>
  <c r="D579" i="1"/>
  <c r="W578" i="1"/>
  <c r="U578" i="1" a="1"/>
  <c r="U578" i="1" s="1"/>
  <c r="S578" i="1"/>
  <c r="P578" i="1" a="1"/>
  <c r="P578" i="1" s="1"/>
  <c r="N578" i="1"/>
  <c r="J578" i="1" a="1"/>
  <c r="J578" i="1" s="1"/>
  <c r="G578" i="1" a="1"/>
  <c r="G578" i="1" s="1"/>
  <c r="D578" i="1"/>
  <c r="W577" i="1"/>
  <c r="U577" i="1" a="1"/>
  <c r="U577" i="1" s="1"/>
  <c r="S577" i="1"/>
  <c r="P577" i="1"/>
  <c r="P577" i="1" a="1"/>
  <c r="N577" i="1"/>
  <c r="J577" i="1" a="1"/>
  <c r="J577" i="1" s="1"/>
  <c r="G577" i="1" a="1"/>
  <c r="G577" i="1" s="1"/>
  <c r="D577" i="1"/>
  <c r="W576" i="1"/>
  <c r="U576" i="1"/>
  <c r="U576" i="1" a="1"/>
  <c r="S576" i="1"/>
  <c r="P576" i="1" a="1"/>
  <c r="P576" i="1" s="1"/>
  <c r="N576" i="1"/>
  <c r="J576" i="1" a="1"/>
  <c r="J576" i="1" s="1"/>
  <c r="G576" i="1" a="1"/>
  <c r="G576" i="1" s="1"/>
  <c r="D576" i="1"/>
  <c r="W575" i="1"/>
  <c r="U575" i="1" a="1"/>
  <c r="U575" i="1" s="1"/>
  <c r="S575" i="1"/>
  <c r="P575" i="1"/>
  <c r="P575" i="1" a="1"/>
  <c r="N575" i="1"/>
  <c r="J575" i="1" a="1"/>
  <c r="J575" i="1" s="1"/>
  <c r="G575" i="1" a="1"/>
  <c r="G575" i="1" s="1"/>
  <c r="D575" i="1"/>
  <c r="W574" i="1"/>
  <c r="U574" i="1" a="1"/>
  <c r="U574" i="1" s="1"/>
  <c r="S574" i="1"/>
  <c r="P574" i="1"/>
  <c r="P574" i="1" a="1"/>
  <c r="N574" i="1"/>
  <c r="J574" i="1"/>
  <c r="J574" i="1" a="1"/>
  <c r="G574" i="1" a="1"/>
  <c r="G574" i="1" s="1"/>
  <c r="D574" i="1"/>
  <c r="W573" i="1"/>
  <c r="U573" i="1" a="1"/>
  <c r="U573" i="1" s="1"/>
  <c r="S573" i="1"/>
  <c r="P573" i="1" a="1"/>
  <c r="P573" i="1" s="1"/>
  <c r="N573" i="1"/>
  <c r="J573" i="1" a="1"/>
  <c r="J573" i="1" s="1"/>
  <c r="G573" i="1" a="1"/>
  <c r="G573" i="1" s="1"/>
  <c r="D573" i="1"/>
  <c r="W572" i="1"/>
  <c r="U572" i="1" a="1"/>
  <c r="U572" i="1" s="1"/>
  <c r="S572" i="1"/>
  <c r="P572" i="1" a="1"/>
  <c r="P572" i="1" s="1"/>
  <c r="N572" i="1"/>
  <c r="J572" i="1" a="1"/>
  <c r="J572" i="1" s="1"/>
  <c r="G572" i="1" a="1"/>
  <c r="G572" i="1" s="1"/>
  <c r="D572" i="1"/>
  <c r="W571" i="1"/>
  <c r="U571" i="1"/>
  <c r="U571" i="1" a="1"/>
  <c r="S571" i="1"/>
  <c r="P571" i="1"/>
  <c r="P571" i="1" a="1"/>
  <c r="N571" i="1"/>
  <c r="J571" i="1" a="1"/>
  <c r="J571" i="1" s="1"/>
  <c r="G571" i="1" a="1"/>
  <c r="G571" i="1" s="1"/>
  <c r="D571" i="1"/>
  <c r="W570" i="1"/>
  <c r="U570" i="1" a="1"/>
  <c r="U570" i="1" s="1"/>
  <c r="S570" i="1"/>
  <c r="P570" i="1"/>
  <c r="P570" i="1" a="1"/>
  <c r="N570" i="1"/>
  <c r="J570" i="1" a="1"/>
  <c r="J570" i="1" s="1"/>
  <c r="G570" i="1" a="1"/>
  <c r="G570" i="1" s="1"/>
  <c r="D570" i="1"/>
  <c r="W569" i="1"/>
  <c r="U569" i="1" a="1"/>
  <c r="U569" i="1" s="1"/>
  <c r="S569" i="1"/>
  <c r="P569" i="1"/>
  <c r="P569" i="1" a="1"/>
  <c r="N569" i="1"/>
  <c r="J569" i="1" a="1"/>
  <c r="J569" i="1" s="1"/>
  <c r="G569" i="1" a="1"/>
  <c r="G569" i="1" s="1"/>
  <c r="D569" i="1"/>
  <c r="W568" i="1"/>
  <c r="U568" i="1" a="1"/>
  <c r="U568" i="1" s="1"/>
  <c r="S568" i="1"/>
  <c r="P568" i="1"/>
  <c r="P568" i="1" a="1"/>
  <c r="N568" i="1"/>
  <c r="J568" i="1"/>
  <c r="J568" i="1" a="1"/>
  <c r="G568" i="1" a="1"/>
  <c r="G568" i="1" s="1"/>
  <c r="D568" i="1"/>
  <c r="W567" i="1"/>
  <c r="U567" i="1" a="1"/>
  <c r="U567" i="1" s="1"/>
  <c r="S567" i="1"/>
  <c r="P567" i="1" a="1"/>
  <c r="P567" i="1" s="1"/>
  <c r="N567" i="1"/>
  <c r="J567" i="1" a="1"/>
  <c r="J567" i="1" s="1"/>
  <c r="G567" i="1" a="1"/>
  <c r="G567" i="1" s="1"/>
  <c r="D567" i="1"/>
  <c r="W566" i="1"/>
  <c r="U566" i="1" a="1"/>
  <c r="U566" i="1" s="1"/>
  <c r="S566" i="1"/>
  <c r="P566" i="1"/>
  <c r="P566" i="1" a="1"/>
  <c r="N566" i="1"/>
  <c r="J566" i="1" a="1"/>
  <c r="J566" i="1" s="1"/>
  <c r="G566" i="1" a="1"/>
  <c r="G566" i="1" s="1"/>
  <c r="D566" i="1"/>
  <c r="W565" i="1"/>
  <c r="U565" i="1"/>
  <c r="U565" i="1" a="1"/>
  <c r="S565" i="1"/>
  <c r="P565" i="1"/>
  <c r="P565" i="1" a="1"/>
  <c r="N565" i="1"/>
  <c r="J565" i="1" a="1"/>
  <c r="J565" i="1" s="1"/>
  <c r="G565" i="1" a="1"/>
  <c r="G565" i="1" s="1"/>
  <c r="D565" i="1"/>
  <c r="W564" i="1"/>
  <c r="U564" i="1" a="1"/>
  <c r="U564" i="1" s="1"/>
  <c r="S564" i="1"/>
  <c r="P564" i="1"/>
  <c r="P564" i="1" a="1"/>
  <c r="N564" i="1"/>
  <c r="J564" i="1" a="1"/>
  <c r="J564" i="1" s="1"/>
  <c r="G564" i="1" a="1"/>
  <c r="G564" i="1" s="1"/>
  <c r="D564" i="1"/>
  <c r="W563" i="1"/>
  <c r="U563" i="1" a="1"/>
  <c r="U563" i="1" s="1"/>
  <c r="S563" i="1"/>
  <c r="P563" i="1"/>
  <c r="P563" i="1" a="1"/>
  <c r="N563" i="1"/>
  <c r="J563" i="1" a="1"/>
  <c r="J563" i="1" s="1"/>
  <c r="G563" i="1" a="1"/>
  <c r="G563" i="1" s="1"/>
  <c r="D563" i="1"/>
  <c r="W562" i="1"/>
  <c r="U562" i="1" a="1"/>
  <c r="U562" i="1" s="1"/>
  <c r="S562" i="1"/>
  <c r="P562" i="1"/>
  <c r="P562" i="1" a="1"/>
  <c r="N562" i="1"/>
  <c r="J562" i="1"/>
  <c r="J562" i="1" a="1"/>
  <c r="G562" i="1" a="1"/>
  <c r="G562" i="1" s="1"/>
  <c r="D562" i="1"/>
  <c r="W561" i="1"/>
  <c r="U561" i="1" a="1"/>
  <c r="U561" i="1" s="1"/>
  <c r="S561" i="1"/>
  <c r="P561" i="1" a="1"/>
  <c r="P561" i="1" s="1"/>
  <c r="N561" i="1"/>
  <c r="J561" i="1" a="1"/>
  <c r="J561" i="1" s="1"/>
  <c r="G561" i="1" a="1"/>
  <c r="G561" i="1" s="1"/>
  <c r="D561" i="1"/>
  <c r="W560" i="1"/>
  <c r="U560" i="1" a="1"/>
  <c r="U560" i="1" s="1"/>
  <c r="S560" i="1"/>
  <c r="P560" i="1"/>
  <c r="P560" i="1" a="1"/>
  <c r="N560" i="1"/>
  <c r="J560" i="1" a="1"/>
  <c r="J560" i="1" s="1"/>
  <c r="G560" i="1" a="1"/>
  <c r="G560" i="1" s="1"/>
  <c r="D560" i="1"/>
  <c r="W559" i="1"/>
  <c r="U559" i="1"/>
  <c r="U559" i="1" a="1"/>
  <c r="S559" i="1"/>
  <c r="P559" i="1"/>
  <c r="P559" i="1" a="1"/>
  <c r="N559" i="1"/>
  <c r="J559" i="1" a="1"/>
  <c r="J559" i="1" s="1"/>
  <c r="G559" i="1" a="1"/>
  <c r="G559" i="1" s="1"/>
  <c r="D559" i="1"/>
  <c r="W558" i="1"/>
  <c r="U558" i="1" a="1"/>
  <c r="U558" i="1" s="1"/>
  <c r="S558" i="1"/>
  <c r="P558" i="1"/>
  <c r="P558" i="1" a="1"/>
  <c r="N558" i="1"/>
  <c r="J558" i="1" a="1"/>
  <c r="J558" i="1" s="1"/>
  <c r="G558" i="1" a="1"/>
  <c r="G558" i="1" s="1"/>
  <c r="D558" i="1"/>
  <c r="W557" i="1"/>
  <c r="U557" i="1" a="1"/>
  <c r="U557" i="1" s="1"/>
  <c r="S557" i="1"/>
  <c r="P557" i="1"/>
  <c r="P557" i="1" a="1"/>
  <c r="N557" i="1"/>
  <c r="J557" i="1" a="1"/>
  <c r="J557" i="1" s="1"/>
  <c r="G557" i="1" a="1"/>
  <c r="G557" i="1" s="1"/>
  <c r="D557" i="1"/>
  <c r="W556" i="1"/>
  <c r="U556" i="1" a="1"/>
  <c r="U556" i="1" s="1"/>
  <c r="S556" i="1"/>
  <c r="P556" i="1"/>
  <c r="P556" i="1" a="1"/>
  <c r="N556" i="1"/>
  <c r="J556" i="1"/>
  <c r="J556" i="1" a="1"/>
  <c r="G556" i="1" a="1"/>
  <c r="G556" i="1" s="1"/>
  <c r="D556" i="1"/>
  <c r="W555" i="1"/>
  <c r="U555" i="1" a="1"/>
  <c r="U555" i="1" s="1"/>
  <c r="S555" i="1"/>
  <c r="P555" i="1" a="1"/>
  <c r="P555" i="1" s="1"/>
  <c r="N555" i="1"/>
  <c r="J555" i="1" a="1"/>
  <c r="J555" i="1" s="1"/>
  <c r="G555" i="1" a="1"/>
  <c r="G555" i="1" s="1"/>
  <c r="D555" i="1"/>
  <c r="W554" i="1"/>
  <c r="U554" i="1" a="1"/>
  <c r="U554" i="1" s="1"/>
  <c r="S554" i="1"/>
  <c r="P554" i="1" a="1"/>
  <c r="P554" i="1" s="1"/>
  <c r="N554" i="1"/>
  <c r="J554" i="1" a="1"/>
  <c r="J554" i="1" s="1"/>
  <c r="G554" i="1" a="1"/>
  <c r="G554" i="1" s="1"/>
  <c r="D554" i="1"/>
  <c r="W553" i="1"/>
  <c r="U553" i="1"/>
  <c r="U553" i="1" a="1"/>
  <c r="S553" i="1"/>
  <c r="P553" i="1"/>
  <c r="P553" i="1" a="1"/>
  <c r="N553" i="1"/>
  <c r="J553" i="1" a="1"/>
  <c r="J553" i="1" s="1"/>
  <c r="G553" i="1" a="1"/>
  <c r="G553" i="1" s="1"/>
  <c r="D553" i="1"/>
  <c r="W552" i="1"/>
  <c r="U552" i="1" a="1"/>
  <c r="U552" i="1" s="1"/>
  <c r="S552" i="1"/>
  <c r="P552" i="1"/>
  <c r="P552" i="1" a="1"/>
  <c r="N552" i="1"/>
  <c r="J552" i="1" a="1"/>
  <c r="J552" i="1" s="1"/>
  <c r="G552" i="1"/>
  <c r="G552" i="1" a="1"/>
  <c r="D552" i="1"/>
  <c r="W551" i="1"/>
  <c r="U551" i="1" a="1"/>
  <c r="U551" i="1" s="1"/>
  <c r="S551" i="1"/>
  <c r="P551" i="1"/>
  <c r="P551" i="1" a="1"/>
  <c r="N551" i="1"/>
  <c r="J551" i="1" a="1"/>
  <c r="J551" i="1" s="1"/>
  <c r="G551" i="1" a="1"/>
  <c r="G551" i="1" s="1"/>
  <c r="D551" i="1"/>
  <c r="W550" i="1"/>
  <c r="U550" i="1" a="1"/>
  <c r="U550" i="1" s="1"/>
  <c r="S550" i="1"/>
  <c r="P550" i="1"/>
  <c r="P550" i="1" a="1"/>
  <c r="N550" i="1"/>
  <c r="J550" i="1"/>
  <c r="J550" i="1" a="1"/>
  <c r="G550" i="1" a="1"/>
  <c r="G550" i="1" s="1"/>
  <c r="D550" i="1"/>
  <c r="W549" i="1"/>
  <c r="U549" i="1" a="1"/>
  <c r="U549" i="1" s="1"/>
  <c r="S549" i="1"/>
  <c r="P549" i="1" a="1"/>
  <c r="P549" i="1" s="1"/>
  <c r="N549" i="1"/>
  <c r="J549" i="1" a="1"/>
  <c r="J549" i="1" s="1"/>
  <c r="G549" i="1" a="1"/>
  <c r="G549" i="1" s="1"/>
  <c r="D549" i="1"/>
  <c r="W548" i="1"/>
  <c r="U548" i="1" a="1"/>
  <c r="U548" i="1" s="1"/>
  <c r="S548" i="1"/>
  <c r="P548" i="1"/>
  <c r="P548" i="1" a="1"/>
  <c r="N548" i="1"/>
  <c r="J548" i="1" a="1"/>
  <c r="J548" i="1" s="1"/>
  <c r="G548" i="1" a="1"/>
  <c r="G548" i="1" s="1"/>
  <c r="D548" i="1"/>
  <c r="W547" i="1"/>
  <c r="U547" i="1"/>
  <c r="U547" i="1" a="1"/>
  <c r="S547" i="1"/>
  <c r="P547" i="1"/>
  <c r="P547" i="1" a="1"/>
  <c r="N547" i="1"/>
  <c r="J547" i="1" a="1"/>
  <c r="J547" i="1" s="1"/>
  <c r="G547" i="1" a="1"/>
  <c r="G547" i="1" s="1"/>
  <c r="D547" i="1"/>
  <c r="W546" i="1"/>
  <c r="U546" i="1"/>
  <c r="U546" i="1" a="1"/>
  <c r="S546" i="1"/>
  <c r="P546" i="1"/>
  <c r="P546" i="1" a="1"/>
  <c r="N546" i="1"/>
  <c r="J546" i="1" a="1"/>
  <c r="J546" i="1" s="1"/>
  <c r="G546" i="1" a="1"/>
  <c r="G546" i="1" s="1"/>
  <c r="D546" i="1"/>
  <c r="W545" i="1"/>
  <c r="U545" i="1" a="1"/>
  <c r="U545" i="1" s="1"/>
  <c r="S545" i="1"/>
  <c r="P545" i="1"/>
  <c r="P545" i="1" a="1"/>
  <c r="N545" i="1"/>
  <c r="J545" i="1" a="1"/>
  <c r="J545" i="1" s="1"/>
  <c r="G545" i="1" a="1"/>
  <c r="G545" i="1" s="1"/>
  <c r="D545" i="1"/>
  <c r="W544" i="1"/>
  <c r="U544" i="1" a="1"/>
  <c r="U544" i="1" s="1"/>
  <c r="S544" i="1"/>
  <c r="P544" i="1"/>
  <c r="P544" i="1" a="1"/>
  <c r="N544" i="1"/>
  <c r="J544" i="1"/>
  <c r="J544" i="1" a="1"/>
  <c r="G544" i="1" a="1"/>
  <c r="G544" i="1" s="1"/>
  <c r="D544" i="1"/>
  <c r="W543" i="1"/>
  <c r="U543" i="1" a="1"/>
  <c r="U543" i="1" s="1"/>
  <c r="S543" i="1"/>
  <c r="P543" i="1" a="1"/>
  <c r="P543" i="1" s="1"/>
  <c r="N543" i="1"/>
  <c r="J543" i="1" a="1"/>
  <c r="J543" i="1" s="1"/>
  <c r="G543" i="1" a="1"/>
  <c r="G543" i="1" s="1"/>
  <c r="D543" i="1"/>
  <c r="W542" i="1"/>
  <c r="U542" i="1" a="1"/>
  <c r="U542" i="1" s="1"/>
  <c r="S542" i="1"/>
  <c r="P542" i="1"/>
  <c r="P542" i="1" a="1"/>
  <c r="N542" i="1"/>
  <c r="J542" i="1" a="1"/>
  <c r="J542" i="1" s="1"/>
  <c r="G542" i="1" a="1"/>
  <c r="G542" i="1" s="1"/>
  <c r="D542" i="1"/>
  <c r="W541" i="1"/>
  <c r="U541" i="1"/>
  <c r="U541" i="1" a="1"/>
  <c r="S541" i="1"/>
  <c r="P541" i="1"/>
  <c r="P541" i="1" a="1"/>
  <c r="N541" i="1"/>
  <c r="J541" i="1" a="1"/>
  <c r="J541" i="1" s="1"/>
  <c r="G541" i="1" a="1"/>
  <c r="G541" i="1" s="1"/>
  <c r="D541" i="1"/>
  <c r="W540" i="1"/>
  <c r="U540" i="1" a="1"/>
  <c r="U540" i="1" s="1"/>
  <c r="S540" i="1"/>
  <c r="P540" i="1"/>
  <c r="P540" i="1" a="1"/>
  <c r="N540" i="1"/>
  <c r="J540" i="1" a="1"/>
  <c r="J540" i="1" s="1"/>
  <c r="G540" i="1" a="1"/>
  <c r="G540" i="1" s="1"/>
  <c r="D540" i="1"/>
  <c r="W539" i="1"/>
  <c r="U539" i="1" a="1"/>
  <c r="U539" i="1" s="1"/>
  <c r="S539" i="1"/>
  <c r="P539" i="1"/>
  <c r="P539" i="1" a="1"/>
  <c r="N539" i="1"/>
  <c r="J539" i="1" a="1"/>
  <c r="J539" i="1" s="1"/>
  <c r="G539" i="1" a="1"/>
  <c r="G539" i="1" s="1"/>
  <c r="D539" i="1"/>
  <c r="W538" i="1"/>
  <c r="U538" i="1" a="1"/>
  <c r="U538" i="1" s="1"/>
  <c r="S538" i="1"/>
  <c r="P538" i="1"/>
  <c r="P538" i="1" a="1"/>
  <c r="N538" i="1"/>
  <c r="J538" i="1" a="1"/>
  <c r="J538" i="1" s="1"/>
  <c r="G538" i="1" a="1"/>
  <c r="G538" i="1" s="1"/>
  <c r="D538" i="1"/>
  <c r="W537" i="1"/>
  <c r="U537" i="1" a="1"/>
  <c r="U537" i="1" s="1"/>
  <c r="S537" i="1"/>
  <c r="P537" i="1" a="1"/>
  <c r="P537" i="1" s="1"/>
  <c r="N537" i="1"/>
  <c r="J537" i="1" a="1"/>
  <c r="J537" i="1" s="1"/>
  <c r="G537" i="1" a="1"/>
  <c r="G537" i="1" s="1"/>
  <c r="D537" i="1"/>
  <c r="W536" i="1"/>
  <c r="U536" i="1" a="1"/>
  <c r="U536" i="1" s="1"/>
  <c r="S536" i="1"/>
  <c r="P536" i="1" a="1"/>
  <c r="P536" i="1" s="1"/>
  <c r="N536" i="1"/>
  <c r="J536" i="1" a="1"/>
  <c r="J536" i="1" s="1"/>
  <c r="G536" i="1" a="1"/>
  <c r="G536" i="1" s="1"/>
  <c r="D536" i="1"/>
  <c r="W535" i="1"/>
  <c r="U535" i="1"/>
  <c r="U535" i="1" a="1"/>
  <c r="S535" i="1"/>
  <c r="P535" i="1"/>
  <c r="P535" i="1" a="1"/>
  <c r="N535" i="1"/>
  <c r="J535" i="1" a="1"/>
  <c r="J535" i="1" s="1"/>
  <c r="G535" i="1" a="1"/>
  <c r="G535" i="1" s="1"/>
  <c r="D535" i="1"/>
  <c r="W534" i="1"/>
  <c r="U534" i="1" a="1"/>
  <c r="U534" i="1" s="1"/>
  <c r="S534" i="1"/>
  <c r="P534" i="1"/>
  <c r="P534" i="1" a="1"/>
  <c r="N534" i="1"/>
  <c r="J534" i="1" a="1"/>
  <c r="J534" i="1" s="1"/>
  <c r="G534" i="1"/>
  <c r="G534" i="1" a="1"/>
  <c r="D534" i="1"/>
  <c r="W533" i="1"/>
  <c r="U533" i="1" a="1"/>
  <c r="U533" i="1" s="1"/>
  <c r="S533" i="1"/>
  <c r="P533" i="1"/>
  <c r="P533" i="1" a="1"/>
  <c r="N533" i="1"/>
  <c r="J533" i="1" a="1"/>
  <c r="J533" i="1" s="1"/>
  <c r="G533" i="1"/>
  <c r="G533" i="1" a="1"/>
  <c r="D533" i="1"/>
  <c r="W532" i="1"/>
  <c r="U532" i="1" a="1"/>
  <c r="U532" i="1" s="1"/>
  <c r="S532" i="1"/>
  <c r="P532" i="1"/>
  <c r="P532" i="1" a="1"/>
  <c r="N532" i="1"/>
  <c r="J532" i="1"/>
  <c r="J532" i="1" a="1"/>
  <c r="G532" i="1" a="1"/>
  <c r="G532" i="1" s="1"/>
  <c r="D532" i="1"/>
  <c r="W531" i="1"/>
  <c r="U531" i="1" a="1"/>
  <c r="U531" i="1" s="1"/>
  <c r="S531" i="1"/>
  <c r="P531" i="1" a="1"/>
  <c r="P531" i="1" s="1"/>
  <c r="N531" i="1"/>
  <c r="J531" i="1" a="1"/>
  <c r="J531" i="1" s="1"/>
  <c r="G531" i="1" a="1"/>
  <c r="G531" i="1" s="1"/>
  <c r="D531" i="1"/>
  <c r="W530" i="1"/>
  <c r="U530" i="1" a="1"/>
  <c r="U530" i="1" s="1"/>
  <c r="S530" i="1"/>
  <c r="P530" i="1"/>
  <c r="P530" i="1" a="1"/>
  <c r="N530" i="1"/>
  <c r="J530" i="1" a="1"/>
  <c r="J530" i="1" s="1"/>
  <c r="G530" i="1" a="1"/>
  <c r="G530" i="1" s="1"/>
  <c r="D530" i="1"/>
  <c r="W529" i="1"/>
  <c r="U529" i="1"/>
  <c r="U529" i="1" a="1"/>
  <c r="S529" i="1"/>
  <c r="P529" i="1"/>
  <c r="P529" i="1" a="1"/>
  <c r="N529" i="1"/>
  <c r="J529" i="1" a="1"/>
  <c r="J529" i="1" s="1"/>
  <c r="G529" i="1" a="1"/>
  <c r="G529" i="1" s="1"/>
  <c r="D529" i="1"/>
  <c r="W528" i="1"/>
  <c r="U528" i="1" a="1"/>
  <c r="U528" i="1" s="1"/>
  <c r="S528" i="1"/>
  <c r="P528" i="1"/>
  <c r="P528" i="1" a="1"/>
  <c r="N528" i="1"/>
  <c r="J528" i="1" a="1"/>
  <c r="J528" i="1" s="1"/>
  <c r="G528" i="1" a="1"/>
  <c r="G528" i="1" s="1"/>
  <c r="D528" i="1"/>
  <c r="W527" i="1"/>
  <c r="U527" i="1" a="1"/>
  <c r="U527" i="1" s="1"/>
  <c r="S527" i="1"/>
  <c r="P527" i="1"/>
  <c r="P527" i="1" a="1"/>
  <c r="N527" i="1"/>
  <c r="J527" i="1" a="1"/>
  <c r="J527" i="1" s="1"/>
  <c r="G527" i="1" a="1"/>
  <c r="G527" i="1" s="1"/>
  <c r="D527" i="1"/>
  <c r="W526" i="1"/>
  <c r="U526" i="1"/>
  <c r="U526" i="1" a="1"/>
  <c r="S526" i="1"/>
  <c r="P526" i="1"/>
  <c r="P526" i="1" a="1"/>
  <c r="N526" i="1"/>
  <c r="J526" i="1" a="1"/>
  <c r="J526" i="1" s="1"/>
  <c r="G526" i="1" a="1"/>
  <c r="G526" i="1" s="1"/>
  <c r="D526" i="1"/>
  <c r="W525" i="1"/>
  <c r="U525" i="1" a="1"/>
  <c r="U525" i="1" s="1"/>
  <c r="S525" i="1"/>
  <c r="P525" i="1" a="1"/>
  <c r="P525" i="1" s="1"/>
  <c r="N525" i="1"/>
  <c r="J525" i="1" a="1"/>
  <c r="J525" i="1" s="1"/>
  <c r="G525" i="1"/>
  <c r="G525" i="1" a="1"/>
  <c r="D525" i="1"/>
  <c r="W524" i="1"/>
  <c r="U524" i="1" a="1"/>
  <c r="U524" i="1" s="1"/>
  <c r="S524" i="1"/>
  <c r="P524" i="1" a="1"/>
  <c r="P524" i="1" s="1"/>
  <c r="N524" i="1"/>
  <c r="J524" i="1"/>
  <c r="J524" i="1" a="1"/>
  <c r="G524" i="1" a="1"/>
  <c r="G524" i="1" s="1"/>
  <c r="D524" i="1"/>
  <c r="W523" i="1"/>
  <c r="U523" i="1"/>
  <c r="U523" i="1" a="1"/>
  <c r="S523" i="1"/>
  <c r="P523" i="1"/>
  <c r="P523" i="1" a="1"/>
  <c r="N523" i="1"/>
  <c r="J523" i="1" a="1"/>
  <c r="J523" i="1" s="1"/>
  <c r="G523" i="1" a="1"/>
  <c r="G523" i="1" s="1"/>
  <c r="D523" i="1"/>
  <c r="W522" i="1"/>
  <c r="U522" i="1" a="1"/>
  <c r="U522" i="1" s="1"/>
  <c r="S522" i="1"/>
  <c r="P522" i="1" a="1"/>
  <c r="P522" i="1" s="1"/>
  <c r="N522" i="1"/>
  <c r="J522" i="1" a="1"/>
  <c r="J522" i="1" s="1"/>
  <c r="G522" i="1" a="1"/>
  <c r="G522" i="1" s="1"/>
  <c r="D522" i="1"/>
  <c r="W521" i="1"/>
  <c r="U521" i="1" a="1"/>
  <c r="U521" i="1" s="1"/>
  <c r="S521" i="1"/>
  <c r="P521" i="1"/>
  <c r="P521" i="1" a="1"/>
  <c r="N521" i="1"/>
  <c r="J521" i="1" a="1"/>
  <c r="J521" i="1" s="1"/>
  <c r="G521" i="1" a="1"/>
  <c r="G521" i="1" s="1"/>
  <c r="D521" i="1"/>
  <c r="W520" i="1"/>
  <c r="U520" i="1" a="1"/>
  <c r="U520" i="1" s="1"/>
  <c r="S520" i="1"/>
  <c r="P520" i="1"/>
  <c r="P520" i="1" a="1"/>
  <c r="N520" i="1"/>
  <c r="J520" i="1" a="1"/>
  <c r="J520" i="1" s="1"/>
  <c r="G520" i="1" a="1"/>
  <c r="G520" i="1" s="1"/>
  <c r="D520" i="1"/>
  <c r="W519" i="1"/>
  <c r="U519" i="1" a="1"/>
  <c r="U519" i="1" s="1"/>
  <c r="S519" i="1"/>
  <c r="P519" i="1" a="1"/>
  <c r="P519" i="1" s="1"/>
  <c r="N519" i="1"/>
  <c r="J519" i="1" a="1"/>
  <c r="J519" i="1" s="1"/>
  <c r="G519" i="1"/>
  <c r="G519" i="1" a="1"/>
  <c r="D519" i="1"/>
  <c r="W518" i="1"/>
  <c r="U518" i="1" a="1"/>
  <c r="U518" i="1" s="1"/>
  <c r="S518" i="1"/>
  <c r="P518" i="1" a="1"/>
  <c r="P518" i="1" s="1"/>
  <c r="N518" i="1"/>
  <c r="J518" i="1"/>
  <c r="J518" i="1" a="1"/>
  <c r="G518" i="1" a="1"/>
  <c r="G518" i="1" s="1"/>
  <c r="D518" i="1"/>
  <c r="W517" i="1"/>
  <c r="U517" i="1" a="1"/>
  <c r="U517" i="1" s="1"/>
  <c r="S517" i="1"/>
  <c r="P517" i="1"/>
  <c r="P517" i="1" a="1"/>
  <c r="N517" i="1"/>
  <c r="J517" i="1" a="1"/>
  <c r="J517" i="1" s="1"/>
  <c r="G517" i="1" a="1"/>
  <c r="G517" i="1" s="1"/>
  <c r="D517" i="1"/>
  <c r="W516" i="1"/>
  <c r="U516" i="1"/>
  <c r="U516" i="1" a="1"/>
  <c r="S516" i="1"/>
  <c r="P516" i="1" a="1"/>
  <c r="P516" i="1" s="1"/>
  <c r="N516" i="1"/>
  <c r="J516" i="1" a="1"/>
  <c r="J516" i="1" s="1"/>
  <c r="G516" i="1" a="1"/>
  <c r="G516" i="1" s="1"/>
  <c r="D516" i="1"/>
  <c r="W515" i="1"/>
  <c r="U515" i="1" a="1"/>
  <c r="U515" i="1" s="1"/>
  <c r="S515" i="1"/>
  <c r="P515" i="1"/>
  <c r="P515" i="1" a="1"/>
  <c r="N515" i="1"/>
  <c r="J515" i="1" a="1"/>
  <c r="J515" i="1" s="1"/>
  <c r="G515" i="1" a="1"/>
  <c r="G515" i="1" s="1"/>
  <c r="D515" i="1"/>
  <c r="W514" i="1"/>
  <c r="U514" i="1"/>
  <c r="U514" i="1" a="1"/>
  <c r="S514" i="1"/>
  <c r="P514" i="1"/>
  <c r="P514" i="1" a="1"/>
  <c r="N514" i="1"/>
  <c r="J514" i="1" a="1"/>
  <c r="J514" i="1" s="1"/>
  <c r="G514" i="1" a="1"/>
  <c r="G514" i="1" s="1"/>
  <c r="D514" i="1"/>
  <c r="W513" i="1"/>
  <c r="U513" i="1" a="1"/>
  <c r="U513" i="1" s="1"/>
  <c r="S513" i="1"/>
  <c r="P513" i="1" a="1"/>
  <c r="P513" i="1" s="1"/>
  <c r="N513" i="1"/>
  <c r="J513" i="1" a="1"/>
  <c r="J513" i="1" s="1"/>
  <c r="G513" i="1"/>
  <c r="G513" i="1" a="1"/>
  <c r="D513" i="1"/>
  <c r="W512" i="1"/>
  <c r="U512" i="1" a="1"/>
  <c r="U512" i="1" s="1"/>
  <c r="S512" i="1"/>
  <c r="P512" i="1" a="1"/>
  <c r="P512" i="1" s="1"/>
  <c r="N512" i="1"/>
  <c r="J512" i="1"/>
  <c r="J512" i="1" a="1"/>
  <c r="G512" i="1" a="1"/>
  <c r="G512" i="1" s="1"/>
  <c r="D512" i="1"/>
  <c r="W511" i="1"/>
  <c r="U511" i="1"/>
  <c r="U511" i="1" a="1"/>
  <c r="S511" i="1"/>
  <c r="P511" i="1"/>
  <c r="P511" i="1" a="1"/>
  <c r="N511" i="1"/>
  <c r="J511" i="1" a="1"/>
  <c r="J511" i="1" s="1"/>
  <c r="G511" i="1" a="1"/>
  <c r="G511" i="1" s="1"/>
  <c r="D511" i="1"/>
  <c r="W510" i="1"/>
  <c r="U510" i="1" a="1"/>
  <c r="U510" i="1" s="1"/>
  <c r="S510" i="1"/>
  <c r="P510" i="1" a="1"/>
  <c r="P510" i="1" s="1"/>
  <c r="N510" i="1"/>
  <c r="J510" i="1" a="1"/>
  <c r="J510" i="1" s="1"/>
  <c r="G510" i="1" a="1"/>
  <c r="G510" i="1" s="1"/>
  <c r="D510" i="1"/>
  <c r="W509" i="1"/>
  <c r="U509" i="1" a="1"/>
  <c r="U509" i="1" s="1"/>
  <c r="S509" i="1"/>
  <c r="P509" i="1"/>
  <c r="P509" i="1" a="1"/>
  <c r="N509" i="1"/>
  <c r="J509" i="1" a="1"/>
  <c r="J509" i="1" s="1"/>
  <c r="G509" i="1" a="1"/>
  <c r="G509" i="1" s="1"/>
  <c r="D509" i="1"/>
  <c r="W508" i="1"/>
  <c r="U508" i="1" a="1"/>
  <c r="U508" i="1" s="1"/>
  <c r="S508" i="1"/>
  <c r="P508" i="1"/>
  <c r="P508" i="1" a="1"/>
  <c r="N508" i="1"/>
  <c r="J508" i="1" a="1"/>
  <c r="J508" i="1" s="1"/>
  <c r="G508" i="1" a="1"/>
  <c r="G508" i="1" s="1"/>
  <c r="D508" i="1"/>
  <c r="W507" i="1"/>
  <c r="U507" i="1" a="1"/>
  <c r="U507" i="1" s="1"/>
  <c r="S507" i="1"/>
  <c r="P507" i="1" a="1"/>
  <c r="P507" i="1" s="1"/>
  <c r="N507" i="1"/>
  <c r="J507" i="1" a="1"/>
  <c r="J507" i="1" s="1"/>
  <c r="G507" i="1"/>
  <c r="G507" i="1" a="1"/>
  <c r="D507" i="1"/>
  <c r="W506" i="1"/>
  <c r="U506" i="1" a="1"/>
  <c r="U506" i="1" s="1"/>
  <c r="S506" i="1"/>
  <c r="P506" i="1" a="1"/>
  <c r="P506" i="1" s="1"/>
  <c r="N506" i="1"/>
  <c r="J506" i="1"/>
  <c r="J506" i="1" a="1"/>
  <c r="G506" i="1" a="1"/>
  <c r="G506" i="1" s="1"/>
  <c r="D506" i="1"/>
  <c r="W505" i="1"/>
  <c r="U505" i="1" a="1"/>
  <c r="U505" i="1" s="1"/>
  <c r="S505" i="1"/>
  <c r="P505" i="1"/>
  <c r="P505" i="1" a="1"/>
  <c r="N505" i="1"/>
  <c r="J505" i="1" a="1"/>
  <c r="J505" i="1" s="1"/>
  <c r="G505" i="1" a="1"/>
  <c r="G505" i="1" s="1"/>
  <c r="D505" i="1"/>
  <c r="W504" i="1"/>
  <c r="U504" i="1"/>
  <c r="U504" i="1" a="1"/>
  <c r="S504" i="1"/>
  <c r="P504" i="1" a="1"/>
  <c r="P504" i="1" s="1"/>
  <c r="N504" i="1"/>
  <c r="J504" i="1" a="1"/>
  <c r="J504" i="1" s="1"/>
  <c r="G504" i="1" a="1"/>
  <c r="G504" i="1" s="1"/>
  <c r="D504" i="1"/>
  <c r="W503" i="1"/>
  <c r="U503" i="1" a="1"/>
  <c r="U503" i="1" s="1"/>
  <c r="S503" i="1"/>
  <c r="P503" i="1"/>
  <c r="P503" i="1" a="1"/>
  <c r="N503" i="1"/>
  <c r="J503" i="1" a="1"/>
  <c r="J503" i="1" s="1"/>
  <c r="G503" i="1" a="1"/>
  <c r="G503" i="1" s="1"/>
  <c r="D503" i="1"/>
  <c r="W502" i="1"/>
  <c r="U502" i="1"/>
  <c r="U502" i="1" a="1"/>
  <c r="S502" i="1"/>
  <c r="P502" i="1"/>
  <c r="P502" i="1" a="1"/>
  <c r="N502" i="1"/>
  <c r="J502" i="1" a="1"/>
  <c r="J502" i="1" s="1"/>
  <c r="G502" i="1" a="1"/>
  <c r="G502" i="1" s="1"/>
  <c r="D502" i="1"/>
  <c r="W501" i="1"/>
  <c r="U501" i="1" a="1"/>
  <c r="U501" i="1" s="1"/>
  <c r="S501" i="1"/>
  <c r="P501" i="1" a="1"/>
  <c r="P501" i="1" s="1"/>
  <c r="N501" i="1"/>
  <c r="J501" i="1" a="1"/>
  <c r="J501" i="1" s="1"/>
  <c r="G501" i="1"/>
  <c r="G501" i="1" a="1"/>
  <c r="D501" i="1"/>
  <c r="W500" i="1"/>
  <c r="U500" i="1" a="1"/>
  <c r="U500" i="1" s="1"/>
  <c r="S500" i="1"/>
  <c r="P500" i="1" a="1"/>
  <c r="P500" i="1" s="1"/>
  <c r="N500" i="1"/>
  <c r="J500" i="1"/>
  <c r="J500" i="1" a="1"/>
  <c r="G500" i="1" a="1"/>
  <c r="G500" i="1" s="1"/>
  <c r="D500" i="1"/>
  <c r="W499" i="1"/>
  <c r="U499" i="1" a="1"/>
  <c r="U499" i="1" s="1"/>
  <c r="S499" i="1"/>
  <c r="P499" i="1"/>
  <c r="P499" i="1" a="1"/>
  <c r="N499" i="1"/>
  <c r="J499" i="1" a="1"/>
  <c r="J499" i="1" s="1"/>
  <c r="G499" i="1" a="1"/>
  <c r="G499" i="1" s="1"/>
  <c r="D499" i="1"/>
  <c r="W498" i="1"/>
  <c r="U498" i="1" a="1"/>
  <c r="U498" i="1" s="1"/>
  <c r="S498" i="1"/>
  <c r="P498" i="1" a="1"/>
  <c r="P498" i="1" s="1"/>
  <c r="N498" i="1"/>
  <c r="J498" i="1" a="1"/>
  <c r="J498" i="1" s="1"/>
  <c r="G498" i="1" a="1"/>
  <c r="G498" i="1" s="1"/>
  <c r="D498" i="1"/>
  <c r="W497" i="1"/>
  <c r="U497" i="1"/>
  <c r="U497" i="1" a="1"/>
  <c r="S497" i="1"/>
  <c r="P497" i="1" a="1"/>
  <c r="P497" i="1" s="1"/>
  <c r="N497" i="1"/>
  <c r="J497" i="1" a="1"/>
  <c r="J497" i="1" s="1"/>
  <c r="G497" i="1" a="1"/>
  <c r="G497" i="1" s="1"/>
  <c r="D497" i="1"/>
  <c r="W496" i="1"/>
  <c r="U496" i="1" a="1"/>
  <c r="U496" i="1" s="1"/>
  <c r="S496" i="1"/>
  <c r="P496" i="1"/>
  <c r="P496" i="1" a="1"/>
  <c r="N496" i="1"/>
  <c r="J496" i="1" a="1"/>
  <c r="J496" i="1" s="1"/>
  <c r="G496" i="1" a="1"/>
  <c r="G496" i="1" s="1"/>
  <c r="D496" i="1"/>
  <c r="W495" i="1"/>
  <c r="U495" i="1" a="1"/>
  <c r="U495" i="1" s="1"/>
  <c r="S495" i="1"/>
  <c r="P495" i="1"/>
  <c r="P495" i="1" a="1"/>
  <c r="N495" i="1"/>
  <c r="J495" i="1" a="1"/>
  <c r="J495" i="1" s="1"/>
  <c r="G495" i="1" a="1"/>
  <c r="G495" i="1" s="1"/>
  <c r="D495" i="1"/>
  <c r="W494" i="1"/>
  <c r="U494" i="1" a="1"/>
  <c r="U494" i="1" s="1"/>
  <c r="S494" i="1"/>
  <c r="P494" i="1"/>
  <c r="P494" i="1" a="1"/>
  <c r="N494" i="1"/>
  <c r="J494" i="1" a="1"/>
  <c r="J494" i="1" s="1"/>
  <c r="G494" i="1" a="1"/>
  <c r="G494" i="1" s="1"/>
  <c r="D494" i="1"/>
  <c r="W493" i="1"/>
  <c r="U493" i="1" a="1"/>
  <c r="U493" i="1" s="1"/>
  <c r="S493" i="1"/>
  <c r="P493" i="1" a="1"/>
  <c r="P493" i="1" s="1"/>
  <c r="N493" i="1"/>
  <c r="J493" i="1" a="1"/>
  <c r="J493" i="1" s="1"/>
  <c r="G493" i="1" a="1"/>
  <c r="G493" i="1" s="1"/>
  <c r="D493" i="1"/>
  <c r="W492" i="1"/>
  <c r="U492" i="1" a="1"/>
  <c r="U492" i="1" s="1"/>
  <c r="S492" i="1"/>
  <c r="P492" i="1"/>
  <c r="P492" i="1" a="1"/>
  <c r="N492" i="1"/>
  <c r="J492" i="1" a="1"/>
  <c r="J492" i="1" s="1"/>
  <c r="G492" i="1" a="1"/>
  <c r="G492" i="1" s="1"/>
  <c r="D492" i="1"/>
  <c r="W491" i="1"/>
  <c r="U491" i="1" a="1"/>
  <c r="U491" i="1" s="1"/>
  <c r="S491" i="1"/>
  <c r="P491" i="1" a="1"/>
  <c r="P491" i="1" s="1"/>
  <c r="N491" i="1"/>
  <c r="J491" i="1" a="1"/>
  <c r="J491" i="1" s="1"/>
  <c r="G491" i="1" a="1"/>
  <c r="G491" i="1" s="1"/>
  <c r="D491" i="1"/>
  <c r="W490" i="1"/>
  <c r="U490" i="1" a="1"/>
  <c r="U490" i="1" s="1"/>
  <c r="S490" i="1"/>
  <c r="P490" i="1"/>
  <c r="P490" i="1" a="1"/>
  <c r="N490" i="1"/>
  <c r="J490" i="1" a="1"/>
  <c r="J490" i="1" s="1"/>
  <c r="G490" i="1"/>
  <c r="G490" i="1" a="1"/>
  <c r="D490" i="1"/>
  <c r="W489" i="1"/>
  <c r="U489" i="1" a="1"/>
  <c r="U489" i="1" s="1"/>
  <c r="S489" i="1"/>
  <c r="P489" i="1"/>
  <c r="P489" i="1" a="1"/>
  <c r="N489" i="1"/>
  <c r="J489" i="1"/>
  <c r="J489" i="1" a="1"/>
  <c r="G489" i="1" a="1"/>
  <c r="G489" i="1" s="1"/>
  <c r="D489" i="1"/>
  <c r="W488" i="1"/>
  <c r="U488" i="1" a="1"/>
  <c r="U488" i="1" s="1"/>
  <c r="S488" i="1"/>
  <c r="P488" i="1"/>
  <c r="P488" i="1" a="1"/>
  <c r="N488" i="1"/>
  <c r="J488" i="1" a="1"/>
  <c r="J488" i="1" s="1"/>
  <c r="G488" i="1" a="1"/>
  <c r="G488" i="1" s="1"/>
  <c r="D488" i="1"/>
  <c r="W487" i="1"/>
  <c r="U487" i="1" a="1"/>
  <c r="U487" i="1" s="1"/>
  <c r="S487" i="1"/>
  <c r="P487" i="1"/>
  <c r="P487" i="1" a="1"/>
  <c r="N487" i="1"/>
  <c r="J487" i="1" a="1"/>
  <c r="J487" i="1" s="1"/>
  <c r="G487" i="1" a="1"/>
  <c r="G487" i="1" s="1"/>
  <c r="D487" i="1"/>
  <c r="W486" i="1"/>
  <c r="U486" i="1" a="1"/>
  <c r="U486" i="1" s="1"/>
  <c r="S486" i="1"/>
  <c r="P486" i="1"/>
  <c r="P486" i="1" a="1"/>
  <c r="N486" i="1"/>
  <c r="J486" i="1" a="1"/>
  <c r="J486" i="1" s="1"/>
  <c r="G486" i="1" a="1"/>
  <c r="G486" i="1" s="1"/>
  <c r="D486" i="1"/>
  <c r="W485" i="1"/>
  <c r="U485" i="1"/>
  <c r="U485" i="1" a="1"/>
  <c r="S485" i="1"/>
  <c r="P485" i="1" a="1"/>
  <c r="P485" i="1" s="1"/>
  <c r="N485" i="1"/>
  <c r="J485" i="1" a="1"/>
  <c r="J485" i="1" s="1"/>
  <c r="G485" i="1" a="1"/>
  <c r="G485" i="1" s="1"/>
  <c r="D485" i="1"/>
  <c r="W484" i="1"/>
  <c r="U484" i="1" a="1"/>
  <c r="U484" i="1" s="1"/>
  <c r="S484" i="1"/>
  <c r="P484" i="1"/>
  <c r="P484" i="1" a="1"/>
  <c r="N484" i="1"/>
  <c r="J484" i="1" a="1"/>
  <c r="J484" i="1" s="1"/>
  <c r="G484" i="1"/>
  <c r="G484" i="1" a="1"/>
  <c r="D484" i="1"/>
  <c r="W483" i="1"/>
  <c r="U483" i="1" a="1"/>
  <c r="U483" i="1" s="1"/>
  <c r="S483" i="1"/>
  <c r="P483" i="1"/>
  <c r="P483" i="1" a="1"/>
  <c r="N483" i="1"/>
  <c r="J483" i="1" a="1"/>
  <c r="J483" i="1" s="1"/>
  <c r="G483" i="1" a="1"/>
  <c r="G483" i="1" s="1"/>
  <c r="D483" i="1"/>
  <c r="W482" i="1"/>
  <c r="U482" i="1" a="1"/>
  <c r="U482" i="1" s="1"/>
  <c r="S482" i="1"/>
  <c r="P482" i="1"/>
  <c r="P482" i="1" a="1"/>
  <c r="N482" i="1"/>
  <c r="J482" i="1" a="1"/>
  <c r="J482" i="1" s="1"/>
  <c r="G482" i="1" a="1"/>
  <c r="G482" i="1" s="1"/>
  <c r="D482" i="1"/>
  <c r="W481" i="1"/>
  <c r="U481" i="1" a="1"/>
  <c r="U481" i="1" s="1"/>
  <c r="S481" i="1"/>
  <c r="P481" i="1" a="1"/>
  <c r="P481" i="1" s="1"/>
  <c r="N481" i="1"/>
  <c r="J481" i="1" a="1"/>
  <c r="J481" i="1" s="1"/>
  <c r="G481" i="1" a="1"/>
  <c r="G481" i="1" s="1"/>
  <c r="D481" i="1"/>
  <c r="W480" i="1"/>
  <c r="U480" i="1" a="1"/>
  <c r="U480" i="1" s="1"/>
  <c r="S480" i="1"/>
  <c r="P480" i="1"/>
  <c r="P480" i="1" a="1"/>
  <c r="N480" i="1"/>
  <c r="J480" i="1" a="1"/>
  <c r="J480" i="1" s="1"/>
  <c r="G480" i="1" a="1"/>
  <c r="G480" i="1" s="1"/>
  <c r="D480" i="1"/>
  <c r="W479" i="1"/>
  <c r="U479" i="1" a="1"/>
  <c r="U479" i="1" s="1"/>
  <c r="S479" i="1"/>
  <c r="P479" i="1" a="1"/>
  <c r="P479" i="1" s="1"/>
  <c r="N479" i="1"/>
  <c r="J479" i="1" a="1"/>
  <c r="J479" i="1" s="1"/>
  <c r="G479" i="1" a="1"/>
  <c r="G479" i="1" s="1"/>
  <c r="D479" i="1"/>
  <c r="W478" i="1"/>
  <c r="U478" i="1" a="1"/>
  <c r="U478" i="1" s="1"/>
  <c r="S478" i="1"/>
  <c r="P478" i="1"/>
  <c r="P478" i="1" a="1"/>
  <c r="N478" i="1"/>
  <c r="J478" i="1" a="1"/>
  <c r="J478" i="1" s="1"/>
  <c r="G478" i="1" a="1"/>
  <c r="G478" i="1" s="1"/>
  <c r="D478" i="1"/>
  <c r="W477" i="1"/>
  <c r="U477" i="1" a="1"/>
  <c r="U477" i="1" s="1"/>
  <c r="S477" i="1"/>
  <c r="P477" i="1"/>
  <c r="P477" i="1" a="1"/>
  <c r="N477" i="1"/>
  <c r="J477" i="1"/>
  <c r="J477" i="1" a="1"/>
  <c r="G477" i="1" a="1"/>
  <c r="G477" i="1" s="1"/>
  <c r="D477" i="1"/>
  <c r="W476" i="1"/>
  <c r="U476" i="1" a="1"/>
  <c r="U476" i="1" s="1"/>
  <c r="S476" i="1"/>
  <c r="P476" i="1"/>
  <c r="P476" i="1" a="1"/>
  <c r="N476" i="1"/>
  <c r="J476" i="1" a="1"/>
  <c r="J476" i="1" s="1"/>
  <c r="G476" i="1" a="1"/>
  <c r="G476" i="1" s="1"/>
  <c r="D476" i="1"/>
  <c r="W475" i="1"/>
  <c r="U475" i="1" a="1"/>
  <c r="U475" i="1" s="1"/>
  <c r="S475" i="1"/>
  <c r="P475" i="1"/>
  <c r="P475" i="1" a="1"/>
  <c r="N475" i="1"/>
  <c r="J475" i="1" a="1"/>
  <c r="J475" i="1" s="1"/>
  <c r="G475" i="1" a="1"/>
  <c r="G475" i="1" s="1"/>
  <c r="D475" i="1"/>
  <c r="W474" i="1"/>
  <c r="U474" i="1" a="1"/>
  <c r="U474" i="1" s="1"/>
  <c r="S474" i="1"/>
  <c r="P474" i="1"/>
  <c r="P474" i="1" a="1"/>
  <c r="N474" i="1"/>
  <c r="J474" i="1" a="1"/>
  <c r="J474" i="1" s="1"/>
  <c r="G474" i="1" a="1"/>
  <c r="G474" i="1" s="1"/>
  <c r="D474" i="1"/>
  <c r="W473" i="1"/>
  <c r="U473" i="1"/>
  <c r="U473" i="1" a="1"/>
  <c r="S473" i="1"/>
  <c r="P473" i="1" a="1"/>
  <c r="P473" i="1" s="1"/>
  <c r="N473" i="1"/>
  <c r="J473" i="1" a="1"/>
  <c r="J473" i="1" s="1"/>
  <c r="G473" i="1" a="1"/>
  <c r="G473" i="1" s="1"/>
  <c r="D473" i="1"/>
  <c r="W472" i="1"/>
  <c r="U472" i="1" a="1"/>
  <c r="U472" i="1" s="1"/>
  <c r="S472" i="1"/>
  <c r="P472" i="1"/>
  <c r="P472" i="1" a="1"/>
  <c r="N472" i="1"/>
  <c r="J472" i="1" a="1"/>
  <c r="J472" i="1" s="1"/>
  <c r="G472" i="1" a="1"/>
  <c r="G472" i="1" s="1"/>
  <c r="D472" i="1"/>
  <c r="W471" i="1"/>
  <c r="U471" i="1" a="1"/>
  <c r="U471" i="1" s="1"/>
  <c r="S471" i="1"/>
  <c r="P471" i="1"/>
  <c r="P471" i="1" a="1"/>
  <c r="N471" i="1"/>
  <c r="J471" i="1" a="1"/>
  <c r="J471" i="1" s="1"/>
  <c r="G471" i="1" a="1"/>
  <c r="G471" i="1" s="1"/>
  <c r="D471" i="1"/>
  <c r="W470" i="1"/>
  <c r="U470" i="1" a="1"/>
  <c r="U470" i="1" s="1"/>
  <c r="S470" i="1"/>
  <c r="P470" i="1"/>
  <c r="P470" i="1" a="1"/>
  <c r="N470" i="1"/>
  <c r="J470" i="1" a="1"/>
  <c r="J470" i="1" s="1"/>
  <c r="G470" i="1" a="1"/>
  <c r="G470" i="1" s="1"/>
  <c r="D470" i="1"/>
  <c r="W469" i="1"/>
  <c r="U469" i="1" a="1"/>
  <c r="U469" i="1" s="1"/>
  <c r="S469" i="1"/>
  <c r="P469" i="1" a="1"/>
  <c r="P469" i="1" s="1"/>
  <c r="N469" i="1"/>
  <c r="J469" i="1" a="1"/>
  <c r="J469" i="1" s="1"/>
  <c r="G469" i="1" a="1"/>
  <c r="G469" i="1" s="1"/>
  <c r="D469" i="1"/>
  <c r="W468" i="1"/>
  <c r="U468" i="1" a="1"/>
  <c r="U468" i="1" s="1"/>
  <c r="S468" i="1"/>
  <c r="P468" i="1"/>
  <c r="P468" i="1" a="1"/>
  <c r="N468" i="1"/>
  <c r="J468" i="1" a="1"/>
  <c r="J468" i="1" s="1"/>
  <c r="G468" i="1" a="1"/>
  <c r="G468" i="1" s="1"/>
  <c r="D468" i="1"/>
  <c r="W467" i="1"/>
  <c r="U467" i="1" a="1"/>
  <c r="U467" i="1" s="1"/>
  <c r="S467" i="1"/>
  <c r="P467" i="1" a="1"/>
  <c r="P467" i="1" s="1"/>
  <c r="N467" i="1"/>
  <c r="J467" i="1" a="1"/>
  <c r="J467" i="1" s="1"/>
  <c r="G467" i="1" a="1"/>
  <c r="G467" i="1" s="1"/>
  <c r="D467" i="1"/>
  <c r="W466" i="1"/>
  <c r="U466" i="1" a="1"/>
  <c r="U466" i="1" s="1"/>
  <c r="S466" i="1"/>
  <c r="P466" i="1"/>
  <c r="P466" i="1" a="1"/>
  <c r="N466" i="1"/>
  <c r="J466" i="1" a="1"/>
  <c r="J466" i="1" s="1"/>
  <c r="G466" i="1"/>
  <c r="G466" i="1" a="1"/>
  <c r="D466" i="1"/>
  <c r="W465" i="1"/>
  <c r="U465" i="1" a="1"/>
  <c r="U465" i="1" s="1"/>
  <c r="S465" i="1"/>
  <c r="P465" i="1"/>
  <c r="P465" i="1" a="1"/>
  <c r="N465" i="1"/>
  <c r="J465" i="1"/>
  <c r="J465" i="1" a="1"/>
  <c r="G465" i="1" a="1"/>
  <c r="G465" i="1" s="1"/>
  <c r="D465" i="1"/>
  <c r="W464" i="1"/>
  <c r="U464" i="1" a="1"/>
  <c r="U464" i="1" s="1"/>
  <c r="S464" i="1"/>
  <c r="P464" i="1"/>
  <c r="P464" i="1" a="1"/>
  <c r="N464" i="1"/>
  <c r="J464" i="1" a="1"/>
  <c r="J464" i="1" s="1"/>
  <c r="G464" i="1" a="1"/>
  <c r="G464" i="1" s="1"/>
  <c r="D464" i="1"/>
  <c r="W463" i="1"/>
  <c r="U463" i="1" a="1"/>
  <c r="U463" i="1" s="1"/>
  <c r="S463" i="1"/>
  <c r="P463" i="1"/>
  <c r="P463" i="1" a="1"/>
  <c r="N463" i="1"/>
  <c r="J463" i="1" a="1"/>
  <c r="J463" i="1" s="1"/>
  <c r="G463" i="1" a="1"/>
  <c r="G463" i="1" s="1"/>
  <c r="D463" i="1"/>
  <c r="W462" i="1"/>
  <c r="U462" i="1"/>
  <c r="U462" i="1" a="1"/>
  <c r="S462" i="1"/>
  <c r="P462" i="1"/>
  <c r="P462" i="1" a="1"/>
  <c r="N462" i="1"/>
  <c r="J462" i="1" a="1"/>
  <c r="J462" i="1" s="1"/>
  <c r="G462" i="1" a="1"/>
  <c r="G462" i="1" s="1"/>
  <c r="D462" i="1"/>
  <c r="W461" i="1"/>
  <c r="U461" i="1"/>
  <c r="U461" i="1" a="1"/>
  <c r="S461" i="1"/>
  <c r="P461" i="1" a="1"/>
  <c r="P461" i="1" s="1"/>
  <c r="N461" i="1"/>
  <c r="J461" i="1" a="1"/>
  <c r="J461" i="1" s="1"/>
  <c r="G461" i="1" a="1"/>
  <c r="G461" i="1" s="1"/>
  <c r="D461" i="1"/>
  <c r="W460" i="1"/>
  <c r="U460" i="1" a="1"/>
  <c r="U460" i="1" s="1"/>
  <c r="S460" i="1"/>
  <c r="P460" i="1"/>
  <c r="P460" i="1" a="1"/>
  <c r="N460" i="1"/>
  <c r="J460" i="1"/>
  <c r="J460" i="1" a="1"/>
  <c r="G460" i="1" a="1"/>
  <c r="G460" i="1" s="1"/>
  <c r="D460" i="1"/>
  <c r="W459" i="1"/>
  <c r="U459" i="1" a="1"/>
  <c r="U459" i="1" s="1"/>
  <c r="S459" i="1"/>
  <c r="P459" i="1"/>
  <c r="P459" i="1" a="1"/>
  <c r="N459" i="1"/>
  <c r="J459" i="1" a="1"/>
  <c r="J459" i="1" s="1"/>
  <c r="G459" i="1" a="1"/>
  <c r="G459" i="1" s="1"/>
  <c r="D459" i="1"/>
  <c r="W458" i="1"/>
  <c r="U458" i="1" a="1"/>
  <c r="U458" i="1" s="1"/>
  <c r="S458" i="1"/>
  <c r="P458" i="1"/>
  <c r="P458" i="1" a="1"/>
  <c r="N458" i="1"/>
  <c r="J458" i="1" a="1"/>
  <c r="J458" i="1" s="1"/>
  <c r="G458" i="1" a="1"/>
  <c r="G458" i="1" s="1"/>
  <c r="D458" i="1"/>
  <c r="W457" i="1"/>
  <c r="U457" i="1" a="1"/>
  <c r="U457" i="1" s="1"/>
  <c r="S457" i="1"/>
  <c r="P457" i="1"/>
  <c r="P457" i="1" a="1"/>
  <c r="N457" i="1"/>
  <c r="J457" i="1" a="1"/>
  <c r="J457" i="1" s="1"/>
  <c r="G457" i="1" a="1"/>
  <c r="G457" i="1" s="1"/>
  <c r="D457" i="1"/>
  <c r="W456" i="1"/>
  <c r="U456" i="1" a="1"/>
  <c r="U456" i="1" s="1"/>
  <c r="S456" i="1"/>
  <c r="P456" i="1"/>
  <c r="P456" i="1" a="1"/>
  <c r="N456" i="1"/>
  <c r="J456" i="1" a="1"/>
  <c r="J456" i="1" s="1"/>
  <c r="G456" i="1" a="1"/>
  <c r="G456" i="1" s="1"/>
  <c r="D456" i="1"/>
  <c r="W455" i="1"/>
  <c r="U455" i="1" a="1"/>
  <c r="U455" i="1" s="1"/>
  <c r="S455" i="1"/>
  <c r="P455" i="1" a="1"/>
  <c r="P455" i="1" s="1"/>
  <c r="N455" i="1"/>
  <c r="J455" i="1" a="1"/>
  <c r="J455" i="1" s="1"/>
  <c r="G455" i="1" a="1"/>
  <c r="G455" i="1" s="1"/>
  <c r="D455" i="1"/>
  <c r="W454" i="1"/>
  <c r="U454" i="1" a="1"/>
  <c r="U454" i="1" s="1"/>
  <c r="S454" i="1"/>
  <c r="P454" i="1"/>
  <c r="P454" i="1" a="1"/>
  <c r="N454" i="1"/>
  <c r="J454" i="1"/>
  <c r="J454" i="1" a="1"/>
  <c r="G454" i="1" a="1"/>
  <c r="G454" i="1" s="1"/>
  <c r="D454" i="1"/>
  <c r="W453" i="1"/>
  <c r="U453" i="1" a="1"/>
  <c r="U453" i="1" s="1"/>
  <c r="S453" i="1"/>
  <c r="P453" i="1"/>
  <c r="P453" i="1" a="1"/>
  <c r="N453" i="1"/>
  <c r="J453" i="1"/>
  <c r="J453" i="1" a="1"/>
  <c r="G453" i="1" a="1"/>
  <c r="G453" i="1" s="1"/>
  <c r="D453" i="1"/>
  <c r="W452" i="1"/>
  <c r="U452" i="1" a="1"/>
  <c r="U452" i="1" s="1"/>
  <c r="S452" i="1"/>
  <c r="P452" i="1" a="1"/>
  <c r="P452" i="1" s="1"/>
  <c r="N452" i="1"/>
  <c r="J452" i="1" a="1"/>
  <c r="J452" i="1" s="1"/>
  <c r="G452" i="1" a="1"/>
  <c r="G452" i="1" s="1"/>
  <c r="D452" i="1"/>
  <c r="W451" i="1"/>
  <c r="U451" i="1" a="1"/>
  <c r="U451" i="1" s="1"/>
  <c r="S451" i="1"/>
  <c r="P451" i="1" a="1"/>
  <c r="P451" i="1" s="1"/>
  <c r="N451" i="1"/>
  <c r="J451" i="1" a="1"/>
  <c r="J451" i="1" s="1"/>
  <c r="G451" i="1" a="1"/>
  <c r="G451" i="1" s="1"/>
  <c r="D451" i="1"/>
  <c r="W450" i="1"/>
  <c r="U450" i="1" a="1"/>
  <c r="U450" i="1" s="1"/>
  <c r="S450" i="1"/>
  <c r="P450" i="1"/>
  <c r="P450" i="1" a="1"/>
  <c r="N450" i="1"/>
  <c r="J450" i="1" a="1"/>
  <c r="J450" i="1" s="1"/>
  <c r="G450" i="1" a="1"/>
  <c r="G450" i="1" s="1"/>
  <c r="D450" i="1"/>
  <c r="W449" i="1"/>
  <c r="U449" i="1" a="1"/>
  <c r="U449" i="1" s="1"/>
  <c r="S449" i="1"/>
  <c r="P449" i="1" a="1"/>
  <c r="P449" i="1" s="1"/>
  <c r="N449" i="1"/>
  <c r="J449" i="1" a="1"/>
  <c r="J449" i="1" s="1"/>
  <c r="G449" i="1"/>
  <c r="G449" i="1" a="1"/>
  <c r="D449" i="1"/>
  <c r="W448" i="1"/>
  <c r="U448" i="1" a="1"/>
  <c r="U448" i="1" s="1"/>
  <c r="S448" i="1"/>
  <c r="P448" i="1"/>
  <c r="P448" i="1" a="1"/>
  <c r="N448" i="1"/>
  <c r="J448" i="1" a="1"/>
  <c r="J448" i="1" s="1"/>
  <c r="G448" i="1"/>
  <c r="G448" i="1" a="1"/>
  <c r="D448" i="1"/>
  <c r="W447" i="1"/>
  <c r="U447" i="1" a="1"/>
  <c r="U447" i="1" s="1"/>
  <c r="S447" i="1"/>
  <c r="P447" i="1"/>
  <c r="P447" i="1" a="1"/>
  <c r="N447" i="1"/>
  <c r="J447" i="1" a="1"/>
  <c r="J447" i="1" s="1"/>
  <c r="G447" i="1" a="1"/>
  <c r="G447" i="1" s="1"/>
  <c r="D447" i="1"/>
  <c r="W446" i="1"/>
  <c r="U446" i="1" a="1"/>
  <c r="U446" i="1" s="1"/>
  <c r="S446" i="1"/>
  <c r="P446" i="1" a="1"/>
  <c r="P446" i="1" s="1"/>
  <c r="N446" i="1"/>
  <c r="J446" i="1" a="1"/>
  <c r="J446" i="1" s="1"/>
  <c r="G446" i="1" a="1"/>
  <c r="G446" i="1" s="1"/>
  <c r="D446" i="1"/>
  <c r="W445" i="1"/>
  <c r="U445" i="1" a="1"/>
  <c r="U445" i="1" s="1"/>
  <c r="S445" i="1"/>
  <c r="P445" i="1" a="1"/>
  <c r="P445" i="1" s="1"/>
  <c r="N445" i="1"/>
  <c r="J445" i="1" a="1"/>
  <c r="J445" i="1" s="1"/>
  <c r="G445" i="1" a="1"/>
  <c r="G445" i="1" s="1"/>
  <c r="D445" i="1"/>
  <c r="W444" i="1"/>
  <c r="U444" i="1" a="1"/>
  <c r="U444" i="1" s="1"/>
  <c r="S444" i="1"/>
  <c r="P444" i="1"/>
  <c r="P444" i="1" a="1"/>
  <c r="N444" i="1"/>
  <c r="J444" i="1" a="1"/>
  <c r="J444" i="1" s="1"/>
  <c r="G444" i="1" a="1"/>
  <c r="G444" i="1" s="1"/>
  <c r="D444" i="1"/>
  <c r="W443" i="1"/>
  <c r="U443" i="1"/>
  <c r="U443" i="1" a="1"/>
  <c r="S443" i="1"/>
  <c r="P443" i="1" a="1"/>
  <c r="P443" i="1" s="1"/>
  <c r="N443" i="1"/>
  <c r="J443" i="1" a="1"/>
  <c r="J443" i="1" s="1"/>
  <c r="G443" i="1"/>
  <c r="G443" i="1" a="1"/>
  <c r="D443" i="1"/>
  <c r="W442" i="1"/>
  <c r="U442" i="1" a="1"/>
  <c r="U442" i="1" s="1"/>
  <c r="S442" i="1"/>
  <c r="P442" i="1"/>
  <c r="P442" i="1" a="1"/>
  <c r="N442" i="1"/>
  <c r="J442" i="1" a="1"/>
  <c r="J442" i="1" s="1"/>
  <c r="G442" i="1"/>
  <c r="G442" i="1" a="1"/>
  <c r="D442" i="1"/>
  <c r="W441" i="1"/>
  <c r="U441" i="1" a="1"/>
  <c r="U441" i="1" s="1"/>
  <c r="S441" i="1"/>
  <c r="P441" i="1"/>
  <c r="P441" i="1" a="1"/>
  <c r="N441" i="1"/>
  <c r="J441" i="1" a="1"/>
  <c r="J441" i="1" s="1"/>
  <c r="G441" i="1" a="1"/>
  <c r="G441" i="1" s="1"/>
  <c r="D441" i="1"/>
  <c r="W440" i="1"/>
  <c r="U440" i="1" a="1"/>
  <c r="U440" i="1" s="1"/>
  <c r="S440" i="1"/>
  <c r="P440" i="1" a="1"/>
  <c r="P440" i="1" s="1"/>
  <c r="N440" i="1"/>
  <c r="J440" i="1" a="1"/>
  <c r="J440" i="1" s="1"/>
  <c r="G440" i="1" a="1"/>
  <c r="G440" i="1" s="1"/>
  <c r="D440" i="1"/>
  <c r="W439" i="1"/>
  <c r="U439" i="1" a="1"/>
  <c r="U439" i="1" s="1"/>
  <c r="S439" i="1"/>
  <c r="P439" i="1"/>
  <c r="P439" i="1" a="1"/>
  <c r="N439" i="1"/>
  <c r="J439" i="1" a="1"/>
  <c r="J439" i="1" s="1"/>
  <c r="G439" i="1" a="1"/>
  <c r="G439" i="1" s="1"/>
  <c r="D439" i="1"/>
  <c r="W438" i="1"/>
  <c r="U438" i="1"/>
  <c r="U438" i="1" a="1"/>
  <c r="S438" i="1"/>
  <c r="P438" i="1"/>
  <c r="P438" i="1" a="1"/>
  <c r="N438" i="1"/>
  <c r="J438" i="1" a="1"/>
  <c r="J438" i="1" s="1"/>
  <c r="G438" i="1" a="1"/>
  <c r="G438" i="1" s="1"/>
  <c r="D438" i="1"/>
  <c r="W437" i="1"/>
  <c r="U437" i="1"/>
  <c r="U437" i="1" a="1"/>
  <c r="S437" i="1"/>
  <c r="P437" i="1"/>
  <c r="P437" i="1" a="1"/>
  <c r="N437" i="1"/>
  <c r="J437" i="1" a="1"/>
  <c r="J437" i="1" s="1"/>
  <c r="G437" i="1"/>
  <c r="G437" i="1" a="1"/>
  <c r="D437" i="1"/>
  <c r="W436" i="1"/>
  <c r="U436" i="1" a="1"/>
  <c r="U436" i="1" s="1"/>
  <c r="S436" i="1"/>
  <c r="P436" i="1"/>
  <c r="P436" i="1" a="1"/>
  <c r="N436" i="1"/>
  <c r="J436" i="1" a="1"/>
  <c r="J436" i="1" s="1"/>
  <c r="G436" i="1"/>
  <c r="G436" i="1" a="1"/>
  <c r="D436" i="1"/>
  <c r="W435" i="1"/>
  <c r="U435" i="1" a="1"/>
  <c r="U435" i="1" s="1"/>
  <c r="S435" i="1"/>
  <c r="P435" i="1"/>
  <c r="P435" i="1" a="1"/>
  <c r="N435" i="1"/>
  <c r="J435" i="1" a="1"/>
  <c r="J435" i="1" s="1"/>
  <c r="G435" i="1" a="1"/>
  <c r="G435" i="1" s="1"/>
  <c r="D435" i="1"/>
  <c r="W434" i="1"/>
  <c r="U434" i="1" a="1"/>
  <c r="U434" i="1" s="1"/>
  <c r="S434" i="1"/>
  <c r="P434" i="1" a="1"/>
  <c r="P434" i="1" s="1"/>
  <c r="N434" i="1"/>
  <c r="J434" i="1" a="1"/>
  <c r="J434" i="1" s="1"/>
  <c r="G434" i="1" a="1"/>
  <c r="G434" i="1" s="1"/>
  <c r="D434" i="1"/>
  <c r="W433" i="1"/>
  <c r="U433" i="1" a="1"/>
  <c r="U433" i="1" s="1"/>
  <c r="S433" i="1"/>
  <c r="P433" i="1"/>
  <c r="P433" i="1" a="1"/>
  <c r="N433" i="1"/>
  <c r="J433" i="1" a="1"/>
  <c r="J433" i="1" s="1"/>
  <c r="G433" i="1" a="1"/>
  <c r="G433" i="1" s="1"/>
  <c r="D433" i="1"/>
  <c r="W432" i="1"/>
  <c r="U432" i="1"/>
  <c r="U432" i="1" a="1"/>
  <c r="S432" i="1"/>
  <c r="P432" i="1"/>
  <c r="P432" i="1" a="1"/>
  <c r="N432" i="1"/>
  <c r="J432" i="1" a="1"/>
  <c r="J432" i="1" s="1"/>
  <c r="G432" i="1" a="1"/>
  <c r="G432" i="1" s="1"/>
  <c r="D432" i="1"/>
  <c r="W431" i="1"/>
  <c r="U431" i="1"/>
  <c r="U431" i="1" a="1"/>
  <c r="S431" i="1"/>
  <c r="P431" i="1"/>
  <c r="P431" i="1" a="1"/>
  <c r="N431" i="1"/>
  <c r="J431" i="1" a="1"/>
  <c r="J431" i="1" s="1"/>
  <c r="G431" i="1" a="1"/>
  <c r="G431" i="1" s="1"/>
  <c r="D431" i="1"/>
  <c r="W430" i="1"/>
  <c r="U430" i="1" a="1"/>
  <c r="U430" i="1" s="1"/>
  <c r="S430" i="1"/>
  <c r="P430" i="1"/>
  <c r="P430" i="1" a="1"/>
  <c r="N430" i="1"/>
  <c r="J430" i="1" a="1"/>
  <c r="J430" i="1" s="1"/>
  <c r="G430" i="1" a="1"/>
  <c r="G430" i="1" s="1"/>
  <c r="D430" i="1"/>
  <c r="W429" i="1"/>
  <c r="U429" i="1" a="1"/>
  <c r="U429" i="1" s="1"/>
  <c r="S429" i="1"/>
  <c r="P429" i="1"/>
  <c r="P429" i="1" a="1"/>
  <c r="N429" i="1"/>
  <c r="J429" i="1" a="1"/>
  <c r="J429" i="1" s="1"/>
  <c r="G429" i="1" a="1"/>
  <c r="G429" i="1" s="1"/>
  <c r="D429" i="1"/>
  <c r="W428" i="1"/>
  <c r="U428" i="1" a="1"/>
  <c r="U428" i="1" s="1"/>
  <c r="S428" i="1"/>
  <c r="P428" i="1" a="1"/>
  <c r="P428" i="1" s="1"/>
  <c r="N428" i="1"/>
  <c r="J428" i="1" a="1"/>
  <c r="J428" i="1" s="1"/>
  <c r="G428" i="1" a="1"/>
  <c r="G428" i="1" s="1"/>
  <c r="D428" i="1"/>
  <c r="W427" i="1"/>
  <c r="U427" i="1" a="1"/>
  <c r="U427" i="1" s="1"/>
  <c r="S427" i="1"/>
  <c r="P427" i="1"/>
  <c r="P427" i="1" a="1"/>
  <c r="N427" i="1"/>
  <c r="J427" i="1" a="1"/>
  <c r="J427" i="1" s="1"/>
  <c r="G427" i="1" a="1"/>
  <c r="G427" i="1" s="1"/>
  <c r="D427" i="1"/>
  <c r="W426" i="1"/>
  <c r="U426" i="1"/>
  <c r="U426" i="1" a="1"/>
  <c r="S426" i="1"/>
  <c r="P426" i="1"/>
  <c r="P426" i="1" a="1"/>
  <c r="N426" i="1"/>
  <c r="J426" i="1" a="1"/>
  <c r="J426" i="1" s="1"/>
  <c r="G426" i="1" a="1"/>
  <c r="G426" i="1" s="1"/>
  <c r="D426" i="1"/>
  <c r="W425" i="1"/>
  <c r="U425" i="1" a="1"/>
  <c r="U425" i="1" s="1"/>
  <c r="S425" i="1"/>
  <c r="P425" i="1"/>
  <c r="P425" i="1" a="1"/>
  <c r="N425" i="1"/>
  <c r="J425" i="1" a="1"/>
  <c r="J425" i="1" s="1"/>
  <c r="G425" i="1"/>
  <c r="G425" i="1" a="1"/>
  <c r="D425" i="1"/>
  <c r="W424" i="1"/>
  <c r="U424" i="1" a="1"/>
  <c r="U424" i="1" s="1"/>
  <c r="S424" i="1"/>
  <c r="P424" i="1"/>
  <c r="P424" i="1" a="1"/>
  <c r="N424" i="1"/>
  <c r="J424" i="1" a="1"/>
  <c r="J424" i="1" s="1"/>
  <c r="G424" i="1"/>
  <c r="G424" i="1" a="1"/>
  <c r="D424" i="1"/>
  <c r="W423" i="1"/>
  <c r="U423" i="1" a="1"/>
  <c r="U423" i="1" s="1"/>
  <c r="S423" i="1"/>
  <c r="P423" i="1"/>
  <c r="P423" i="1" a="1"/>
  <c r="N423" i="1"/>
  <c r="J423" i="1" a="1"/>
  <c r="J423" i="1" s="1"/>
  <c r="G423" i="1" a="1"/>
  <c r="G423" i="1" s="1"/>
  <c r="D423" i="1"/>
  <c r="W422" i="1"/>
  <c r="U422" i="1" a="1"/>
  <c r="U422" i="1" s="1"/>
  <c r="S422" i="1"/>
  <c r="P422" i="1" a="1"/>
  <c r="P422" i="1" s="1"/>
  <c r="N422" i="1"/>
  <c r="J422" i="1" a="1"/>
  <c r="J422" i="1" s="1"/>
  <c r="G422" i="1" a="1"/>
  <c r="G422" i="1" s="1"/>
  <c r="D422" i="1"/>
  <c r="W421" i="1"/>
  <c r="U421" i="1" a="1"/>
  <c r="U421" i="1" s="1"/>
  <c r="S421" i="1"/>
  <c r="P421" i="1"/>
  <c r="P421" i="1" a="1"/>
  <c r="N421" i="1"/>
  <c r="J421" i="1" a="1"/>
  <c r="J421" i="1" s="1"/>
  <c r="G421" i="1" a="1"/>
  <c r="G421" i="1" s="1"/>
  <c r="D421" i="1"/>
  <c r="W420" i="1"/>
  <c r="U420" i="1"/>
  <c r="U420" i="1" a="1"/>
  <c r="S420" i="1"/>
  <c r="P420" i="1"/>
  <c r="P420" i="1" a="1"/>
  <c r="N420" i="1"/>
  <c r="J420" i="1" a="1"/>
  <c r="J420" i="1" s="1"/>
  <c r="G420" i="1" a="1"/>
  <c r="G420" i="1" s="1"/>
  <c r="D420" i="1"/>
  <c r="W419" i="1"/>
  <c r="U419" i="1"/>
  <c r="U419" i="1" a="1"/>
  <c r="S419" i="1"/>
  <c r="P419" i="1"/>
  <c r="P419" i="1" a="1"/>
  <c r="N419" i="1"/>
  <c r="J419" i="1" a="1"/>
  <c r="J419" i="1" s="1"/>
  <c r="G419" i="1"/>
  <c r="G419" i="1" a="1"/>
  <c r="D419" i="1"/>
  <c r="W418" i="1"/>
  <c r="U418" i="1" a="1"/>
  <c r="U418" i="1" s="1"/>
  <c r="S418" i="1"/>
  <c r="P418" i="1"/>
  <c r="P418" i="1" a="1"/>
  <c r="N418" i="1"/>
  <c r="J418" i="1" a="1"/>
  <c r="J418" i="1" s="1"/>
  <c r="G418" i="1"/>
  <c r="G418" i="1" a="1"/>
  <c r="D418" i="1"/>
  <c r="W417" i="1"/>
  <c r="U417" i="1" a="1"/>
  <c r="U417" i="1" s="1"/>
  <c r="S417" i="1"/>
  <c r="P417" i="1"/>
  <c r="P417" i="1" a="1"/>
  <c r="N417" i="1"/>
  <c r="J417" i="1" a="1"/>
  <c r="J417" i="1" s="1"/>
  <c r="G417" i="1" a="1"/>
  <c r="G417" i="1" s="1"/>
  <c r="D417" i="1"/>
  <c r="W416" i="1"/>
  <c r="U416" i="1" a="1"/>
  <c r="U416" i="1" s="1"/>
  <c r="S416" i="1"/>
  <c r="P416" i="1" a="1"/>
  <c r="P416" i="1" s="1"/>
  <c r="N416" i="1"/>
  <c r="J416" i="1" a="1"/>
  <c r="J416" i="1" s="1"/>
  <c r="G416" i="1" a="1"/>
  <c r="G416" i="1" s="1"/>
  <c r="D416" i="1"/>
  <c r="W415" i="1"/>
  <c r="U415" i="1" a="1"/>
  <c r="U415" i="1" s="1"/>
  <c r="S415" i="1"/>
  <c r="P415" i="1"/>
  <c r="P415" i="1" a="1"/>
  <c r="N415" i="1"/>
  <c r="J415" i="1" a="1"/>
  <c r="J415" i="1" s="1"/>
  <c r="G415" i="1" a="1"/>
  <c r="G415" i="1" s="1"/>
  <c r="D415" i="1"/>
  <c r="W414" i="1"/>
  <c r="U414" i="1"/>
  <c r="U414" i="1" a="1"/>
  <c r="S414" i="1"/>
  <c r="P414" i="1"/>
  <c r="P414" i="1" a="1"/>
  <c r="N414" i="1"/>
  <c r="J414" i="1" a="1"/>
  <c r="J414" i="1" s="1"/>
  <c r="G414" i="1" a="1"/>
  <c r="G414" i="1" s="1"/>
  <c r="D414" i="1"/>
  <c r="W413" i="1"/>
  <c r="U413" i="1"/>
  <c r="U413" i="1" a="1"/>
  <c r="S413" i="1"/>
  <c r="P413" i="1"/>
  <c r="P413" i="1" a="1"/>
  <c r="N413" i="1"/>
  <c r="J413" i="1" a="1"/>
  <c r="J413" i="1" s="1"/>
  <c r="G413" i="1" a="1"/>
  <c r="G413" i="1" s="1"/>
  <c r="D413" i="1"/>
  <c r="W412" i="1"/>
  <c r="U412" i="1" a="1"/>
  <c r="U412" i="1" s="1"/>
  <c r="S412" i="1"/>
  <c r="P412" i="1"/>
  <c r="P412" i="1" a="1"/>
  <c r="N412" i="1"/>
  <c r="J412" i="1" a="1"/>
  <c r="J412" i="1" s="1"/>
  <c r="G412" i="1" a="1"/>
  <c r="G412" i="1" s="1"/>
  <c r="D412" i="1"/>
  <c r="W411" i="1"/>
  <c r="U411" i="1" a="1"/>
  <c r="U411" i="1" s="1"/>
  <c r="S411" i="1"/>
  <c r="P411" i="1"/>
  <c r="P411" i="1" a="1"/>
  <c r="N411" i="1"/>
  <c r="J411" i="1" a="1"/>
  <c r="J411" i="1" s="1"/>
  <c r="G411" i="1" a="1"/>
  <c r="G411" i="1" s="1"/>
  <c r="D411" i="1"/>
  <c r="W410" i="1"/>
  <c r="U410" i="1" a="1"/>
  <c r="U410" i="1" s="1"/>
  <c r="S410" i="1"/>
  <c r="P410" i="1" a="1"/>
  <c r="P410" i="1" s="1"/>
  <c r="N410" i="1"/>
  <c r="J410" i="1" a="1"/>
  <c r="J410" i="1" s="1"/>
  <c r="G410" i="1" a="1"/>
  <c r="G410" i="1" s="1"/>
  <c r="D410" i="1"/>
  <c r="W409" i="1"/>
  <c r="U409" i="1" a="1"/>
  <c r="U409" i="1" s="1"/>
  <c r="S409" i="1"/>
  <c r="P409" i="1"/>
  <c r="P409" i="1" a="1"/>
  <c r="N409" i="1"/>
  <c r="J409" i="1" a="1"/>
  <c r="J409" i="1" s="1"/>
  <c r="G409" i="1" a="1"/>
  <c r="G409" i="1" s="1"/>
  <c r="D409" i="1"/>
  <c r="W408" i="1"/>
  <c r="U408" i="1"/>
  <c r="U408" i="1" a="1"/>
  <c r="S408" i="1"/>
  <c r="P408" i="1"/>
  <c r="P408" i="1" a="1"/>
  <c r="N408" i="1"/>
  <c r="J408" i="1" a="1"/>
  <c r="J408" i="1" s="1"/>
  <c r="G408" i="1" a="1"/>
  <c r="G408" i="1" s="1"/>
  <c r="D408" i="1"/>
  <c r="W407" i="1"/>
  <c r="U407" i="1" a="1"/>
  <c r="U407" i="1" s="1"/>
  <c r="S407" i="1"/>
  <c r="P407" i="1"/>
  <c r="P407" i="1" a="1"/>
  <c r="N407" i="1"/>
  <c r="J407" i="1" a="1"/>
  <c r="J407" i="1" s="1"/>
  <c r="G407" i="1"/>
  <c r="G407" i="1" a="1"/>
  <c r="D407" i="1"/>
  <c r="W406" i="1"/>
  <c r="U406" i="1" a="1"/>
  <c r="U406" i="1" s="1"/>
  <c r="S406" i="1"/>
  <c r="P406" i="1"/>
  <c r="P406" i="1" a="1"/>
  <c r="N406" i="1"/>
  <c r="J406" i="1" a="1"/>
  <c r="J406" i="1" s="1"/>
  <c r="G406" i="1"/>
  <c r="G406" i="1" a="1"/>
  <c r="D406" i="1"/>
  <c r="W405" i="1"/>
  <c r="U405" i="1" a="1"/>
  <c r="U405" i="1" s="1"/>
  <c r="S405" i="1"/>
  <c r="P405" i="1"/>
  <c r="P405" i="1" a="1"/>
  <c r="N405" i="1"/>
  <c r="J405" i="1" a="1"/>
  <c r="J405" i="1" s="1"/>
  <c r="G405" i="1" a="1"/>
  <c r="G405" i="1" s="1"/>
  <c r="D405" i="1"/>
  <c r="W404" i="1"/>
  <c r="U404" i="1" a="1"/>
  <c r="U404" i="1" s="1"/>
  <c r="S404" i="1"/>
  <c r="P404" i="1" a="1"/>
  <c r="P404" i="1" s="1"/>
  <c r="N404" i="1"/>
  <c r="J404" i="1" a="1"/>
  <c r="J404" i="1" s="1"/>
  <c r="G404" i="1" a="1"/>
  <c r="G404" i="1" s="1"/>
  <c r="D404" i="1"/>
  <c r="W403" i="1"/>
  <c r="U403" i="1" a="1"/>
  <c r="U403" i="1" s="1"/>
  <c r="S403" i="1"/>
  <c r="P403" i="1"/>
  <c r="P403" i="1" a="1"/>
  <c r="N403" i="1"/>
  <c r="J403" i="1" a="1"/>
  <c r="J403" i="1" s="1"/>
  <c r="G403" i="1" a="1"/>
  <c r="G403" i="1" s="1"/>
  <c r="D403" i="1"/>
  <c r="W402" i="1"/>
  <c r="U402" i="1"/>
  <c r="U402" i="1" a="1"/>
  <c r="S402" i="1"/>
  <c r="P402" i="1"/>
  <c r="P402" i="1" a="1"/>
  <c r="N402" i="1"/>
  <c r="J402" i="1" a="1"/>
  <c r="J402" i="1" s="1"/>
  <c r="G402" i="1" a="1"/>
  <c r="G402" i="1" s="1"/>
  <c r="D402" i="1"/>
  <c r="W401" i="1"/>
  <c r="U401" i="1"/>
  <c r="U401" i="1" a="1"/>
  <c r="S401" i="1"/>
  <c r="P401" i="1"/>
  <c r="P401" i="1" a="1"/>
  <c r="N401" i="1"/>
  <c r="J401" i="1" a="1"/>
  <c r="J401" i="1" s="1"/>
  <c r="G401" i="1"/>
  <c r="G401" i="1" a="1"/>
  <c r="D401" i="1"/>
  <c r="W400" i="1"/>
  <c r="U400" i="1" a="1"/>
  <c r="U400" i="1" s="1"/>
  <c r="S400" i="1"/>
  <c r="P400" i="1"/>
  <c r="P400" i="1" a="1"/>
  <c r="N400" i="1"/>
  <c r="J400" i="1" a="1"/>
  <c r="J400" i="1" s="1"/>
  <c r="G400" i="1"/>
  <c r="G400" i="1" a="1"/>
  <c r="D400" i="1"/>
  <c r="W399" i="1"/>
  <c r="U399" i="1" a="1"/>
  <c r="U399" i="1" s="1"/>
  <c r="S399" i="1"/>
  <c r="P399" i="1"/>
  <c r="P399" i="1" a="1"/>
  <c r="N399" i="1"/>
  <c r="J399" i="1" a="1"/>
  <c r="J399" i="1" s="1"/>
  <c r="G399" i="1" a="1"/>
  <c r="G399" i="1" s="1"/>
  <c r="D399" i="1"/>
  <c r="W398" i="1"/>
  <c r="U398" i="1" a="1"/>
  <c r="U398" i="1" s="1"/>
  <c r="S398" i="1"/>
  <c r="P398" i="1" a="1"/>
  <c r="P398" i="1" s="1"/>
  <c r="N398" i="1"/>
  <c r="J398" i="1" a="1"/>
  <c r="J398" i="1" s="1"/>
  <c r="G398" i="1" a="1"/>
  <c r="G398" i="1" s="1"/>
  <c r="D398" i="1"/>
  <c r="W397" i="1"/>
  <c r="U397" i="1" a="1"/>
  <c r="U397" i="1" s="1"/>
  <c r="S397" i="1"/>
  <c r="P397" i="1"/>
  <c r="P397" i="1" a="1"/>
  <c r="N397" i="1"/>
  <c r="J397" i="1" a="1"/>
  <c r="J397" i="1" s="1"/>
  <c r="G397" i="1" a="1"/>
  <c r="G397" i="1" s="1"/>
  <c r="D397" i="1"/>
  <c r="W396" i="1"/>
  <c r="U396" i="1"/>
  <c r="U396" i="1" a="1"/>
  <c r="S396" i="1"/>
  <c r="P396" i="1"/>
  <c r="P396" i="1" a="1"/>
  <c r="N396" i="1"/>
  <c r="J396" i="1" a="1"/>
  <c r="J396" i="1" s="1"/>
  <c r="G396" i="1" a="1"/>
  <c r="G396" i="1" s="1"/>
  <c r="D396" i="1"/>
  <c r="W395" i="1"/>
  <c r="U395" i="1"/>
  <c r="U395" i="1" a="1"/>
  <c r="S395" i="1"/>
  <c r="P395" i="1" a="1"/>
  <c r="P395" i="1" s="1"/>
  <c r="N395" i="1"/>
  <c r="J395" i="1" a="1"/>
  <c r="J395" i="1" s="1"/>
  <c r="G395" i="1" a="1"/>
  <c r="G395" i="1" s="1"/>
  <c r="D395" i="1"/>
  <c r="W394" i="1"/>
  <c r="U394" i="1" a="1"/>
  <c r="U394" i="1" s="1"/>
  <c r="S394" i="1"/>
  <c r="P394" i="1"/>
  <c r="P394" i="1" a="1"/>
  <c r="N394" i="1"/>
  <c r="J394" i="1" a="1"/>
  <c r="J394" i="1" s="1"/>
  <c r="G394" i="1" a="1"/>
  <c r="G394" i="1" s="1"/>
  <c r="D394" i="1"/>
  <c r="W393" i="1"/>
  <c r="U393" i="1"/>
  <c r="U393" i="1" a="1"/>
  <c r="S393" i="1"/>
  <c r="P393" i="1"/>
  <c r="P393" i="1" a="1"/>
  <c r="N393" i="1"/>
  <c r="J393" i="1" a="1"/>
  <c r="J393" i="1" s="1"/>
  <c r="G393" i="1" a="1"/>
  <c r="G393" i="1" s="1"/>
  <c r="D393" i="1"/>
  <c r="W392" i="1"/>
  <c r="U392" i="1"/>
  <c r="U392" i="1" a="1"/>
  <c r="S392" i="1"/>
  <c r="P392" i="1"/>
  <c r="P392" i="1" a="1"/>
  <c r="N392" i="1"/>
  <c r="J392" i="1"/>
  <c r="J392" i="1" a="1"/>
  <c r="G392" i="1"/>
  <c r="G392" i="1" a="1"/>
  <c r="D392" i="1"/>
  <c r="W391" i="1"/>
  <c r="U391" i="1" a="1"/>
  <c r="U391" i="1" s="1"/>
  <c r="S391" i="1"/>
  <c r="P391" i="1" a="1"/>
  <c r="P391" i="1" s="1"/>
  <c r="N391" i="1"/>
  <c r="J391" i="1" a="1"/>
  <c r="J391" i="1" s="1"/>
  <c r="G391" i="1"/>
  <c r="G391" i="1" a="1"/>
  <c r="D391" i="1"/>
  <c r="W390" i="1"/>
  <c r="U390" i="1"/>
  <c r="U390" i="1" a="1"/>
  <c r="S390" i="1"/>
  <c r="P390" i="1" a="1"/>
  <c r="P390" i="1" s="1"/>
  <c r="N390" i="1"/>
  <c r="J390" i="1"/>
  <c r="J390" i="1" a="1"/>
  <c r="G390" i="1" a="1"/>
  <c r="G390" i="1" s="1"/>
  <c r="D390" i="1"/>
  <c r="W389" i="1"/>
  <c r="U389" i="1" a="1"/>
  <c r="U389" i="1" s="1"/>
  <c r="S389" i="1"/>
  <c r="P389" i="1" a="1"/>
  <c r="P389" i="1" s="1"/>
  <c r="N389" i="1"/>
  <c r="J389" i="1" a="1"/>
  <c r="J389" i="1" s="1"/>
  <c r="G389" i="1"/>
  <c r="G389" i="1" a="1"/>
  <c r="D389" i="1"/>
  <c r="W388" i="1"/>
  <c r="U388" i="1"/>
  <c r="U388" i="1" a="1"/>
  <c r="S388" i="1"/>
  <c r="P388" i="1"/>
  <c r="P388" i="1" a="1"/>
  <c r="N388" i="1"/>
  <c r="J388" i="1"/>
  <c r="J388" i="1" a="1"/>
  <c r="G388" i="1" a="1"/>
  <c r="G388" i="1" s="1"/>
  <c r="D388" i="1"/>
  <c r="W387" i="1"/>
  <c r="U387" i="1" a="1"/>
  <c r="U387" i="1" s="1"/>
  <c r="S387" i="1"/>
  <c r="P387" i="1" a="1"/>
  <c r="P387" i="1" s="1"/>
  <c r="N387" i="1"/>
  <c r="J387" i="1" a="1"/>
  <c r="J387" i="1" s="1"/>
  <c r="G387" i="1"/>
  <c r="G387" i="1" a="1"/>
  <c r="D387" i="1"/>
  <c r="W386" i="1"/>
  <c r="U386" i="1"/>
  <c r="U386" i="1" a="1"/>
  <c r="S386" i="1"/>
  <c r="P386" i="1"/>
  <c r="P386" i="1" a="1"/>
  <c r="N386" i="1"/>
  <c r="J386" i="1"/>
  <c r="J386" i="1" a="1"/>
  <c r="G386" i="1"/>
  <c r="G386" i="1" a="1"/>
  <c r="D386" i="1"/>
  <c r="W385" i="1"/>
  <c r="U385" i="1" a="1"/>
  <c r="U385" i="1" s="1"/>
  <c r="S385" i="1"/>
  <c r="P385" i="1" a="1"/>
  <c r="P385" i="1" s="1"/>
  <c r="N385" i="1"/>
  <c r="J385" i="1" a="1"/>
  <c r="J385" i="1" s="1"/>
  <c r="G385" i="1"/>
  <c r="G385" i="1" a="1"/>
  <c r="D385" i="1"/>
  <c r="W384" i="1"/>
  <c r="U384" i="1"/>
  <c r="U384" i="1" a="1"/>
  <c r="S384" i="1"/>
  <c r="P384" i="1" a="1"/>
  <c r="P384" i="1" s="1"/>
  <c r="N384" i="1"/>
  <c r="J384" i="1"/>
  <c r="J384" i="1" a="1"/>
  <c r="G384" i="1" a="1"/>
  <c r="G384" i="1" s="1"/>
  <c r="D384" i="1"/>
  <c r="W383" i="1"/>
  <c r="U383" i="1" a="1"/>
  <c r="U383" i="1" s="1"/>
  <c r="S383" i="1"/>
  <c r="P383" i="1" a="1"/>
  <c r="P383" i="1" s="1"/>
  <c r="N383" i="1"/>
  <c r="J383" i="1" a="1"/>
  <c r="J383" i="1" s="1"/>
  <c r="G383" i="1"/>
  <c r="G383" i="1" a="1"/>
  <c r="D383" i="1"/>
  <c r="W382" i="1"/>
  <c r="U382" i="1"/>
  <c r="U382" i="1" a="1"/>
  <c r="S382" i="1"/>
  <c r="P382" i="1"/>
  <c r="P382" i="1" a="1"/>
  <c r="N382" i="1"/>
  <c r="J382" i="1" a="1"/>
  <c r="J382" i="1" s="1"/>
  <c r="G382" i="1" a="1"/>
  <c r="G382" i="1" s="1"/>
  <c r="D382" i="1"/>
  <c r="W381" i="1"/>
  <c r="U381" i="1" a="1"/>
  <c r="U381" i="1" s="1"/>
  <c r="S381" i="1"/>
  <c r="P381" i="1" a="1"/>
  <c r="P381" i="1" s="1"/>
  <c r="N381" i="1"/>
  <c r="J381" i="1" a="1"/>
  <c r="J381" i="1" s="1"/>
  <c r="G381" i="1"/>
  <c r="G381" i="1" a="1"/>
  <c r="D381" i="1"/>
  <c r="W380" i="1"/>
  <c r="U380" i="1"/>
  <c r="U380" i="1" a="1"/>
  <c r="S380" i="1"/>
  <c r="P380" i="1"/>
  <c r="P380" i="1" a="1"/>
  <c r="N380" i="1"/>
  <c r="J380" i="1"/>
  <c r="J380" i="1" a="1"/>
  <c r="G380" i="1" a="1"/>
  <c r="G380" i="1" s="1"/>
  <c r="D380" i="1"/>
  <c r="W379" i="1"/>
  <c r="U379" i="1" a="1"/>
  <c r="U379" i="1" s="1"/>
  <c r="S379" i="1"/>
  <c r="P379" i="1" a="1"/>
  <c r="P379" i="1" s="1"/>
  <c r="N379" i="1"/>
  <c r="J379" i="1"/>
  <c r="J379" i="1" a="1"/>
  <c r="G379" i="1"/>
  <c r="G379" i="1" a="1"/>
  <c r="D379" i="1"/>
  <c r="W378" i="1"/>
  <c r="U378" i="1" a="1"/>
  <c r="U378" i="1" s="1"/>
  <c r="S378" i="1"/>
  <c r="P378" i="1" a="1"/>
  <c r="P378" i="1" s="1"/>
  <c r="N378" i="1"/>
  <c r="J378" i="1"/>
  <c r="J378" i="1" a="1"/>
  <c r="G378" i="1" a="1"/>
  <c r="G378" i="1" s="1"/>
  <c r="D378" i="1"/>
  <c r="W377" i="1"/>
  <c r="U377" i="1" a="1"/>
  <c r="U377" i="1" s="1"/>
  <c r="S377" i="1"/>
  <c r="P377" i="1" a="1"/>
  <c r="P377" i="1" s="1"/>
  <c r="N377" i="1"/>
  <c r="J377" i="1" a="1"/>
  <c r="J377" i="1" s="1"/>
  <c r="G377" i="1" a="1"/>
  <c r="G377" i="1" s="1"/>
  <c r="D377" i="1"/>
  <c r="W376" i="1"/>
  <c r="U376" i="1"/>
  <c r="U376" i="1" a="1"/>
  <c r="S376" i="1"/>
  <c r="P376" i="1"/>
  <c r="P376" i="1" a="1"/>
  <c r="N376" i="1"/>
  <c r="J376" i="1" a="1"/>
  <c r="J376" i="1" s="1"/>
  <c r="G376" i="1" a="1"/>
  <c r="G376" i="1" s="1"/>
  <c r="D376" i="1"/>
  <c r="W375" i="1"/>
  <c r="U375" i="1"/>
  <c r="U375" i="1" a="1"/>
  <c r="S375" i="1"/>
  <c r="P375" i="1" a="1"/>
  <c r="P375" i="1" s="1"/>
  <c r="N375" i="1"/>
  <c r="J375" i="1" a="1"/>
  <c r="J375" i="1" s="1"/>
  <c r="G375" i="1"/>
  <c r="G375" i="1" a="1"/>
  <c r="D375" i="1"/>
  <c r="W374" i="1"/>
  <c r="U374" i="1"/>
  <c r="U374" i="1" a="1"/>
  <c r="S374" i="1"/>
  <c r="P374" i="1"/>
  <c r="P374" i="1" a="1"/>
  <c r="N374" i="1"/>
  <c r="J374" i="1"/>
  <c r="J374" i="1" a="1"/>
  <c r="G374" i="1" a="1"/>
  <c r="G374" i="1" s="1"/>
  <c r="D374" i="1"/>
  <c r="W373" i="1"/>
  <c r="U373" i="1" a="1"/>
  <c r="U373" i="1" s="1"/>
  <c r="S373" i="1"/>
  <c r="P373" i="1" a="1"/>
  <c r="P373" i="1" s="1"/>
  <c r="N373" i="1"/>
  <c r="J373" i="1" a="1"/>
  <c r="J373" i="1" s="1"/>
  <c r="G373" i="1"/>
  <c r="G373" i="1" a="1"/>
  <c r="D373" i="1"/>
  <c r="W372" i="1"/>
  <c r="U372" i="1" a="1"/>
  <c r="U372" i="1" s="1"/>
  <c r="S372" i="1"/>
  <c r="P372" i="1"/>
  <c r="P372" i="1" a="1"/>
  <c r="N372" i="1"/>
  <c r="J372" i="1"/>
  <c r="J372" i="1" a="1"/>
  <c r="G372" i="1" a="1"/>
  <c r="G372" i="1" s="1"/>
  <c r="D372" i="1"/>
  <c r="W371" i="1"/>
  <c r="U371" i="1" a="1"/>
  <c r="U371" i="1" s="1"/>
  <c r="S371" i="1"/>
  <c r="P371" i="1" a="1"/>
  <c r="P371" i="1" s="1"/>
  <c r="N371" i="1"/>
  <c r="J371" i="1" a="1"/>
  <c r="J371" i="1" s="1"/>
  <c r="G371" i="1" a="1"/>
  <c r="G371" i="1" s="1"/>
  <c r="D371" i="1"/>
  <c r="W370" i="1"/>
  <c r="U370" i="1"/>
  <c r="U370" i="1" a="1"/>
  <c r="S370" i="1"/>
  <c r="P370" i="1"/>
  <c r="P370" i="1" a="1"/>
  <c r="N370" i="1"/>
  <c r="J370" i="1" a="1"/>
  <c r="J370" i="1" s="1"/>
  <c r="G370" i="1" a="1"/>
  <c r="G370" i="1" s="1"/>
  <c r="D370" i="1"/>
  <c r="W369" i="1"/>
  <c r="U369" i="1"/>
  <c r="U369" i="1" a="1"/>
  <c r="S369" i="1"/>
  <c r="P369" i="1" a="1"/>
  <c r="P369" i="1" s="1"/>
  <c r="N369" i="1"/>
  <c r="J369" i="1" a="1"/>
  <c r="J369" i="1" s="1"/>
  <c r="G369" i="1"/>
  <c r="G369" i="1" a="1"/>
  <c r="D369" i="1"/>
  <c r="W368" i="1"/>
  <c r="U368" i="1"/>
  <c r="U368" i="1" a="1"/>
  <c r="S368" i="1"/>
  <c r="P368" i="1"/>
  <c r="P368" i="1" a="1"/>
  <c r="N368" i="1"/>
  <c r="J368" i="1"/>
  <c r="J368" i="1" a="1"/>
  <c r="G368" i="1" a="1"/>
  <c r="G368" i="1" s="1"/>
  <c r="D368" i="1"/>
  <c r="W367" i="1"/>
  <c r="U367" i="1" a="1"/>
  <c r="U367" i="1" s="1"/>
  <c r="S367" i="1"/>
  <c r="P367" i="1" a="1"/>
  <c r="P367" i="1" s="1"/>
  <c r="N367" i="1"/>
  <c r="J367" i="1" a="1"/>
  <c r="J367" i="1" s="1"/>
  <c r="G367" i="1"/>
  <c r="G367" i="1" a="1"/>
  <c r="D367" i="1"/>
  <c r="W366" i="1"/>
  <c r="U366" i="1" a="1"/>
  <c r="U366" i="1" s="1"/>
  <c r="S366" i="1"/>
  <c r="P366" i="1" a="1"/>
  <c r="P366" i="1" s="1"/>
  <c r="N366" i="1"/>
  <c r="J366" i="1"/>
  <c r="J366" i="1" a="1"/>
  <c r="G366" i="1" a="1"/>
  <c r="G366" i="1" s="1"/>
  <c r="D366" i="1"/>
  <c r="W365" i="1"/>
  <c r="U365" i="1" a="1"/>
  <c r="U365" i="1" s="1"/>
  <c r="S365" i="1"/>
  <c r="P365" i="1" a="1"/>
  <c r="P365" i="1" s="1"/>
  <c r="N365" i="1"/>
  <c r="J365" i="1" a="1"/>
  <c r="J365" i="1" s="1"/>
  <c r="G365" i="1" a="1"/>
  <c r="G365" i="1" s="1"/>
  <c r="D365" i="1"/>
  <c r="W364" i="1"/>
  <c r="U364" i="1"/>
  <c r="U364" i="1" a="1"/>
  <c r="S364" i="1"/>
  <c r="P364" i="1"/>
  <c r="P364" i="1" a="1"/>
  <c r="N364" i="1"/>
  <c r="J364" i="1" a="1"/>
  <c r="J364" i="1" s="1"/>
  <c r="G364" i="1" a="1"/>
  <c r="G364" i="1" s="1"/>
  <c r="D364" i="1"/>
  <c r="W363" i="1"/>
  <c r="U363" i="1" a="1"/>
  <c r="U363" i="1" s="1"/>
  <c r="S363" i="1"/>
  <c r="P363" i="1" a="1"/>
  <c r="P363" i="1" s="1"/>
  <c r="N363" i="1"/>
  <c r="J363" i="1" a="1"/>
  <c r="J363" i="1" s="1"/>
  <c r="G363" i="1"/>
  <c r="G363" i="1" a="1"/>
  <c r="D363" i="1"/>
  <c r="W362" i="1"/>
  <c r="U362" i="1"/>
  <c r="U362" i="1" a="1"/>
  <c r="S362" i="1"/>
  <c r="P362" i="1"/>
  <c r="P362" i="1" a="1"/>
  <c r="N362" i="1"/>
  <c r="J362" i="1"/>
  <c r="J362" i="1" a="1"/>
  <c r="G362" i="1"/>
  <c r="G362" i="1" a="1"/>
  <c r="D362" i="1"/>
  <c r="W361" i="1"/>
  <c r="U361" i="1" a="1"/>
  <c r="U361" i="1" s="1"/>
  <c r="S361" i="1"/>
  <c r="P361" i="1" a="1"/>
  <c r="P361" i="1" s="1"/>
  <c r="N361" i="1"/>
  <c r="J361" i="1"/>
  <c r="J361" i="1" a="1"/>
  <c r="G361" i="1"/>
  <c r="G361" i="1" a="1"/>
  <c r="D361" i="1"/>
  <c r="W360" i="1"/>
  <c r="U360" i="1" a="1"/>
  <c r="U360" i="1" s="1"/>
  <c r="S360" i="1"/>
  <c r="P360" i="1" a="1"/>
  <c r="P360" i="1" s="1"/>
  <c r="N360" i="1"/>
  <c r="J360" i="1"/>
  <c r="J360" i="1" a="1"/>
  <c r="G360" i="1" a="1"/>
  <c r="G360" i="1" s="1"/>
  <c r="D360" i="1"/>
  <c r="W359" i="1"/>
  <c r="U359" i="1" a="1"/>
  <c r="U359" i="1" s="1"/>
  <c r="S359" i="1"/>
  <c r="P359" i="1" a="1"/>
  <c r="P359" i="1" s="1"/>
  <c r="N359" i="1"/>
  <c r="J359" i="1" a="1"/>
  <c r="J359" i="1" s="1"/>
  <c r="G359" i="1" a="1"/>
  <c r="G359" i="1" s="1"/>
  <c r="D359" i="1"/>
  <c r="W358" i="1"/>
  <c r="U358" i="1"/>
  <c r="U358" i="1" a="1"/>
  <c r="S358" i="1"/>
  <c r="P358" i="1"/>
  <c r="P358" i="1" a="1"/>
  <c r="N358" i="1"/>
  <c r="J358" i="1" a="1"/>
  <c r="J358" i="1" s="1"/>
  <c r="G358" i="1" a="1"/>
  <c r="G358" i="1" s="1"/>
  <c r="D358" i="1"/>
  <c r="W357" i="1"/>
  <c r="U357" i="1" a="1"/>
  <c r="U357" i="1" s="1"/>
  <c r="S357" i="1"/>
  <c r="P357" i="1" a="1"/>
  <c r="P357" i="1" s="1"/>
  <c r="N357" i="1"/>
  <c r="J357" i="1" a="1"/>
  <c r="J357" i="1" s="1"/>
  <c r="G357" i="1"/>
  <c r="G357" i="1" a="1"/>
  <c r="D357" i="1"/>
  <c r="W356" i="1"/>
  <c r="U356" i="1"/>
  <c r="U356" i="1" a="1"/>
  <c r="S356" i="1"/>
  <c r="P356" i="1"/>
  <c r="P356" i="1" a="1"/>
  <c r="N356" i="1"/>
  <c r="J356" i="1"/>
  <c r="J356" i="1" a="1"/>
  <c r="G356" i="1" a="1"/>
  <c r="G356" i="1" s="1"/>
  <c r="D356" i="1"/>
  <c r="W355" i="1"/>
  <c r="U355" i="1" a="1"/>
  <c r="U355" i="1" s="1"/>
  <c r="S355" i="1"/>
  <c r="P355" i="1" a="1"/>
  <c r="P355" i="1" s="1"/>
  <c r="N355" i="1"/>
  <c r="J355" i="1"/>
  <c r="J355" i="1" a="1"/>
  <c r="G355" i="1"/>
  <c r="G355" i="1" a="1"/>
  <c r="D355" i="1"/>
  <c r="W354" i="1"/>
  <c r="U354" i="1" a="1"/>
  <c r="U354" i="1" s="1"/>
  <c r="S354" i="1"/>
  <c r="P354" i="1" a="1"/>
  <c r="P354" i="1" s="1"/>
  <c r="N354" i="1"/>
  <c r="J354" i="1"/>
  <c r="J354" i="1" a="1"/>
  <c r="G354" i="1" a="1"/>
  <c r="G354" i="1" s="1"/>
  <c r="D354" i="1"/>
  <c r="W353" i="1"/>
  <c r="U353" i="1" a="1"/>
  <c r="U353" i="1" s="1"/>
  <c r="S353" i="1"/>
  <c r="P353" i="1" a="1"/>
  <c r="P353" i="1" s="1"/>
  <c r="N353" i="1"/>
  <c r="J353" i="1" a="1"/>
  <c r="J353" i="1" s="1"/>
  <c r="G353" i="1" a="1"/>
  <c r="G353" i="1" s="1"/>
  <c r="D353" i="1"/>
  <c r="W352" i="1"/>
  <c r="U352" i="1"/>
  <c r="U352" i="1" a="1"/>
  <c r="S352" i="1"/>
  <c r="P352" i="1"/>
  <c r="P352" i="1" a="1"/>
  <c r="N352" i="1"/>
  <c r="J352" i="1" a="1"/>
  <c r="J352" i="1" s="1"/>
  <c r="G352" i="1" a="1"/>
  <c r="G352" i="1" s="1"/>
  <c r="D352" i="1"/>
  <c r="W351" i="1"/>
  <c r="U351" i="1" a="1"/>
  <c r="U351" i="1" s="1"/>
  <c r="S351" i="1"/>
  <c r="P351" i="1" a="1"/>
  <c r="P351" i="1" s="1"/>
  <c r="N351" i="1"/>
  <c r="J351" i="1" a="1"/>
  <c r="J351" i="1" s="1"/>
  <c r="G351" i="1" a="1"/>
  <c r="G351" i="1" s="1"/>
  <c r="D351" i="1"/>
  <c r="W350" i="1"/>
  <c r="U350" i="1"/>
  <c r="U350" i="1" a="1"/>
  <c r="S350" i="1"/>
  <c r="P350" i="1"/>
  <c r="P350" i="1" a="1"/>
  <c r="N350" i="1"/>
  <c r="J350" i="1" a="1"/>
  <c r="J350" i="1" s="1"/>
  <c r="G350" i="1"/>
  <c r="G350" i="1" a="1"/>
  <c r="D350" i="1"/>
  <c r="W349" i="1"/>
  <c r="U349" i="1" a="1"/>
  <c r="U349" i="1" s="1"/>
  <c r="S349" i="1"/>
  <c r="P349" i="1" a="1"/>
  <c r="P349" i="1" s="1"/>
  <c r="N349" i="1"/>
  <c r="J349" i="1" a="1"/>
  <c r="J349" i="1" s="1"/>
  <c r="G349" i="1"/>
  <c r="G349" i="1" a="1"/>
  <c r="D349" i="1"/>
  <c r="W348" i="1"/>
  <c r="U348" i="1" a="1"/>
  <c r="U348" i="1" s="1"/>
  <c r="S348" i="1"/>
  <c r="P348" i="1" a="1"/>
  <c r="P348" i="1" s="1"/>
  <c r="N348" i="1"/>
  <c r="J348" i="1"/>
  <c r="J348" i="1" a="1"/>
  <c r="G348" i="1" a="1"/>
  <c r="G348" i="1" s="1"/>
  <c r="D348" i="1"/>
  <c r="W347" i="1"/>
  <c r="U347" i="1" a="1"/>
  <c r="U347" i="1" s="1"/>
  <c r="S347" i="1"/>
  <c r="P347" i="1" a="1"/>
  <c r="P347" i="1" s="1"/>
  <c r="N347" i="1"/>
  <c r="J347" i="1" a="1"/>
  <c r="J347" i="1" s="1"/>
  <c r="G347" i="1" a="1"/>
  <c r="G347" i="1" s="1"/>
  <c r="D347" i="1"/>
  <c r="W346" i="1"/>
  <c r="U346" i="1"/>
  <c r="U346" i="1" a="1"/>
  <c r="S346" i="1"/>
  <c r="P346" i="1"/>
  <c r="P346" i="1" a="1"/>
  <c r="N346" i="1"/>
  <c r="J346" i="1" a="1"/>
  <c r="J346" i="1" s="1"/>
  <c r="G346" i="1" a="1"/>
  <c r="G346" i="1" s="1"/>
  <c r="D346" i="1"/>
  <c r="W345" i="1"/>
  <c r="U345" i="1" a="1"/>
  <c r="U345" i="1" s="1"/>
  <c r="S345" i="1"/>
  <c r="P345" i="1" a="1"/>
  <c r="P345" i="1" s="1"/>
  <c r="N345" i="1"/>
  <c r="J345" i="1" a="1"/>
  <c r="J345" i="1" s="1"/>
  <c r="G345" i="1"/>
  <c r="G345" i="1" a="1"/>
  <c r="D345" i="1"/>
  <c r="W344" i="1"/>
  <c r="U344" i="1"/>
  <c r="U344" i="1" a="1"/>
  <c r="S344" i="1"/>
  <c r="P344" i="1"/>
  <c r="P344" i="1" a="1"/>
  <c r="N344" i="1"/>
  <c r="J344" i="1" a="1"/>
  <c r="J344" i="1" s="1"/>
  <c r="G344" i="1" a="1"/>
  <c r="G344" i="1" s="1"/>
  <c r="D344" i="1"/>
  <c r="W343" i="1"/>
  <c r="U343" i="1" a="1"/>
  <c r="U343" i="1" s="1"/>
  <c r="S343" i="1"/>
  <c r="P343" i="1" a="1"/>
  <c r="P343" i="1" s="1"/>
  <c r="N343" i="1"/>
  <c r="J343" i="1" a="1"/>
  <c r="J343" i="1" s="1"/>
  <c r="G343" i="1"/>
  <c r="G343" i="1" a="1"/>
  <c r="D343" i="1"/>
  <c r="W342" i="1"/>
  <c r="U342" i="1" a="1"/>
  <c r="U342" i="1" s="1"/>
  <c r="S342" i="1"/>
  <c r="P342" i="1" a="1"/>
  <c r="P342" i="1" s="1"/>
  <c r="N342" i="1"/>
  <c r="J342" i="1"/>
  <c r="J342" i="1" a="1"/>
  <c r="G342" i="1" a="1"/>
  <c r="G342" i="1" s="1"/>
  <c r="D342" i="1"/>
  <c r="W341" i="1"/>
  <c r="U341" i="1" a="1"/>
  <c r="U341" i="1" s="1"/>
  <c r="S341" i="1"/>
  <c r="P341" i="1" a="1"/>
  <c r="P341" i="1" s="1"/>
  <c r="N341" i="1"/>
  <c r="J341" i="1" a="1"/>
  <c r="J341" i="1" s="1"/>
  <c r="G341" i="1" a="1"/>
  <c r="G341" i="1" s="1"/>
  <c r="D341" i="1"/>
  <c r="W340" i="1"/>
  <c r="U340" i="1" a="1"/>
  <c r="U340" i="1" s="1"/>
  <c r="S340" i="1"/>
  <c r="P340" i="1"/>
  <c r="P340" i="1" a="1"/>
  <c r="N340" i="1"/>
  <c r="J340" i="1" a="1"/>
  <c r="J340" i="1" s="1"/>
  <c r="G340" i="1" a="1"/>
  <c r="G340" i="1" s="1"/>
  <c r="D340" i="1"/>
  <c r="W339" i="1"/>
  <c r="U339" i="1"/>
  <c r="U339" i="1" a="1"/>
  <c r="S339" i="1"/>
  <c r="P339" i="1" a="1"/>
  <c r="P339" i="1" s="1"/>
  <c r="N339" i="1"/>
  <c r="J339" i="1" a="1"/>
  <c r="J339" i="1" s="1"/>
  <c r="G339" i="1"/>
  <c r="G339" i="1" a="1"/>
  <c r="D339" i="1"/>
  <c r="W338" i="1"/>
  <c r="U338" i="1"/>
  <c r="U338" i="1" a="1"/>
  <c r="S338" i="1"/>
  <c r="P338" i="1"/>
  <c r="P338" i="1" a="1"/>
  <c r="N338" i="1"/>
  <c r="J338" i="1" a="1"/>
  <c r="J338" i="1" s="1"/>
  <c r="G338" i="1" a="1"/>
  <c r="G338" i="1" s="1"/>
  <c r="D338" i="1"/>
  <c r="W337" i="1"/>
  <c r="U337" i="1" a="1"/>
  <c r="U337" i="1" s="1"/>
  <c r="S337" i="1"/>
  <c r="P337" i="1" a="1"/>
  <c r="P337" i="1" s="1"/>
  <c r="N337" i="1"/>
  <c r="J337" i="1" a="1"/>
  <c r="J337" i="1" s="1"/>
  <c r="G337" i="1"/>
  <c r="G337" i="1" a="1"/>
  <c r="D337" i="1"/>
  <c r="W336" i="1"/>
  <c r="U336" i="1" a="1"/>
  <c r="U336" i="1" s="1"/>
  <c r="S336" i="1"/>
  <c r="P336" i="1" a="1"/>
  <c r="P336" i="1" s="1"/>
  <c r="N336" i="1"/>
  <c r="J336" i="1"/>
  <c r="J336" i="1" a="1"/>
  <c r="G336" i="1" a="1"/>
  <c r="G336" i="1" s="1"/>
  <c r="D336" i="1"/>
  <c r="W335" i="1"/>
  <c r="U335" i="1" a="1"/>
  <c r="U335" i="1" s="1"/>
  <c r="S335" i="1"/>
  <c r="P335" i="1" a="1"/>
  <c r="P335" i="1" s="1"/>
  <c r="N335" i="1"/>
  <c r="J335" i="1" a="1"/>
  <c r="J335" i="1" s="1"/>
  <c r="G335" i="1" a="1"/>
  <c r="G335" i="1" s="1"/>
  <c r="D335" i="1"/>
  <c r="W334" i="1"/>
  <c r="U334" i="1" a="1"/>
  <c r="U334" i="1" s="1"/>
  <c r="S334" i="1"/>
  <c r="P334" i="1"/>
  <c r="P334" i="1" a="1"/>
  <c r="N334" i="1"/>
  <c r="J334" i="1" a="1"/>
  <c r="J334" i="1" s="1"/>
  <c r="G334" i="1" a="1"/>
  <c r="G334" i="1" s="1"/>
  <c r="D334" i="1"/>
  <c r="W333" i="1"/>
  <c r="U333" i="1" a="1"/>
  <c r="U333" i="1" s="1"/>
  <c r="S333" i="1"/>
  <c r="P333" i="1"/>
  <c r="P333" i="1" a="1"/>
  <c r="N333" i="1"/>
  <c r="J333" i="1" a="1"/>
  <c r="J333" i="1" s="1"/>
  <c r="G333" i="1" a="1"/>
  <c r="G333" i="1" s="1"/>
  <c r="D333" i="1"/>
  <c r="W332" i="1"/>
  <c r="U332" i="1"/>
  <c r="U332" i="1" a="1"/>
  <c r="S332" i="1"/>
  <c r="P332" i="1"/>
  <c r="P332" i="1" a="1"/>
  <c r="N332" i="1"/>
  <c r="J332" i="1"/>
  <c r="J332" i="1" a="1"/>
  <c r="G332" i="1"/>
  <c r="G332" i="1" a="1"/>
  <c r="D332" i="1"/>
  <c r="W331" i="1"/>
  <c r="U331" i="1" a="1"/>
  <c r="U331" i="1" s="1"/>
  <c r="S331" i="1"/>
  <c r="P331" i="1" a="1"/>
  <c r="P331" i="1" s="1"/>
  <c r="N331" i="1"/>
  <c r="J331" i="1"/>
  <c r="J331" i="1" a="1"/>
  <c r="G331" i="1"/>
  <c r="G331" i="1" a="1"/>
  <c r="D331" i="1"/>
  <c r="W330" i="1"/>
  <c r="U330" i="1" a="1"/>
  <c r="U330" i="1" s="1"/>
  <c r="S330" i="1"/>
  <c r="P330" i="1" a="1"/>
  <c r="P330" i="1" s="1"/>
  <c r="N330" i="1"/>
  <c r="J330" i="1"/>
  <c r="J330" i="1" a="1"/>
  <c r="G330" i="1" a="1"/>
  <c r="G330" i="1" s="1"/>
  <c r="D330" i="1"/>
  <c r="W329" i="1"/>
  <c r="U329" i="1" a="1"/>
  <c r="U329" i="1" s="1"/>
  <c r="S329" i="1"/>
  <c r="P329" i="1" a="1"/>
  <c r="P329" i="1" s="1"/>
  <c r="N329" i="1"/>
  <c r="J329" i="1" a="1"/>
  <c r="J329" i="1" s="1"/>
  <c r="G329" i="1" a="1"/>
  <c r="G329" i="1" s="1"/>
  <c r="D329" i="1"/>
  <c r="W328" i="1"/>
  <c r="U328" i="1" a="1"/>
  <c r="U328" i="1" s="1"/>
  <c r="S328" i="1"/>
  <c r="P328" i="1"/>
  <c r="P328" i="1" a="1"/>
  <c r="N328" i="1"/>
  <c r="J328" i="1" a="1"/>
  <c r="J328" i="1" s="1"/>
  <c r="G328" i="1" a="1"/>
  <c r="G328" i="1" s="1"/>
  <c r="D328" i="1"/>
  <c r="W327" i="1"/>
  <c r="U327" i="1"/>
  <c r="U327" i="1" a="1"/>
  <c r="S327" i="1"/>
  <c r="P327" i="1"/>
  <c r="P327" i="1" a="1"/>
  <c r="N327" i="1"/>
  <c r="J327" i="1" a="1"/>
  <c r="J327" i="1" s="1"/>
  <c r="G327" i="1"/>
  <c r="G327" i="1" a="1"/>
  <c r="D327" i="1"/>
  <c r="W326" i="1"/>
  <c r="U326" i="1"/>
  <c r="U326" i="1" a="1"/>
  <c r="S326" i="1"/>
  <c r="P326" i="1"/>
  <c r="P326" i="1" a="1"/>
  <c r="N326" i="1"/>
  <c r="J326" i="1" a="1"/>
  <c r="J326" i="1" s="1"/>
  <c r="G326" i="1" a="1"/>
  <c r="G326" i="1" s="1"/>
  <c r="D326" i="1"/>
  <c r="W325" i="1"/>
  <c r="U325" i="1" a="1"/>
  <c r="U325" i="1" s="1"/>
  <c r="S325" i="1"/>
  <c r="P325" i="1" a="1"/>
  <c r="P325" i="1" s="1"/>
  <c r="N325" i="1"/>
  <c r="J325" i="1" a="1"/>
  <c r="J325" i="1" s="1"/>
  <c r="G325" i="1" a="1"/>
  <c r="G325" i="1" s="1"/>
  <c r="D325" i="1"/>
  <c r="W324" i="1"/>
  <c r="U324" i="1" a="1"/>
  <c r="U324" i="1" s="1"/>
  <c r="S324" i="1"/>
  <c r="P324" i="1" a="1"/>
  <c r="P324" i="1" s="1"/>
  <c r="N324" i="1"/>
  <c r="J324" i="1" a="1"/>
  <c r="J324" i="1" s="1"/>
  <c r="G324" i="1" a="1"/>
  <c r="G324" i="1" s="1"/>
  <c r="D324" i="1"/>
  <c r="W323" i="1"/>
  <c r="U323" i="1" a="1"/>
  <c r="U323" i="1" s="1"/>
  <c r="S323" i="1"/>
  <c r="P323" i="1" a="1"/>
  <c r="P323" i="1" s="1"/>
  <c r="N323" i="1"/>
  <c r="J323" i="1" a="1"/>
  <c r="J323" i="1" s="1"/>
  <c r="G323" i="1" a="1"/>
  <c r="G323" i="1" s="1"/>
  <c r="D323" i="1"/>
  <c r="W322" i="1"/>
  <c r="U322" i="1" a="1"/>
  <c r="U322" i="1" s="1"/>
  <c r="S322" i="1"/>
  <c r="P322" i="1"/>
  <c r="P322" i="1" a="1"/>
  <c r="N322" i="1"/>
  <c r="J322" i="1" a="1"/>
  <c r="J322" i="1" s="1"/>
  <c r="G322" i="1" a="1"/>
  <c r="G322" i="1" s="1"/>
  <c r="D322" i="1"/>
  <c r="W321" i="1"/>
  <c r="U321" i="1"/>
  <c r="U321" i="1" a="1"/>
  <c r="S321" i="1"/>
  <c r="P321" i="1"/>
  <c r="P321" i="1" a="1"/>
  <c r="N321" i="1"/>
  <c r="J321" i="1" a="1"/>
  <c r="J321" i="1" s="1"/>
  <c r="G321" i="1" a="1"/>
  <c r="G321" i="1" s="1"/>
  <c r="D321" i="1"/>
  <c r="W320" i="1"/>
  <c r="U320" i="1" a="1"/>
  <c r="U320" i="1" s="1"/>
  <c r="S320" i="1"/>
  <c r="P320" i="1"/>
  <c r="P320" i="1" a="1"/>
  <c r="N320" i="1"/>
  <c r="J320" i="1" a="1"/>
  <c r="J320" i="1" s="1"/>
  <c r="G320" i="1" a="1"/>
  <c r="G320" i="1" s="1"/>
  <c r="D320" i="1"/>
  <c r="W319" i="1"/>
  <c r="U319" i="1" a="1"/>
  <c r="U319" i="1" s="1"/>
  <c r="S319" i="1"/>
  <c r="P319" i="1"/>
  <c r="P319" i="1" a="1"/>
  <c r="N319" i="1"/>
  <c r="J319" i="1"/>
  <c r="J319" i="1" a="1"/>
  <c r="G319" i="1" a="1"/>
  <c r="G319" i="1" s="1"/>
  <c r="D319" i="1"/>
  <c r="W318" i="1"/>
  <c r="U318" i="1" a="1"/>
  <c r="U318" i="1" s="1"/>
  <c r="S318" i="1"/>
  <c r="P318" i="1"/>
  <c r="P318" i="1" a="1"/>
  <c r="N318" i="1"/>
  <c r="J318" i="1" a="1"/>
  <c r="J318" i="1" s="1"/>
  <c r="G318" i="1" a="1"/>
  <c r="G318" i="1" s="1"/>
  <c r="D318" i="1"/>
  <c r="W317" i="1"/>
  <c r="U317" i="1" a="1"/>
  <c r="U317" i="1" s="1"/>
  <c r="S317" i="1"/>
  <c r="P317" i="1" a="1"/>
  <c r="P317" i="1" s="1"/>
  <c r="N317" i="1"/>
  <c r="J317" i="1" a="1"/>
  <c r="J317" i="1" s="1"/>
  <c r="G317" i="1" a="1"/>
  <c r="G317" i="1" s="1"/>
  <c r="D317" i="1"/>
  <c r="W316" i="1"/>
  <c r="U316" i="1" a="1"/>
  <c r="U316" i="1" s="1"/>
  <c r="S316" i="1"/>
  <c r="P316" i="1"/>
  <c r="P316" i="1" a="1"/>
  <c r="N316" i="1"/>
  <c r="J316" i="1" a="1"/>
  <c r="J316" i="1" s="1"/>
  <c r="G316" i="1" a="1"/>
  <c r="G316" i="1" s="1"/>
  <c r="D316" i="1"/>
  <c r="W315" i="1"/>
  <c r="U315" i="1" a="1"/>
  <c r="U315" i="1" s="1"/>
  <c r="S315" i="1"/>
  <c r="P315" i="1"/>
  <c r="P315" i="1" a="1"/>
  <c r="N315" i="1"/>
  <c r="J315" i="1" a="1"/>
  <c r="J315" i="1" s="1"/>
  <c r="G315" i="1"/>
  <c r="G315" i="1" a="1"/>
  <c r="D315" i="1"/>
  <c r="W314" i="1"/>
  <c r="U314" i="1" a="1"/>
  <c r="U314" i="1" s="1"/>
  <c r="S314" i="1"/>
  <c r="P314" i="1"/>
  <c r="P314" i="1" a="1"/>
  <c r="N314" i="1"/>
  <c r="J314" i="1"/>
  <c r="J314" i="1" a="1"/>
  <c r="G314" i="1"/>
  <c r="G314" i="1" a="1"/>
  <c r="D314" i="1"/>
  <c r="W313" i="1"/>
  <c r="U313" i="1" a="1"/>
  <c r="U313" i="1" s="1"/>
  <c r="S313" i="1"/>
  <c r="P313" i="1"/>
  <c r="P313" i="1" a="1"/>
  <c r="N313" i="1"/>
  <c r="J313" i="1"/>
  <c r="J313" i="1" a="1"/>
  <c r="G313" i="1" a="1"/>
  <c r="G313" i="1" s="1"/>
  <c r="D313" i="1"/>
  <c r="W312" i="1"/>
  <c r="U312" i="1" a="1"/>
  <c r="U312" i="1" s="1"/>
  <c r="S312" i="1"/>
  <c r="P312" i="1"/>
  <c r="P312" i="1" a="1"/>
  <c r="N312" i="1"/>
  <c r="J312" i="1" a="1"/>
  <c r="J312" i="1" s="1"/>
  <c r="G312" i="1" a="1"/>
  <c r="G312" i="1" s="1"/>
  <c r="D312" i="1"/>
  <c r="W311" i="1"/>
  <c r="U311" i="1" a="1"/>
  <c r="U311" i="1" s="1"/>
  <c r="S311" i="1"/>
  <c r="P311" i="1" a="1"/>
  <c r="P311" i="1" s="1"/>
  <c r="N311" i="1"/>
  <c r="J311" i="1" a="1"/>
  <c r="J311" i="1" s="1"/>
  <c r="G311" i="1" a="1"/>
  <c r="G311" i="1" s="1"/>
  <c r="D311" i="1"/>
  <c r="W310" i="1"/>
  <c r="U310" i="1" a="1"/>
  <c r="U310" i="1" s="1"/>
  <c r="S310" i="1"/>
  <c r="P310" i="1"/>
  <c r="P310" i="1" a="1"/>
  <c r="N310" i="1"/>
  <c r="J310" i="1" a="1"/>
  <c r="J310" i="1" s="1"/>
  <c r="G310" i="1" a="1"/>
  <c r="G310" i="1" s="1"/>
  <c r="D310" i="1"/>
  <c r="W309" i="1"/>
  <c r="U309" i="1"/>
  <c r="U309" i="1" a="1"/>
  <c r="S309" i="1"/>
  <c r="P309" i="1"/>
  <c r="P309" i="1" a="1"/>
  <c r="N309" i="1"/>
  <c r="J309" i="1" a="1"/>
  <c r="J309" i="1" s="1"/>
  <c r="G309" i="1"/>
  <c r="G309" i="1" a="1"/>
  <c r="D309" i="1"/>
  <c r="W308" i="1"/>
  <c r="U308" i="1" a="1"/>
  <c r="U308" i="1" s="1"/>
  <c r="S308" i="1"/>
  <c r="P308" i="1"/>
  <c r="P308" i="1" a="1"/>
  <c r="N308" i="1"/>
  <c r="J308" i="1"/>
  <c r="J308" i="1" a="1"/>
  <c r="G308" i="1"/>
  <c r="G308" i="1" a="1"/>
  <c r="D308" i="1"/>
  <c r="W307" i="1"/>
  <c r="U307" i="1" a="1"/>
  <c r="U307" i="1" s="1"/>
  <c r="S307" i="1"/>
  <c r="P307" i="1"/>
  <c r="P307" i="1" a="1"/>
  <c r="N307" i="1"/>
  <c r="J307" i="1" a="1"/>
  <c r="J307" i="1" s="1"/>
  <c r="G307" i="1" a="1"/>
  <c r="G307" i="1" s="1"/>
  <c r="D307" i="1"/>
  <c r="W306" i="1"/>
  <c r="U306" i="1" a="1"/>
  <c r="U306" i="1" s="1"/>
  <c r="S306" i="1"/>
  <c r="P306" i="1" a="1"/>
  <c r="P306" i="1" s="1"/>
  <c r="N306" i="1"/>
  <c r="J306" i="1" a="1"/>
  <c r="J306" i="1" s="1"/>
  <c r="G306" i="1" a="1"/>
  <c r="G306" i="1" s="1"/>
  <c r="D306" i="1"/>
  <c r="W305" i="1"/>
  <c r="U305" i="1" a="1"/>
  <c r="U305" i="1" s="1"/>
  <c r="S305" i="1"/>
  <c r="P305" i="1" a="1"/>
  <c r="P305" i="1" s="1"/>
  <c r="N305" i="1"/>
  <c r="J305" i="1" a="1"/>
  <c r="J305" i="1" s="1"/>
  <c r="G305" i="1" a="1"/>
  <c r="G305" i="1" s="1"/>
  <c r="D305" i="1"/>
  <c r="W304" i="1"/>
  <c r="U304" i="1" a="1"/>
  <c r="U304" i="1" s="1"/>
  <c r="S304" i="1"/>
  <c r="P304" i="1"/>
  <c r="P304" i="1" a="1"/>
  <c r="N304" i="1"/>
  <c r="J304" i="1" a="1"/>
  <c r="J304" i="1" s="1"/>
  <c r="G304" i="1" a="1"/>
  <c r="G304" i="1" s="1"/>
  <c r="D304" i="1"/>
  <c r="W303" i="1"/>
  <c r="U303" i="1"/>
  <c r="U303" i="1" a="1"/>
  <c r="S303" i="1"/>
  <c r="P303" i="1"/>
  <c r="P303" i="1" a="1"/>
  <c r="N303" i="1"/>
  <c r="J303" i="1" a="1"/>
  <c r="J303" i="1" s="1"/>
  <c r="G303" i="1" a="1"/>
  <c r="G303" i="1" s="1"/>
  <c r="D303" i="1"/>
  <c r="W302" i="1"/>
  <c r="U302" i="1" a="1"/>
  <c r="U302" i="1" s="1"/>
  <c r="S302" i="1"/>
  <c r="P302" i="1"/>
  <c r="P302" i="1" a="1"/>
  <c r="N302" i="1"/>
  <c r="J302" i="1" a="1"/>
  <c r="J302" i="1" s="1"/>
  <c r="G302" i="1" a="1"/>
  <c r="G302" i="1" s="1"/>
  <c r="D302" i="1"/>
  <c r="W301" i="1"/>
  <c r="U301" i="1" a="1"/>
  <c r="U301" i="1" s="1"/>
  <c r="S301" i="1"/>
  <c r="P301" i="1"/>
  <c r="P301" i="1" a="1"/>
  <c r="N301" i="1"/>
  <c r="J301" i="1"/>
  <c r="J301" i="1" a="1"/>
  <c r="G301" i="1" a="1"/>
  <c r="G301" i="1" s="1"/>
  <c r="D301" i="1"/>
  <c r="W300" i="1"/>
  <c r="U300" i="1" a="1"/>
  <c r="U300" i="1" s="1"/>
  <c r="S300" i="1"/>
  <c r="P300" i="1"/>
  <c r="P300" i="1" a="1"/>
  <c r="N300" i="1"/>
  <c r="J300" i="1" a="1"/>
  <c r="J300" i="1" s="1"/>
  <c r="G300" i="1" a="1"/>
  <c r="G300" i="1" s="1"/>
  <c r="D300" i="1"/>
  <c r="W299" i="1"/>
  <c r="U299" i="1" a="1"/>
  <c r="U299" i="1" s="1"/>
  <c r="S299" i="1"/>
  <c r="P299" i="1" a="1"/>
  <c r="P299" i="1" s="1"/>
  <c r="N299" i="1"/>
  <c r="J299" i="1" a="1"/>
  <c r="J299" i="1" s="1"/>
  <c r="G299" i="1" a="1"/>
  <c r="G299" i="1" s="1"/>
  <c r="D299" i="1"/>
  <c r="W298" i="1"/>
  <c r="U298" i="1" a="1"/>
  <c r="U298" i="1" s="1"/>
  <c r="S298" i="1"/>
  <c r="P298" i="1"/>
  <c r="P298" i="1" a="1"/>
  <c r="N298" i="1"/>
  <c r="J298" i="1" a="1"/>
  <c r="J298" i="1" s="1"/>
  <c r="G298" i="1" a="1"/>
  <c r="G298" i="1" s="1"/>
  <c r="D298" i="1"/>
  <c r="W297" i="1"/>
  <c r="U297" i="1" a="1"/>
  <c r="U297" i="1" s="1"/>
  <c r="S297" i="1"/>
  <c r="P297" i="1"/>
  <c r="P297" i="1" a="1"/>
  <c r="N297" i="1"/>
  <c r="J297" i="1" a="1"/>
  <c r="J297" i="1" s="1"/>
  <c r="G297" i="1"/>
  <c r="G297" i="1" a="1"/>
  <c r="D297" i="1"/>
  <c r="W296" i="1"/>
  <c r="U296" i="1" a="1"/>
  <c r="U296" i="1" s="1"/>
  <c r="S296" i="1"/>
  <c r="P296" i="1"/>
  <c r="P296" i="1" a="1"/>
  <c r="N296" i="1"/>
  <c r="J296" i="1"/>
  <c r="J296" i="1" a="1"/>
  <c r="G296" i="1"/>
  <c r="G296" i="1" a="1"/>
  <c r="D296" i="1"/>
  <c r="W295" i="1"/>
  <c r="U295" i="1" a="1"/>
  <c r="U295" i="1" s="1"/>
  <c r="S295" i="1"/>
  <c r="P295" i="1"/>
  <c r="P295" i="1" a="1"/>
  <c r="N295" i="1"/>
  <c r="J295" i="1"/>
  <c r="J295" i="1" a="1"/>
  <c r="G295" i="1" a="1"/>
  <c r="G295" i="1" s="1"/>
  <c r="D295" i="1"/>
  <c r="W294" i="1"/>
  <c r="U294" i="1" a="1"/>
  <c r="U294" i="1" s="1"/>
  <c r="S294" i="1"/>
  <c r="P294" i="1"/>
  <c r="P294" i="1" a="1"/>
  <c r="N294" i="1"/>
  <c r="J294" i="1" a="1"/>
  <c r="J294" i="1" s="1"/>
  <c r="G294" i="1" a="1"/>
  <c r="G294" i="1" s="1"/>
  <c r="D294" i="1"/>
  <c r="W293" i="1"/>
  <c r="U293" i="1" a="1"/>
  <c r="U293" i="1" s="1"/>
  <c r="S293" i="1"/>
  <c r="P293" i="1" a="1"/>
  <c r="P293" i="1" s="1"/>
  <c r="N293" i="1"/>
  <c r="J293" i="1" a="1"/>
  <c r="J293" i="1" s="1"/>
  <c r="G293" i="1" a="1"/>
  <c r="G293" i="1" s="1"/>
  <c r="D293" i="1"/>
  <c r="W292" i="1"/>
  <c r="U292" i="1" a="1"/>
  <c r="U292" i="1" s="1"/>
  <c r="S292" i="1"/>
  <c r="P292" i="1"/>
  <c r="P292" i="1" a="1"/>
  <c r="N292" i="1"/>
  <c r="J292" i="1" a="1"/>
  <c r="J292" i="1" s="1"/>
  <c r="G292" i="1" a="1"/>
  <c r="G292" i="1" s="1"/>
  <c r="D292" i="1"/>
  <c r="W291" i="1"/>
  <c r="U291" i="1"/>
  <c r="U291" i="1" a="1"/>
  <c r="S291" i="1"/>
  <c r="P291" i="1"/>
  <c r="P291" i="1" a="1"/>
  <c r="N291" i="1"/>
  <c r="J291" i="1" a="1"/>
  <c r="J291" i="1" s="1"/>
  <c r="G291" i="1"/>
  <c r="G291" i="1" a="1"/>
  <c r="D291" i="1"/>
  <c r="W290" i="1"/>
  <c r="U290" i="1" a="1"/>
  <c r="U290" i="1" s="1"/>
  <c r="S290" i="1"/>
  <c r="P290" i="1"/>
  <c r="P290" i="1" a="1"/>
  <c r="N290" i="1"/>
  <c r="J290" i="1"/>
  <c r="J290" i="1" a="1"/>
  <c r="G290" i="1"/>
  <c r="G290" i="1" a="1"/>
  <c r="D290" i="1"/>
  <c r="W289" i="1"/>
  <c r="U289" i="1" a="1"/>
  <c r="U289" i="1" s="1"/>
  <c r="S289" i="1"/>
  <c r="P289" i="1"/>
  <c r="P289" i="1" a="1"/>
  <c r="N289" i="1"/>
  <c r="J289" i="1" a="1"/>
  <c r="J289" i="1" s="1"/>
  <c r="G289" i="1" a="1"/>
  <c r="G289" i="1" s="1"/>
  <c r="D289" i="1"/>
  <c r="W288" i="1"/>
  <c r="U288" i="1" a="1"/>
  <c r="U288" i="1" s="1"/>
  <c r="S288" i="1"/>
  <c r="P288" i="1" a="1"/>
  <c r="P288" i="1" s="1"/>
  <c r="N288" i="1"/>
  <c r="J288" i="1" a="1"/>
  <c r="J288" i="1" s="1"/>
  <c r="G288" i="1" a="1"/>
  <c r="G288" i="1" s="1"/>
  <c r="D288" i="1"/>
  <c r="W287" i="1"/>
  <c r="U287" i="1" a="1"/>
  <c r="U287" i="1" s="1"/>
  <c r="S287" i="1"/>
  <c r="P287" i="1" a="1"/>
  <c r="P287" i="1" s="1"/>
  <c r="N287" i="1"/>
  <c r="J287" i="1" a="1"/>
  <c r="J287" i="1" s="1"/>
  <c r="G287" i="1" a="1"/>
  <c r="G287" i="1" s="1"/>
  <c r="D287" i="1"/>
  <c r="W286" i="1"/>
  <c r="U286" i="1" a="1"/>
  <c r="U286" i="1" s="1"/>
  <c r="S286" i="1"/>
  <c r="P286" i="1"/>
  <c r="P286" i="1" a="1"/>
  <c r="N286" i="1"/>
  <c r="J286" i="1" a="1"/>
  <c r="J286" i="1" s="1"/>
  <c r="G286" i="1" a="1"/>
  <c r="G286" i="1" s="1"/>
  <c r="D286" i="1"/>
  <c r="W285" i="1"/>
  <c r="U285" i="1"/>
  <c r="U285" i="1" a="1"/>
  <c r="S285" i="1"/>
  <c r="P285" i="1"/>
  <c r="P285" i="1" a="1"/>
  <c r="N285" i="1"/>
  <c r="J285" i="1" a="1"/>
  <c r="J285" i="1" s="1"/>
  <c r="G285" i="1" a="1"/>
  <c r="G285" i="1" s="1"/>
  <c r="D285" i="1"/>
  <c r="W284" i="1"/>
  <c r="U284" i="1" a="1"/>
  <c r="U284" i="1" s="1"/>
  <c r="S284" i="1"/>
  <c r="P284" i="1"/>
  <c r="P284" i="1" a="1"/>
  <c r="N284" i="1"/>
  <c r="J284" i="1" a="1"/>
  <c r="J284" i="1" s="1"/>
  <c r="G284" i="1" a="1"/>
  <c r="G284" i="1" s="1"/>
  <c r="D284" i="1"/>
  <c r="W283" i="1"/>
  <c r="U283" i="1" a="1"/>
  <c r="U283" i="1" s="1"/>
  <c r="S283" i="1"/>
  <c r="P283" i="1"/>
  <c r="P283" i="1" a="1"/>
  <c r="N283" i="1"/>
  <c r="J283" i="1"/>
  <c r="J283" i="1" a="1"/>
  <c r="G283" i="1" a="1"/>
  <c r="G283" i="1" s="1"/>
  <c r="D283" i="1"/>
  <c r="W282" i="1"/>
  <c r="U282" i="1" a="1"/>
  <c r="U282" i="1" s="1"/>
  <c r="S282" i="1"/>
  <c r="P282" i="1"/>
  <c r="P282" i="1" a="1"/>
  <c r="N282" i="1"/>
  <c r="J282" i="1" a="1"/>
  <c r="J282" i="1" s="1"/>
  <c r="G282" i="1" a="1"/>
  <c r="G282" i="1" s="1"/>
  <c r="D282" i="1"/>
  <c r="W281" i="1"/>
  <c r="U281" i="1" a="1"/>
  <c r="U281" i="1" s="1"/>
  <c r="S281" i="1"/>
  <c r="P281" i="1" a="1"/>
  <c r="P281" i="1" s="1"/>
  <c r="N281" i="1"/>
  <c r="J281" i="1" a="1"/>
  <c r="J281" i="1" s="1"/>
  <c r="G281" i="1"/>
  <c r="G281" i="1" a="1"/>
  <c r="D281" i="1"/>
  <c r="W280" i="1"/>
  <c r="U280" i="1" a="1"/>
  <c r="U280" i="1" s="1"/>
  <c r="S280" i="1"/>
  <c r="P280" i="1"/>
  <c r="P280" i="1" a="1"/>
  <c r="N280" i="1"/>
  <c r="J280" i="1"/>
  <c r="J280" i="1" a="1"/>
  <c r="G280" i="1" a="1"/>
  <c r="G280" i="1" s="1"/>
  <c r="D280" i="1"/>
  <c r="W279" i="1"/>
  <c r="U279" i="1"/>
  <c r="U279" i="1" a="1"/>
  <c r="S279" i="1"/>
  <c r="P279" i="1" a="1"/>
  <c r="P279" i="1" s="1"/>
  <c r="N279" i="1"/>
  <c r="J279" i="1" a="1"/>
  <c r="J279" i="1" s="1"/>
  <c r="G279" i="1" a="1"/>
  <c r="G279" i="1" s="1"/>
  <c r="D279" i="1"/>
  <c r="W278" i="1"/>
  <c r="U278" i="1" a="1"/>
  <c r="U278" i="1" s="1"/>
  <c r="S278" i="1"/>
  <c r="P278" i="1" a="1"/>
  <c r="P278" i="1" s="1"/>
  <c r="N278" i="1"/>
  <c r="J278" i="1"/>
  <c r="J278" i="1" a="1"/>
  <c r="G278" i="1"/>
  <c r="G278" i="1" a="1"/>
  <c r="D278" i="1"/>
  <c r="W277" i="1"/>
  <c r="U277" i="1" a="1"/>
  <c r="U277" i="1" s="1"/>
  <c r="S277" i="1"/>
  <c r="P277" i="1"/>
  <c r="P277" i="1" a="1"/>
  <c r="N277" i="1"/>
  <c r="J277" i="1" a="1"/>
  <c r="J277" i="1" s="1"/>
  <c r="G277" i="1" a="1"/>
  <c r="G277" i="1" s="1"/>
  <c r="D277" i="1"/>
  <c r="W276" i="1"/>
  <c r="U276" i="1"/>
  <c r="U276" i="1" a="1"/>
  <c r="S276" i="1"/>
  <c r="P276" i="1" a="1"/>
  <c r="P276" i="1" s="1"/>
  <c r="N276" i="1"/>
  <c r="J276" i="1" a="1"/>
  <c r="J276" i="1" s="1"/>
  <c r="G276" i="1" a="1"/>
  <c r="G276" i="1" s="1"/>
  <c r="D276" i="1"/>
  <c r="W275" i="1"/>
  <c r="U275" i="1" a="1"/>
  <c r="U275" i="1" s="1"/>
  <c r="S275" i="1"/>
  <c r="P275" i="1" a="1"/>
  <c r="P275" i="1" s="1"/>
  <c r="N275" i="1"/>
  <c r="J275" i="1" a="1"/>
  <c r="J275" i="1" s="1"/>
  <c r="G275" i="1" a="1"/>
  <c r="G275" i="1" s="1"/>
  <c r="D275" i="1"/>
  <c r="W274" i="1"/>
  <c r="U274" i="1" a="1"/>
  <c r="U274" i="1" s="1"/>
  <c r="S274" i="1"/>
  <c r="P274" i="1"/>
  <c r="P274" i="1" a="1"/>
  <c r="N274" i="1"/>
  <c r="J274" i="1" a="1"/>
  <c r="J274" i="1" s="1"/>
  <c r="G274" i="1" a="1"/>
  <c r="G274" i="1" s="1"/>
  <c r="D274" i="1"/>
  <c r="W273" i="1"/>
  <c r="U273" i="1"/>
  <c r="U273" i="1" a="1"/>
  <c r="S273" i="1"/>
  <c r="P273" i="1"/>
  <c r="P273" i="1" a="1"/>
  <c r="N273" i="1"/>
  <c r="J273" i="1" a="1"/>
  <c r="J273" i="1" s="1"/>
  <c r="G273" i="1" a="1"/>
  <c r="G273" i="1" s="1"/>
  <c r="D273" i="1"/>
  <c r="W272" i="1"/>
  <c r="U272" i="1" a="1"/>
  <c r="U272" i="1" s="1"/>
  <c r="S272" i="1"/>
  <c r="P272" i="1"/>
  <c r="P272" i="1" a="1"/>
  <c r="N272" i="1"/>
  <c r="J272" i="1" a="1"/>
  <c r="J272" i="1" s="1"/>
  <c r="G272" i="1" a="1"/>
  <c r="G272" i="1" s="1"/>
  <c r="D272" i="1"/>
  <c r="W271" i="1"/>
  <c r="U271" i="1" a="1"/>
  <c r="U271" i="1" s="1"/>
  <c r="S271" i="1"/>
  <c r="P271" i="1"/>
  <c r="P271" i="1" a="1"/>
  <c r="N271" i="1"/>
  <c r="J271" i="1" a="1"/>
  <c r="J271" i="1" s="1"/>
  <c r="G271" i="1" a="1"/>
  <c r="G271" i="1" s="1"/>
  <c r="D271" i="1"/>
  <c r="W270" i="1"/>
  <c r="U270" i="1" a="1"/>
  <c r="U270" i="1" s="1"/>
  <c r="S270" i="1"/>
  <c r="P270" i="1" a="1"/>
  <c r="P270" i="1" s="1"/>
  <c r="N270" i="1"/>
  <c r="J270" i="1" a="1"/>
  <c r="J270" i="1" s="1"/>
  <c r="G270" i="1" a="1"/>
  <c r="G270" i="1" s="1"/>
  <c r="D270" i="1"/>
  <c r="W269" i="1"/>
  <c r="U269" i="1" a="1"/>
  <c r="U269" i="1" s="1"/>
  <c r="S269" i="1"/>
  <c r="P269" i="1"/>
  <c r="P269" i="1" a="1"/>
  <c r="N269" i="1"/>
  <c r="J269" i="1" a="1"/>
  <c r="J269" i="1" s="1"/>
  <c r="G269" i="1" a="1"/>
  <c r="G269" i="1" s="1"/>
  <c r="D269" i="1"/>
  <c r="W268" i="1"/>
  <c r="U268" i="1"/>
  <c r="U268" i="1" a="1"/>
  <c r="S268" i="1"/>
  <c r="P268" i="1"/>
  <c r="P268" i="1" a="1"/>
  <c r="N268" i="1"/>
  <c r="J268" i="1" a="1"/>
  <c r="J268" i="1" s="1"/>
  <c r="G268" i="1" a="1"/>
  <c r="G268" i="1" s="1"/>
  <c r="D268" i="1"/>
  <c r="W267" i="1"/>
  <c r="U267" i="1" a="1"/>
  <c r="U267" i="1" s="1"/>
  <c r="S267" i="1"/>
  <c r="P267" i="1" a="1"/>
  <c r="P267" i="1" s="1"/>
  <c r="N267" i="1"/>
  <c r="J267" i="1" a="1"/>
  <c r="J267" i="1" s="1"/>
  <c r="G267" i="1" a="1"/>
  <c r="G267" i="1" s="1"/>
  <c r="D267" i="1"/>
  <c r="W266" i="1"/>
  <c r="U266" i="1" a="1"/>
  <c r="U266" i="1" s="1"/>
  <c r="S266" i="1"/>
  <c r="P266" i="1" a="1"/>
  <c r="P266" i="1" s="1"/>
  <c r="N266" i="1"/>
  <c r="J266" i="1" a="1"/>
  <c r="J266" i="1" s="1"/>
  <c r="G266" i="1" a="1"/>
  <c r="G266" i="1" s="1"/>
  <c r="D266" i="1"/>
  <c r="W265" i="1"/>
  <c r="U265" i="1"/>
  <c r="U265" i="1" a="1"/>
  <c r="S265" i="1"/>
  <c r="P265" i="1"/>
  <c r="P265" i="1" a="1"/>
  <c r="N265" i="1"/>
  <c r="J265" i="1" a="1"/>
  <c r="J265" i="1" s="1"/>
  <c r="G265" i="1" a="1"/>
  <c r="G265" i="1" s="1"/>
  <c r="D265" i="1"/>
  <c r="W264" i="1"/>
  <c r="U264" i="1"/>
  <c r="U264" i="1" a="1"/>
  <c r="S264" i="1"/>
  <c r="P264" i="1" a="1"/>
  <c r="P264" i="1" s="1"/>
  <c r="N264" i="1"/>
  <c r="J264" i="1" a="1"/>
  <c r="J264" i="1" s="1"/>
  <c r="G264" i="1"/>
  <c r="G264" i="1" a="1"/>
  <c r="D264" i="1"/>
  <c r="W263" i="1"/>
  <c r="U263" i="1" a="1"/>
  <c r="U263" i="1" s="1"/>
  <c r="S263" i="1"/>
  <c r="P263" i="1" a="1"/>
  <c r="P263" i="1" s="1"/>
  <c r="N263" i="1"/>
  <c r="J263" i="1" a="1"/>
  <c r="J263" i="1" s="1"/>
  <c r="G263" i="1"/>
  <c r="G263" i="1" a="1"/>
  <c r="D263" i="1"/>
  <c r="W262" i="1"/>
  <c r="U262" i="1" a="1"/>
  <c r="U262" i="1" s="1"/>
  <c r="S262" i="1"/>
  <c r="P262" i="1"/>
  <c r="P262" i="1" a="1"/>
  <c r="N262" i="1"/>
  <c r="J262" i="1"/>
  <c r="J262" i="1" a="1"/>
  <c r="G262" i="1" a="1"/>
  <c r="G262" i="1" s="1"/>
  <c r="D262" i="1"/>
  <c r="W261" i="1"/>
  <c r="U261" i="1"/>
  <c r="U261" i="1" a="1"/>
  <c r="S261" i="1"/>
  <c r="P261" i="1" a="1"/>
  <c r="P261" i="1" s="1"/>
  <c r="N261" i="1"/>
  <c r="J261" i="1" a="1"/>
  <c r="J261" i="1" s="1"/>
  <c r="G261" i="1" a="1"/>
  <c r="G261" i="1" s="1"/>
  <c r="D261" i="1"/>
  <c r="W260" i="1"/>
  <c r="U260" i="1" a="1"/>
  <c r="U260" i="1" s="1"/>
  <c r="S260" i="1"/>
  <c r="P260" i="1" a="1"/>
  <c r="P260" i="1" s="1"/>
  <c r="N260" i="1"/>
  <c r="J260" i="1"/>
  <c r="J260" i="1" a="1"/>
  <c r="G260" i="1"/>
  <c r="G260" i="1" a="1"/>
  <c r="D260" i="1"/>
  <c r="W259" i="1"/>
  <c r="U259" i="1" a="1"/>
  <c r="U259" i="1" s="1"/>
  <c r="S259" i="1"/>
  <c r="P259" i="1"/>
  <c r="P259" i="1" a="1"/>
  <c r="N259" i="1"/>
  <c r="J259" i="1" a="1"/>
  <c r="J259" i="1" s="1"/>
  <c r="G259" i="1" a="1"/>
  <c r="G259" i="1" s="1"/>
  <c r="D259" i="1"/>
  <c r="W258" i="1"/>
  <c r="U258" i="1"/>
  <c r="U258" i="1" a="1"/>
  <c r="S258" i="1"/>
  <c r="P258" i="1" a="1"/>
  <c r="P258" i="1" s="1"/>
  <c r="N258" i="1"/>
  <c r="J258" i="1" a="1"/>
  <c r="J258" i="1" s="1"/>
  <c r="G258" i="1" a="1"/>
  <c r="G258" i="1" s="1"/>
  <c r="D258" i="1"/>
  <c r="W257" i="1"/>
  <c r="U257" i="1" a="1"/>
  <c r="U257" i="1" s="1"/>
  <c r="S257" i="1"/>
  <c r="P257" i="1" a="1"/>
  <c r="P257" i="1" s="1"/>
  <c r="N257" i="1"/>
  <c r="J257" i="1" a="1"/>
  <c r="J257" i="1" s="1"/>
  <c r="G257" i="1" a="1"/>
  <c r="G257" i="1" s="1"/>
  <c r="D257" i="1"/>
  <c r="W256" i="1"/>
  <c r="U256" i="1" a="1"/>
  <c r="U256" i="1" s="1"/>
  <c r="S256" i="1"/>
  <c r="P256" i="1"/>
  <c r="P256" i="1" a="1"/>
  <c r="N256" i="1"/>
  <c r="J256" i="1" a="1"/>
  <c r="J256" i="1" s="1"/>
  <c r="G256" i="1" a="1"/>
  <c r="G256" i="1" s="1"/>
  <c r="D256" i="1"/>
  <c r="W255" i="1"/>
  <c r="U255" i="1" a="1"/>
  <c r="U255" i="1" s="1"/>
  <c r="S255" i="1"/>
  <c r="P255" i="1" a="1"/>
  <c r="P255" i="1" s="1"/>
  <c r="N255" i="1"/>
  <c r="J255" i="1" a="1"/>
  <c r="J255" i="1" s="1"/>
  <c r="G255" i="1" a="1"/>
  <c r="G255" i="1" s="1"/>
  <c r="D255" i="1"/>
  <c r="W254" i="1"/>
  <c r="U254" i="1" a="1"/>
  <c r="U254" i="1" s="1"/>
  <c r="S254" i="1"/>
  <c r="P254" i="1"/>
  <c r="P254" i="1" a="1"/>
  <c r="N254" i="1"/>
  <c r="J254" i="1" a="1"/>
  <c r="J254" i="1" s="1"/>
  <c r="G254" i="1" a="1"/>
  <c r="G254" i="1" s="1"/>
  <c r="D254" i="1"/>
  <c r="W253" i="1"/>
  <c r="U253" i="1"/>
  <c r="U253" i="1" a="1"/>
  <c r="S253" i="1"/>
  <c r="P253" i="1"/>
  <c r="P253" i="1" a="1"/>
  <c r="N253" i="1"/>
  <c r="J253" i="1" a="1"/>
  <c r="J253" i="1" s="1"/>
  <c r="G253" i="1" a="1"/>
  <c r="G253" i="1" s="1"/>
  <c r="D253" i="1"/>
  <c r="W252" i="1"/>
  <c r="U252" i="1" a="1"/>
  <c r="U252" i="1" s="1"/>
  <c r="S252" i="1"/>
  <c r="P252" i="1"/>
  <c r="P252" i="1" a="1"/>
  <c r="N252" i="1"/>
  <c r="J252" i="1" a="1"/>
  <c r="J252" i="1" s="1"/>
  <c r="G252" i="1"/>
  <c r="G252" i="1" a="1"/>
  <c r="D252" i="1"/>
  <c r="W251" i="1"/>
  <c r="U251" i="1" a="1"/>
  <c r="U251" i="1" s="1"/>
  <c r="S251" i="1"/>
  <c r="P251" i="1"/>
  <c r="P251" i="1" a="1"/>
  <c r="N251" i="1"/>
  <c r="J251" i="1"/>
  <c r="J251" i="1" a="1"/>
  <c r="G251" i="1" a="1"/>
  <c r="G251" i="1" s="1"/>
  <c r="D251" i="1"/>
  <c r="W250" i="1"/>
  <c r="U250" i="1" a="1"/>
  <c r="U250" i="1" s="1"/>
  <c r="S250" i="1"/>
  <c r="P250" i="1"/>
  <c r="P250" i="1" a="1"/>
  <c r="N250" i="1"/>
  <c r="J250" i="1" a="1"/>
  <c r="J250" i="1" s="1"/>
  <c r="G250" i="1" a="1"/>
  <c r="G250" i="1" s="1"/>
  <c r="D250" i="1"/>
  <c r="W249" i="1"/>
  <c r="U249" i="1" a="1"/>
  <c r="U249" i="1" s="1"/>
  <c r="S249" i="1"/>
  <c r="P249" i="1" a="1"/>
  <c r="P249" i="1" s="1"/>
  <c r="N249" i="1"/>
  <c r="J249" i="1" a="1"/>
  <c r="J249" i="1" s="1"/>
  <c r="G249" i="1" a="1"/>
  <c r="G249" i="1" s="1"/>
  <c r="D249" i="1"/>
  <c r="W248" i="1"/>
  <c r="U248" i="1" a="1"/>
  <c r="U248" i="1" s="1"/>
  <c r="S248" i="1"/>
  <c r="P248" i="1"/>
  <c r="P248" i="1" a="1"/>
  <c r="N248" i="1"/>
  <c r="J248" i="1" a="1"/>
  <c r="J248" i="1" s="1"/>
  <c r="G248" i="1" a="1"/>
  <c r="G248" i="1" s="1"/>
  <c r="D248" i="1"/>
  <c r="W247" i="1"/>
  <c r="U247" i="1" a="1"/>
  <c r="U247" i="1" s="1"/>
  <c r="S247" i="1"/>
  <c r="P247" i="1"/>
  <c r="P247" i="1" a="1"/>
  <c r="N247" i="1"/>
  <c r="J247" i="1" a="1"/>
  <c r="J247" i="1" s="1"/>
  <c r="G247" i="1" a="1"/>
  <c r="G247" i="1" s="1"/>
  <c r="D247" i="1"/>
  <c r="W246" i="1"/>
  <c r="U246" i="1" a="1"/>
  <c r="U246" i="1" s="1"/>
  <c r="S246" i="1"/>
  <c r="P246" i="1"/>
  <c r="P246" i="1" a="1"/>
  <c r="N246" i="1"/>
  <c r="J246" i="1" a="1"/>
  <c r="J246" i="1" s="1"/>
  <c r="G246" i="1" a="1"/>
  <c r="G246" i="1" s="1"/>
  <c r="D246" i="1"/>
  <c r="W245" i="1"/>
  <c r="U245" i="1" a="1"/>
  <c r="U245" i="1" s="1"/>
  <c r="S245" i="1"/>
  <c r="P245" i="1"/>
  <c r="P245" i="1" a="1"/>
  <c r="N245" i="1"/>
  <c r="J245" i="1" a="1"/>
  <c r="J245" i="1" s="1"/>
  <c r="G245" i="1" a="1"/>
  <c r="G245" i="1" s="1"/>
  <c r="D245" i="1"/>
  <c r="W244" i="1"/>
  <c r="U244" i="1" a="1"/>
  <c r="U244" i="1" s="1"/>
  <c r="S244" i="1"/>
  <c r="P244" i="1"/>
  <c r="P244" i="1" a="1"/>
  <c r="N244" i="1"/>
  <c r="J244" i="1" a="1"/>
  <c r="J244" i="1" s="1"/>
  <c r="G244" i="1" a="1"/>
  <c r="G244" i="1" s="1"/>
  <c r="D244" i="1"/>
  <c r="W243" i="1"/>
  <c r="U243" i="1" a="1"/>
  <c r="U243" i="1" s="1"/>
  <c r="S243" i="1"/>
  <c r="P243" i="1" a="1"/>
  <c r="P243" i="1" s="1"/>
  <c r="N243" i="1"/>
  <c r="J243" i="1" a="1"/>
  <c r="J243" i="1" s="1"/>
  <c r="G243" i="1" a="1"/>
  <c r="G243" i="1" s="1"/>
  <c r="D243" i="1"/>
  <c r="W242" i="1"/>
  <c r="U242" i="1" a="1"/>
  <c r="U242" i="1" s="1"/>
  <c r="S242" i="1"/>
  <c r="P242" i="1"/>
  <c r="P242" i="1" a="1"/>
  <c r="N242" i="1"/>
  <c r="J242" i="1" a="1"/>
  <c r="J242" i="1" s="1"/>
  <c r="G242" i="1" a="1"/>
  <c r="G242" i="1" s="1"/>
  <c r="D242" i="1"/>
  <c r="W241" i="1"/>
  <c r="U241" i="1"/>
  <c r="U241" i="1" a="1"/>
  <c r="S241" i="1"/>
  <c r="P241" i="1"/>
  <c r="P241" i="1" a="1"/>
  <c r="N241" i="1"/>
  <c r="J241" i="1" a="1"/>
  <c r="J241" i="1" s="1"/>
  <c r="G241" i="1" a="1"/>
  <c r="G241" i="1" s="1"/>
  <c r="D241" i="1"/>
  <c r="W240" i="1"/>
  <c r="U240" i="1" a="1"/>
  <c r="U240" i="1" s="1"/>
  <c r="S240" i="1"/>
  <c r="P240" i="1"/>
  <c r="P240" i="1" a="1"/>
  <c r="N240" i="1"/>
  <c r="J240" i="1" a="1"/>
  <c r="J240" i="1" s="1"/>
  <c r="G240" i="1"/>
  <c r="G240" i="1" a="1"/>
  <c r="D240" i="1"/>
  <c r="W239" i="1"/>
  <c r="U239" i="1" a="1"/>
  <c r="U239" i="1" s="1"/>
  <c r="S239" i="1"/>
  <c r="P239" i="1"/>
  <c r="P239" i="1" a="1"/>
  <c r="N239" i="1"/>
  <c r="J239" i="1"/>
  <c r="J239" i="1" a="1"/>
  <c r="G239" i="1" a="1"/>
  <c r="G239" i="1" s="1"/>
  <c r="D239" i="1"/>
  <c r="W238" i="1"/>
  <c r="U238" i="1" a="1"/>
  <c r="U238" i="1" s="1"/>
  <c r="S238" i="1"/>
  <c r="P238" i="1"/>
  <c r="P238" i="1" a="1"/>
  <c r="N238" i="1"/>
  <c r="J238" i="1" a="1"/>
  <c r="J238" i="1" s="1"/>
  <c r="G238" i="1" a="1"/>
  <c r="G238" i="1" s="1"/>
  <c r="D238" i="1"/>
  <c r="W237" i="1"/>
  <c r="U237" i="1" a="1"/>
  <c r="U237" i="1" s="1"/>
  <c r="S237" i="1"/>
  <c r="P237" i="1" a="1"/>
  <c r="P237" i="1" s="1"/>
  <c r="N237" i="1"/>
  <c r="J237" i="1" a="1"/>
  <c r="J237" i="1" s="1"/>
  <c r="G237" i="1" a="1"/>
  <c r="G237" i="1" s="1"/>
  <c r="D237" i="1"/>
  <c r="W236" i="1"/>
  <c r="U236" i="1" a="1"/>
  <c r="U236" i="1" s="1"/>
  <c r="S236" i="1"/>
  <c r="P236" i="1"/>
  <c r="P236" i="1" a="1"/>
  <c r="N236" i="1"/>
  <c r="J236" i="1" a="1"/>
  <c r="J236" i="1" s="1"/>
  <c r="G236" i="1" a="1"/>
  <c r="G236" i="1" s="1"/>
  <c r="D236" i="1"/>
  <c r="W235" i="1"/>
  <c r="U235" i="1" a="1"/>
  <c r="U235" i="1" s="1"/>
  <c r="S235" i="1"/>
  <c r="P235" i="1"/>
  <c r="P235" i="1" a="1"/>
  <c r="N235" i="1"/>
  <c r="J235" i="1" a="1"/>
  <c r="J235" i="1" s="1"/>
  <c r="G235" i="1" a="1"/>
  <c r="G235" i="1" s="1"/>
  <c r="D235" i="1"/>
  <c r="W234" i="1"/>
  <c r="U234" i="1" a="1"/>
  <c r="U234" i="1" s="1"/>
  <c r="S234" i="1"/>
  <c r="P234" i="1"/>
  <c r="P234" i="1" a="1"/>
  <c r="N234" i="1"/>
  <c r="J234" i="1" a="1"/>
  <c r="J234" i="1" s="1"/>
  <c r="G234" i="1" a="1"/>
  <c r="G234" i="1" s="1"/>
  <c r="D234" i="1"/>
  <c r="W233" i="1"/>
  <c r="U233" i="1" a="1"/>
  <c r="U233" i="1" s="1"/>
  <c r="S233" i="1"/>
  <c r="P233" i="1"/>
  <c r="P233" i="1" a="1"/>
  <c r="N233" i="1"/>
  <c r="J233" i="1" a="1"/>
  <c r="J233" i="1" s="1"/>
  <c r="G233" i="1" a="1"/>
  <c r="G233" i="1" s="1"/>
  <c r="D233" i="1"/>
  <c r="W232" i="1"/>
  <c r="U232" i="1" a="1"/>
  <c r="U232" i="1" s="1"/>
  <c r="S232" i="1"/>
  <c r="P232" i="1"/>
  <c r="P232" i="1" a="1"/>
  <c r="N232" i="1"/>
  <c r="J232" i="1" a="1"/>
  <c r="J232" i="1" s="1"/>
  <c r="G232" i="1" a="1"/>
  <c r="G232" i="1" s="1"/>
  <c r="D232" i="1"/>
  <c r="W231" i="1"/>
  <c r="U231" i="1" a="1"/>
  <c r="U231" i="1" s="1"/>
  <c r="S231" i="1"/>
  <c r="P231" i="1" a="1"/>
  <c r="P231" i="1" s="1"/>
  <c r="N231" i="1"/>
  <c r="J231" i="1" a="1"/>
  <c r="J231" i="1" s="1"/>
  <c r="G231" i="1" a="1"/>
  <c r="G231" i="1" s="1"/>
  <c r="D231" i="1"/>
  <c r="W230" i="1"/>
  <c r="U230" i="1" a="1"/>
  <c r="U230" i="1" s="1"/>
  <c r="S230" i="1"/>
  <c r="P230" i="1"/>
  <c r="P230" i="1" a="1"/>
  <c r="N230" i="1"/>
  <c r="J230" i="1" a="1"/>
  <c r="J230" i="1" s="1"/>
  <c r="G230" i="1" a="1"/>
  <c r="G230" i="1" s="1"/>
  <c r="D230" i="1"/>
  <c r="W229" i="1"/>
  <c r="U229" i="1"/>
  <c r="U229" i="1" a="1"/>
  <c r="S229" i="1"/>
  <c r="P229" i="1"/>
  <c r="P229" i="1" a="1"/>
  <c r="N229" i="1"/>
  <c r="J229" i="1" a="1"/>
  <c r="J229" i="1" s="1"/>
  <c r="G229" i="1" a="1"/>
  <c r="G229" i="1" s="1"/>
  <c r="D229" i="1"/>
  <c r="W228" i="1"/>
  <c r="U228" i="1" a="1"/>
  <c r="U228" i="1" s="1"/>
  <c r="S228" i="1"/>
  <c r="P228" i="1"/>
  <c r="P228" i="1" a="1"/>
  <c r="N228" i="1"/>
  <c r="J228" i="1" a="1"/>
  <c r="J228" i="1" s="1"/>
  <c r="G228" i="1"/>
  <c r="G228" i="1" a="1"/>
  <c r="D228" i="1"/>
  <c r="W227" i="1"/>
  <c r="U227" i="1" a="1"/>
  <c r="U227" i="1" s="1"/>
  <c r="S227" i="1"/>
  <c r="P227" i="1"/>
  <c r="P227" i="1" a="1"/>
  <c r="N227" i="1"/>
  <c r="J227" i="1"/>
  <c r="J227" i="1" a="1"/>
  <c r="G227" i="1" a="1"/>
  <c r="G227" i="1" s="1"/>
  <c r="D227" i="1"/>
  <c r="W226" i="1"/>
  <c r="U226" i="1" a="1"/>
  <c r="U226" i="1" s="1"/>
  <c r="S226" i="1"/>
  <c r="P226" i="1"/>
  <c r="P226" i="1" a="1"/>
  <c r="N226" i="1"/>
  <c r="J226" i="1" a="1"/>
  <c r="J226" i="1" s="1"/>
  <c r="G226" i="1" a="1"/>
  <c r="G226" i="1" s="1"/>
  <c r="D226" i="1"/>
  <c r="W225" i="1"/>
  <c r="U225" i="1" a="1"/>
  <c r="U225" i="1" s="1"/>
  <c r="S225" i="1"/>
  <c r="P225" i="1" a="1"/>
  <c r="P225" i="1" s="1"/>
  <c r="N225" i="1"/>
  <c r="J225" i="1" a="1"/>
  <c r="J225" i="1" s="1"/>
  <c r="G225" i="1" a="1"/>
  <c r="G225" i="1" s="1"/>
  <c r="D225" i="1"/>
  <c r="W224" i="1"/>
  <c r="U224" i="1" a="1"/>
  <c r="U224" i="1" s="1"/>
  <c r="S224" i="1"/>
  <c r="P224" i="1"/>
  <c r="P224" i="1" a="1"/>
  <c r="N224" i="1"/>
  <c r="J224" i="1" a="1"/>
  <c r="J224" i="1" s="1"/>
  <c r="G224" i="1" a="1"/>
  <c r="G224" i="1" s="1"/>
  <c r="D224" i="1"/>
  <c r="W223" i="1"/>
  <c r="U223" i="1" a="1"/>
  <c r="U223" i="1" s="1"/>
  <c r="S223" i="1"/>
  <c r="P223" i="1"/>
  <c r="P223" i="1" a="1"/>
  <c r="N223" i="1"/>
  <c r="J223" i="1" a="1"/>
  <c r="J223" i="1" s="1"/>
  <c r="G223" i="1" a="1"/>
  <c r="G223" i="1" s="1"/>
  <c r="D223" i="1"/>
  <c r="W222" i="1"/>
  <c r="U222" i="1" a="1"/>
  <c r="U222" i="1" s="1"/>
  <c r="S222" i="1"/>
  <c r="P222" i="1"/>
  <c r="P222" i="1" a="1"/>
  <c r="N222" i="1"/>
  <c r="J222" i="1" a="1"/>
  <c r="J222" i="1" s="1"/>
  <c r="G222" i="1" a="1"/>
  <c r="G222" i="1" s="1"/>
  <c r="D222" i="1"/>
  <c r="W221" i="1"/>
  <c r="U221" i="1" a="1"/>
  <c r="U221" i="1" s="1"/>
  <c r="S221" i="1"/>
  <c r="P221" i="1"/>
  <c r="P221" i="1" a="1"/>
  <c r="N221" i="1"/>
  <c r="J221" i="1" a="1"/>
  <c r="J221" i="1" s="1"/>
  <c r="G221" i="1" a="1"/>
  <c r="G221" i="1" s="1"/>
  <c r="D221" i="1"/>
  <c r="W220" i="1"/>
  <c r="U220" i="1" a="1"/>
  <c r="U220" i="1" s="1"/>
  <c r="S220" i="1"/>
  <c r="P220" i="1"/>
  <c r="P220" i="1" a="1"/>
  <c r="N220" i="1"/>
  <c r="J220" i="1" a="1"/>
  <c r="J220" i="1" s="1"/>
  <c r="G220" i="1" a="1"/>
  <c r="G220" i="1" s="1"/>
  <c r="D220" i="1"/>
  <c r="W219" i="1"/>
  <c r="U219" i="1" a="1"/>
  <c r="U219" i="1" s="1"/>
  <c r="S219" i="1"/>
  <c r="P219" i="1" a="1"/>
  <c r="P219" i="1" s="1"/>
  <c r="N219" i="1"/>
  <c r="J219" i="1" a="1"/>
  <c r="J219" i="1" s="1"/>
  <c r="G219" i="1" a="1"/>
  <c r="G219" i="1" s="1"/>
  <c r="D219" i="1"/>
  <c r="W218" i="1"/>
  <c r="U218" i="1" a="1"/>
  <c r="U218" i="1" s="1"/>
  <c r="S218" i="1"/>
  <c r="P218" i="1"/>
  <c r="P218" i="1" a="1"/>
  <c r="N218" i="1"/>
  <c r="J218" i="1" a="1"/>
  <c r="J218" i="1" s="1"/>
  <c r="G218" i="1" a="1"/>
  <c r="G218" i="1" s="1"/>
  <c r="D218" i="1"/>
  <c r="W217" i="1"/>
  <c r="U217" i="1" a="1"/>
  <c r="U217" i="1" s="1"/>
  <c r="S217" i="1"/>
  <c r="P217" i="1"/>
  <c r="P217" i="1" a="1"/>
  <c r="N217" i="1"/>
  <c r="J217" i="1" a="1"/>
  <c r="J217" i="1" s="1"/>
  <c r="G217" i="1" a="1"/>
  <c r="G217" i="1" s="1"/>
  <c r="D217" i="1"/>
  <c r="W216" i="1"/>
  <c r="U216" i="1" a="1"/>
  <c r="U216" i="1" s="1"/>
  <c r="S216" i="1"/>
  <c r="P216" i="1"/>
  <c r="P216" i="1" a="1"/>
  <c r="N216" i="1"/>
  <c r="J216" i="1" a="1"/>
  <c r="J216" i="1" s="1"/>
  <c r="G216" i="1" a="1"/>
  <c r="G216" i="1" s="1"/>
  <c r="D216" i="1"/>
  <c r="W215" i="1"/>
  <c r="U215" i="1" a="1"/>
  <c r="U215" i="1" s="1"/>
  <c r="S215" i="1"/>
  <c r="P215" i="1"/>
  <c r="P215" i="1" a="1"/>
  <c r="N215" i="1"/>
  <c r="J215" i="1" a="1"/>
  <c r="J215" i="1" s="1"/>
  <c r="G215" i="1" a="1"/>
  <c r="G215" i="1" s="1"/>
  <c r="D215" i="1"/>
  <c r="W214" i="1"/>
  <c r="U214" i="1" a="1"/>
  <c r="U214" i="1" s="1"/>
  <c r="S214" i="1"/>
  <c r="P214" i="1"/>
  <c r="P214" i="1" a="1"/>
  <c r="N214" i="1"/>
  <c r="J214" i="1" a="1"/>
  <c r="J214" i="1" s="1"/>
  <c r="G214" i="1" a="1"/>
  <c r="G214" i="1" s="1"/>
  <c r="D214" i="1"/>
  <c r="W213" i="1"/>
  <c r="U213" i="1" a="1"/>
  <c r="U213" i="1" s="1"/>
  <c r="S213" i="1"/>
  <c r="P213" i="1" a="1"/>
  <c r="P213" i="1" s="1"/>
  <c r="N213" i="1"/>
  <c r="J213" i="1" a="1"/>
  <c r="J213" i="1" s="1"/>
  <c r="G213" i="1" a="1"/>
  <c r="G213" i="1" s="1"/>
  <c r="D213" i="1"/>
  <c r="W212" i="1"/>
  <c r="U212" i="1" a="1"/>
  <c r="U212" i="1" s="1"/>
  <c r="S212" i="1"/>
  <c r="P212" i="1"/>
  <c r="P212" i="1" a="1"/>
  <c r="N212" i="1"/>
  <c r="J212" i="1" a="1"/>
  <c r="J212" i="1" s="1"/>
  <c r="G212" i="1" a="1"/>
  <c r="G212" i="1" s="1"/>
  <c r="D212" i="1"/>
  <c r="W211" i="1"/>
  <c r="U211" i="1"/>
  <c r="U211" i="1" a="1"/>
  <c r="S211" i="1"/>
  <c r="P211" i="1" a="1"/>
  <c r="P211" i="1" s="1"/>
  <c r="N211" i="1"/>
  <c r="J211" i="1" a="1"/>
  <c r="J211" i="1" s="1"/>
  <c r="G211" i="1" a="1"/>
  <c r="G211" i="1" s="1"/>
  <c r="D211" i="1"/>
  <c r="W210" i="1"/>
  <c r="U210" i="1" a="1"/>
  <c r="U210" i="1" s="1"/>
  <c r="S210" i="1"/>
  <c r="P210" i="1" a="1"/>
  <c r="P210" i="1" s="1"/>
  <c r="N210" i="1"/>
  <c r="J210" i="1" a="1"/>
  <c r="J210" i="1" s="1"/>
  <c r="G210" i="1" a="1"/>
  <c r="G210" i="1" s="1"/>
  <c r="D210" i="1"/>
  <c r="W209" i="1"/>
  <c r="U209" i="1" a="1"/>
  <c r="U209" i="1" s="1"/>
  <c r="S209" i="1"/>
  <c r="P209" i="1"/>
  <c r="P209" i="1" a="1"/>
  <c r="N209" i="1"/>
  <c r="J209" i="1" a="1"/>
  <c r="J209" i="1" s="1"/>
  <c r="G209" i="1" a="1"/>
  <c r="G209" i="1" s="1"/>
  <c r="D209" i="1"/>
  <c r="W208" i="1"/>
  <c r="U208" i="1"/>
  <c r="U208" i="1" a="1"/>
  <c r="S208" i="1"/>
  <c r="P208" i="1" a="1"/>
  <c r="P208" i="1" s="1"/>
  <c r="N208" i="1"/>
  <c r="J208" i="1" a="1"/>
  <c r="J208" i="1" s="1"/>
  <c r="G208" i="1" a="1"/>
  <c r="G208" i="1" s="1"/>
  <c r="D208" i="1"/>
  <c r="W207" i="1"/>
  <c r="U207" i="1" a="1"/>
  <c r="U207" i="1" s="1"/>
  <c r="S207" i="1"/>
  <c r="P207" i="1" a="1"/>
  <c r="P207" i="1" s="1"/>
  <c r="N207" i="1"/>
  <c r="J207" i="1" a="1"/>
  <c r="J207" i="1" s="1"/>
  <c r="G207" i="1" a="1"/>
  <c r="G207" i="1" s="1"/>
  <c r="D207" i="1"/>
  <c r="W206" i="1"/>
  <c r="U206" i="1" a="1"/>
  <c r="U206" i="1" s="1"/>
  <c r="S206" i="1"/>
  <c r="P206" i="1"/>
  <c r="P206" i="1" a="1"/>
  <c r="N206" i="1"/>
  <c r="J206" i="1" a="1"/>
  <c r="J206" i="1" s="1"/>
  <c r="G206" i="1" a="1"/>
  <c r="G206" i="1" s="1"/>
  <c r="D206" i="1"/>
  <c r="W205" i="1"/>
  <c r="U205" i="1"/>
  <c r="U205" i="1" a="1"/>
  <c r="S205" i="1"/>
  <c r="P205" i="1" a="1"/>
  <c r="P205" i="1" s="1"/>
  <c r="N205" i="1"/>
  <c r="J205" i="1" a="1"/>
  <c r="J205" i="1" s="1"/>
  <c r="G205" i="1" a="1"/>
  <c r="G205" i="1" s="1"/>
  <c r="D205" i="1"/>
  <c r="W204" i="1"/>
  <c r="U204" i="1" a="1"/>
  <c r="U204" i="1" s="1"/>
  <c r="S204" i="1"/>
  <c r="P204" i="1" a="1"/>
  <c r="P204" i="1" s="1"/>
  <c r="N204" i="1"/>
  <c r="J204" i="1" a="1"/>
  <c r="J204" i="1" s="1"/>
  <c r="G204" i="1" a="1"/>
  <c r="G204" i="1" s="1"/>
  <c r="D204" i="1"/>
  <c r="W203" i="1"/>
  <c r="U203" i="1" a="1"/>
  <c r="U203" i="1" s="1"/>
  <c r="S203" i="1"/>
  <c r="P203" i="1"/>
  <c r="P203" i="1" a="1"/>
  <c r="N203" i="1"/>
  <c r="J203" i="1" a="1"/>
  <c r="J203" i="1" s="1"/>
  <c r="G203" i="1" a="1"/>
  <c r="G203" i="1" s="1"/>
  <c r="D203" i="1"/>
  <c r="W202" i="1"/>
  <c r="U202" i="1"/>
  <c r="U202" i="1" a="1"/>
  <c r="S202" i="1"/>
  <c r="P202" i="1" a="1"/>
  <c r="P202" i="1" s="1"/>
  <c r="N202" i="1"/>
  <c r="J202" i="1" a="1"/>
  <c r="J202" i="1" s="1"/>
  <c r="G202" i="1" a="1"/>
  <c r="G202" i="1" s="1"/>
  <c r="D202" i="1"/>
  <c r="W201" i="1"/>
  <c r="U201" i="1" a="1"/>
  <c r="U201" i="1" s="1"/>
  <c r="S201" i="1"/>
  <c r="P201" i="1" a="1"/>
  <c r="P201" i="1" s="1"/>
  <c r="N201" i="1"/>
  <c r="J201" i="1" a="1"/>
  <c r="J201" i="1" s="1"/>
  <c r="G201" i="1" a="1"/>
  <c r="G201" i="1" s="1"/>
  <c r="D201" i="1"/>
  <c r="W200" i="1"/>
  <c r="U200" i="1" a="1"/>
  <c r="U200" i="1" s="1"/>
  <c r="S200" i="1"/>
  <c r="P200" i="1"/>
  <c r="P200" i="1" a="1"/>
  <c r="N200" i="1"/>
  <c r="J200" i="1" a="1"/>
  <c r="J200" i="1" s="1"/>
  <c r="G200" i="1" a="1"/>
  <c r="G200" i="1" s="1"/>
  <c r="D200" i="1"/>
  <c r="W199" i="1"/>
  <c r="U199" i="1"/>
  <c r="U199" i="1" a="1"/>
  <c r="S199" i="1"/>
  <c r="P199" i="1" a="1"/>
  <c r="P199" i="1" s="1"/>
  <c r="N199" i="1"/>
  <c r="J199" i="1" a="1"/>
  <c r="J199" i="1" s="1"/>
  <c r="G199" i="1" a="1"/>
  <c r="G199" i="1" s="1"/>
  <c r="D199" i="1"/>
  <c r="W198" i="1"/>
  <c r="U198" i="1" a="1"/>
  <c r="U198" i="1" s="1"/>
  <c r="S198" i="1"/>
  <c r="P198" i="1" a="1"/>
  <c r="P198" i="1" s="1"/>
  <c r="N198" i="1"/>
  <c r="J198" i="1" a="1"/>
  <c r="J198" i="1" s="1"/>
  <c r="G198" i="1" a="1"/>
  <c r="G198" i="1" s="1"/>
  <c r="D198" i="1"/>
  <c r="W197" i="1"/>
  <c r="U197" i="1" a="1"/>
  <c r="U197" i="1" s="1"/>
  <c r="S197" i="1"/>
  <c r="P197" i="1"/>
  <c r="P197" i="1" a="1"/>
  <c r="N197" i="1"/>
  <c r="J197" i="1" a="1"/>
  <c r="J197" i="1" s="1"/>
  <c r="G197" i="1" a="1"/>
  <c r="G197" i="1" s="1"/>
  <c r="D197" i="1"/>
  <c r="W196" i="1"/>
  <c r="U196" i="1"/>
  <c r="U196" i="1" a="1"/>
  <c r="S196" i="1"/>
  <c r="P196" i="1" a="1"/>
  <c r="P196" i="1" s="1"/>
  <c r="N196" i="1"/>
  <c r="J196" i="1" a="1"/>
  <c r="J196" i="1" s="1"/>
  <c r="G196" i="1" a="1"/>
  <c r="G196" i="1" s="1"/>
  <c r="D196" i="1"/>
  <c r="W195" i="1"/>
  <c r="U195" i="1" a="1"/>
  <c r="U195" i="1" s="1"/>
  <c r="S195" i="1"/>
  <c r="P195" i="1" a="1"/>
  <c r="P195" i="1" s="1"/>
  <c r="N195" i="1"/>
  <c r="J195" i="1" a="1"/>
  <c r="J195" i="1" s="1"/>
  <c r="G195" i="1" a="1"/>
  <c r="G195" i="1" s="1"/>
  <c r="D195" i="1"/>
  <c r="W194" i="1"/>
  <c r="U194" i="1" a="1"/>
  <c r="U194" i="1" s="1"/>
  <c r="S194" i="1"/>
  <c r="P194" i="1"/>
  <c r="P194" i="1" a="1"/>
  <c r="N194" i="1"/>
  <c r="J194" i="1" a="1"/>
  <c r="J194" i="1" s="1"/>
  <c r="G194" i="1" a="1"/>
  <c r="G194" i="1" s="1"/>
  <c r="D194" i="1"/>
  <c r="W193" i="1"/>
  <c r="U193" i="1"/>
  <c r="U193" i="1" a="1"/>
  <c r="S193" i="1"/>
  <c r="P193" i="1" a="1"/>
  <c r="P193" i="1" s="1"/>
  <c r="N193" i="1"/>
  <c r="J193" i="1" a="1"/>
  <c r="J193" i="1" s="1"/>
  <c r="G193" i="1" a="1"/>
  <c r="G193" i="1" s="1"/>
  <c r="D193" i="1"/>
  <c r="W192" i="1"/>
  <c r="U192" i="1" a="1"/>
  <c r="U192" i="1" s="1"/>
  <c r="S192" i="1"/>
  <c r="P192" i="1" a="1"/>
  <c r="P192" i="1" s="1"/>
  <c r="N192" i="1"/>
  <c r="J192" i="1" a="1"/>
  <c r="J192" i="1" s="1"/>
  <c r="G192" i="1" a="1"/>
  <c r="G192" i="1" s="1"/>
  <c r="D192" i="1"/>
  <c r="W191" i="1"/>
  <c r="U191" i="1" a="1"/>
  <c r="U191" i="1" s="1"/>
  <c r="S191" i="1"/>
  <c r="P191" i="1"/>
  <c r="P191" i="1" a="1"/>
  <c r="N191" i="1"/>
  <c r="J191" i="1" a="1"/>
  <c r="J191" i="1" s="1"/>
  <c r="G191" i="1" a="1"/>
  <c r="G191" i="1" s="1"/>
  <c r="D191" i="1"/>
  <c r="W190" i="1"/>
  <c r="U190" i="1"/>
  <c r="U190" i="1" a="1"/>
  <c r="S190" i="1"/>
  <c r="P190" i="1" a="1"/>
  <c r="P190" i="1" s="1"/>
  <c r="N190" i="1"/>
  <c r="J190" i="1" a="1"/>
  <c r="J190" i="1" s="1"/>
  <c r="G190" i="1" a="1"/>
  <c r="G190" i="1" s="1"/>
  <c r="D190" i="1"/>
  <c r="W189" i="1"/>
  <c r="U189" i="1" a="1"/>
  <c r="U189" i="1" s="1"/>
  <c r="S189" i="1"/>
  <c r="P189" i="1" a="1"/>
  <c r="P189" i="1" s="1"/>
  <c r="N189" i="1"/>
  <c r="J189" i="1" a="1"/>
  <c r="J189" i="1" s="1"/>
  <c r="G189" i="1" a="1"/>
  <c r="G189" i="1" s="1"/>
  <c r="D189" i="1"/>
  <c r="W188" i="1"/>
  <c r="U188" i="1" a="1"/>
  <c r="U188" i="1" s="1"/>
  <c r="S188" i="1"/>
  <c r="P188" i="1"/>
  <c r="P188" i="1" a="1"/>
  <c r="N188" i="1"/>
  <c r="J188" i="1" a="1"/>
  <c r="J188" i="1" s="1"/>
  <c r="G188" i="1" a="1"/>
  <c r="G188" i="1" s="1"/>
  <c r="D188" i="1"/>
  <c r="W187" i="1"/>
  <c r="U187" i="1"/>
  <c r="U187" i="1" a="1"/>
  <c r="S187" i="1"/>
  <c r="P187" i="1" a="1"/>
  <c r="P187" i="1" s="1"/>
  <c r="N187" i="1"/>
  <c r="J187" i="1" a="1"/>
  <c r="J187" i="1" s="1"/>
  <c r="G187" i="1" a="1"/>
  <c r="G187" i="1" s="1"/>
  <c r="D187" i="1"/>
  <c r="W186" i="1"/>
  <c r="U186" i="1" a="1"/>
  <c r="U186" i="1" s="1"/>
  <c r="S186" i="1"/>
  <c r="P186" i="1" a="1"/>
  <c r="P186" i="1" s="1"/>
  <c r="N186" i="1"/>
  <c r="J186" i="1" a="1"/>
  <c r="J186" i="1" s="1"/>
  <c r="G186" i="1" a="1"/>
  <c r="G186" i="1" s="1"/>
  <c r="D186" i="1"/>
  <c r="W185" i="1"/>
  <c r="U185" i="1" a="1"/>
  <c r="U185" i="1" s="1"/>
  <c r="S185" i="1"/>
  <c r="P185" i="1"/>
  <c r="P185" i="1" a="1"/>
  <c r="N185" i="1"/>
  <c r="J185" i="1" a="1"/>
  <c r="J185" i="1" s="1"/>
  <c r="G185" i="1" a="1"/>
  <c r="G185" i="1" s="1"/>
  <c r="D185" i="1"/>
  <c r="W184" i="1"/>
  <c r="U184" i="1"/>
  <c r="U184" i="1" a="1"/>
  <c r="S184" i="1"/>
  <c r="P184" i="1" a="1"/>
  <c r="P184" i="1" s="1"/>
  <c r="N184" i="1"/>
  <c r="J184" i="1" a="1"/>
  <c r="J184" i="1" s="1"/>
  <c r="G184" i="1" a="1"/>
  <c r="G184" i="1" s="1"/>
  <c r="D184" i="1"/>
  <c r="W183" i="1"/>
  <c r="U183" i="1" a="1"/>
  <c r="U183" i="1" s="1"/>
  <c r="S183" i="1"/>
  <c r="P183" i="1" a="1"/>
  <c r="P183" i="1" s="1"/>
  <c r="N183" i="1"/>
  <c r="J183" i="1" a="1"/>
  <c r="J183" i="1" s="1"/>
  <c r="G183" i="1" a="1"/>
  <c r="G183" i="1" s="1"/>
  <c r="D183" i="1"/>
  <c r="W182" i="1"/>
  <c r="U182" i="1" a="1"/>
  <c r="U182" i="1" s="1"/>
  <c r="S182" i="1"/>
  <c r="P182" i="1"/>
  <c r="P182" i="1" a="1"/>
  <c r="N182" i="1"/>
  <c r="J182" i="1" a="1"/>
  <c r="J182" i="1" s="1"/>
  <c r="G182" i="1" a="1"/>
  <c r="G182" i="1" s="1"/>
  <c r="D182" i="1"/>
  <c r="W181" i="1"/>
  <c r="U181" i="1"/>
  <c r="U181" i="1" a="1"/>
  <c r="S181" i="1"/>
  <c r="P181" i="1" a="1"/>
  <c r="P181" i="1" s="1"/>
  <c r="N181" i="1"/>
  <c r="J181" i="1" a="1"/>
  <c r="J181" i="1" s="1"/>
  <c r="G181" i="1" a="1"/>
  <c r="G181" i="1" s="1"/>
  <c r="D181" i="1"/>
  <c r="W180" i="1"/>
  <c r="U180" i="1" a="1"/>
  <c r="U180" i="1" s="1"/>
  <c r="S180" i="1"/>
  <c r="P180" i="1" a="1"/>
  <c r="P180" i="1" s="1"/>
  <c r="N180" i="1"/>
  <c r="J180" i="1" a="1"/>
  <c r="J180" i="1" s="1"/>
  <c r="G180" i="1" a="1"/>
  <c r="G180" i="1" s="1"/>
  <c r="D180" i="1"/>
  <c r="W179" i="1"/>
  <c r="U179" i="1" a="1"/>
  <c r="U179" i="1" s="1"/>
  <c r="S179" i="1"/>
  <c r="P179" i="1"/>
  <c r="P179" i="1" a="1"/>
  <c r="N179" i="1"/>
  <c r="J179" i="1" a="1"/>
  <c r="J179" i="1" s="1"/>
  <c r="G179" i="1" a="1"/>
  <c r="G179" i="1" s="1"/>
  <c r="D179" i="1"/>
  <c r="W178" i="1"/>
  <c r="U178" i="1"/>
  <c r="U178" i="1" a="1"/>
  <c r="S178" i="1"/>
  <c r="P178" i="1" a="1"/>
  <c r="P178" i="1" s="1"/>
  <c r="N178" i="1"/>
  <c r="J178" i="1" a="1"/>
  <c r="J178" i="1" s="1"/>
  <c r="G178" i="1" a="1"/>
  <c r="G178" i="1" s="1"/>
  <c r="D178" i="1"/>
  <c r="W177" i="1"/>
  <c r="U177" i="1" a="1"/>
  <c r="U177" i="1" s="1"/>
  <c r="S177" i="1"/>
  <c r="P177" i="1" a="1"/>
  <c r="P177" i="1" s="1"/>
  <c r="N177" i="1"/>
  <c r="J177" i="1" a="1"/>
  <c r="J177" i="1" s="1"/>
  <c r="G177" i="1" a="1"/>
  <c r="G177" i="1" s="1"/>
  <c r="D177" i="1"/>
  <c r="W176" i="1"/>
  <c r="U176" i="1" a="1"/>
  <c r="U176" i="1" s="1"/>
  <c r="S176" i="1"/>
  <c r="P176" i="1"/>
  <c r="P176" i="1" a="1"/>
  <c r="N176" i="1"/>
  <c r="J176" i="1" a="1"/>
  <c r="J176" i="1" s="1"/>
  <c r="G176" i="1" a="1"/>
  <c r="G176" i="1" s="1"/>
  <c r="D176" i="1"/>
  <c r="W175" i="1"/>
  <c r="U175" i="1"/>
  <c r="U175" i="1" a="1"/>
  <c r="S175" i="1"/>
  <c r="P175" i="1" a="1"/>
  <c r="P175" i="1" s="1"/>
  <c r="N175" i="1"/>
  <c r="J175" i="1" a="1"/>
  <c r="J175" i="1" s="1"/>
  <c r="G175" i="1" a="1"/>
  <c r="G175" i="1" s="1"/>
  <c r="D175" i="1"/>
  <c r="W174" i="1"/>
  <c r="U174" i="1" a="1"/>
  <c r="U174" i="1" s="1"/>
  <c r="S174" i="1"/>
  <c r="P174" i="1" a="1"/>
  <c r="P174" i="1" s="1"/>
  <c r="N174" i="1"/>
  <c r="J174" i="1" a="1"/>
  <c r="J174" i="1" s="1"/>
  <c r="G174" i="1" a="1"/>
  <c r="G174" i="1" s="1"/>
  <c r="D174" i="1"/>
  <c r="W173" i="1"/>
  <c r="U173" i="1" a="1"/>
  <c r="U173" i="1" s="1"/>
  <c r="S173" i="1"/>
  <c r="P173" i="1"/>
  <c r="P173" i="1" a="1"/>
  <c r="N173" i="1"/>
  <c r="J173" i="1" a="1"/>
  <c r="J173" i="1" s="1"/>
  <c r="G173" i="1" a="1"/>
  <c r="G173" i="1" s="1"/>
  <c r="D173" i="1"/>
  <c r="W172" i="1"/>
  <c r="U172" i="1"/>
  <c r="U172" i="1" a="1"/>
  <c r="S172" i="1"/>
  <c r="P172" i="1" a="1"/>
  <c r="P172" i="1" s="1"/>
  <c r="N172" i="1"/>
  <c r="J172" i="1" a="1"/>
  <c r="J172" i="1" s="1"/>
  <c r="G172" i="1" a="1"/>
  <c r="G172" i="1" s="1"/>
  <c r="D172" i="1"/>
  <c r="W171" i="1"/>
  <c r="U171" i="1" a="1"/>
  <c r="U171" i="1" s="1"/>
  <c r="S171" i="1"/>
  <c r="P171" i="1" a="1"/>
  <c r="P171" i="1" s="1"/>
  <c r="N171" i="1"/>
  <c r="J171" i="1" a="1"/>
  <c r="J171" i="1" s="1"/>
  <c r="G171" i="1" a="1"/>
  <c r="G171" i="1" s="1"/>
  <c r="D171" i="1"/>
  <c r="W170" i="1"/>
  <c r="U170" i="1" a="1"/>
  <c r="U170" i="1" s="1"/>
  <c r="S170" i="1"/>
  <c r="P170" i="1"/>
  <c r="P170" i="1" a="1"/>
  <c r="N170" i="1"/>
  <c r="J170" i="1" a="1"/>
  <c r="J170" i="1" s="1"/>
  <c r="G170" i="1" a="1"/>
  <c r="G170" i="1" s="1"/>
  <c r="D170" i="1"/>
  <c r="W169" i="1"/>
  <c r="U169" i="1"/>
  <c r="U169" i="1" a="1"/>
  <c r="S169" i="1"/>
  <c r="P169" i="1" a="1"/>
  <c r="P169" i="1" s="1"/>
  <c r="N169" i="1"/>
  <c r="J169" i="1" a="1"/>
  <c r="J169" i="1" s="1"/>
  <c r="G169" i="1" a="1"/>
  <c r="G169" i="1" s="1"/>
  <c r="D169" i="1"/>
  <c r="W168" i="1"/>
  <c r="U168" i="1" a="1"/>
  <c r="U168" i="1" s="1"/>
  <c r="S168" i="1"/>
  <c r="P168" i="1" a="1"/>
  <c r="P168" i="1" s="1"/>
  <c r="N168" i="1"/>
  <c r="J168" i="1" a="1"/>
  <c r="J168" i="1" s="1"/>
  <c r="G168" i="1" a="1"/>
  <c r="G168" i="1" s="1"/>
  <c r="D168" i="1"/>
  <c r="W167" i="1"/>
  <c r="U167" i="1" a="1"/>
  <c r="U167" i="1" s="1"/>
  <c r="S167" i="1"/>
  <c r="P167" i="1"/>
  <c r="P167" i="1" a="1"/>
  <c r="N167" i="1"/>
  <c r="J167" i="1" a="1"/>
  <c r="J167" i="1" s="1"/>
  <c r="G167" i="1" a="1"/>
  <c r="G167" i="1" s="1"/>
  <c r="D167" i="1"/>
  <c r="W166" i="1"/>
  <c r="U166" i="1"/>
  <c r="U166" i="1" a="1"/>
  <c r="S166" i="1"/>
  <c r="P166" i="1" a="1"/>
  <c r="P166" i="1" s="1"/>
  <c r="N166" i="1"/>
  <c r="J166" i="1" a="1"/>
  <c r="J166" i="1" s="1"/>
  <c r="G166" i="1" a="1"/>
  <c r="G166" i="1" s="1"/>
  <c r="D166" i="1"/>
  <c r="W165" i="1"/>
  <c r="U165" i="1" a="1"/>
  <c r="U165" i="1" s="1"/>
  <c r="S165" i="1"/>
  <c r="P165" i="1" a="1"/>
  <c r="P165" i="1" s="1"/>
  <c r="N165" i="1"/>
  <c r="J165" i="1" a="1"/>
  <c r="J165" i="1" s="1"/>
  <c r="G165" i="1" a="1"/>
  <c r="G165" i="1" s="1"/>
  <c r="D165" i="1"/>
  <c r="W164" i="1"/>
  <c r="U164" i="1" a="1"/>
  <c r="U164" i="1" s="1"/>
  <c r="S164" i="1"/>
  <c r="P164" i="1"/>
  <c r="P164" i="1" a="1"/>
  <c r="N164" i="1"/>
  <c r="J164" i="1" a="1"/>
  <c r="J164" i="1" s="1"/>
  <c r="G164" i="1" a="1"/>
  <c r="G164" i="1" s="1"/>
  <c r="D164" i="1"/>
  <c r="W163" i="1"/>
  <c r="U163" i="1"/>
  <c r="U163" i="1" a="1"/>
  <c r="S163" i="1"/>
  <c r="P163" i="1" a="1"/>
  <c r="P163" i="1" s="1"/>
  <c r="N163" i="1"/>
  <c r="J163" i="1" a="1"/>
  <c r="J163" i="1" s="1"/>
  <c r="G163" i="1" a="1"/>
  <c r="G163" i="1" s="1"/>
  <c r="D163" i="1"/>
  <c r="W162" i="1"/>
  <c r="U162" i="1" a="1"/>
  <c r="U162" i="1" s="1"/>
  <c r="S162" i="1"/>
  <c r="P162" i="1" a="1"/>
  <c r="P162" i="1" s="1"/>
  <c r="N162" i="1"/>
  <c r="J162" i="1" a="1"/>
  <c r="J162" i="1" s="1"/>
  <c r="G162" i="1" a="1"/>
  <c r="G162" i="1" s="1"/>
  <c r="D162" i="1"/>
  <c r="W161" i="1"/>
  <c r="U161" i="1" a="1"/>
  <c r="U161" i="1" s="1"/>
  <c r="S161" i="1"/>
  <c r="P161" i="1"/>
  <c r="P161" i="1" a="1"/>
  <c r="N161" i="1"/>
  <c r="J161" i="1" a="1"/>
  <c r="J161" i="1" s="1"/>
  <c r="G161" i="1" a="1"/>
  <c r="G161" i="1" s="1"/>
  <c r="D161" i="1"/>
  <c r="W160" i="1"/>
  <c r="U160" i="1"/>
  <c r="U160" i="1" a="1"/>
  <c r="S160" i="1"/>
  <c r="P160" i="1" a="1"/>
  <c r="P160" i="1" s="1"/>
  <c r="N160" i="1"/>
  <c r="J160" i="1"/>
  <c r="J160" i="1" a="1"/>
  <c r="G160" i="1"/>
  <c r="G160" i="1" a="1"/>
  <c r="D160" i="1"/>
  <c r="W159" i="1"/>
  <c r="U159" i="1"/>
  <c r="U159" i="1" a="1"/>
  <c r="S159" i="1"/>
  <c r="P159" i="1" a="1"/>
  <c r="P159" i="1" s="1"/>
  <c r="N159" i="1"/>
  <c r="J159" i="1"/>
  <c r="J159" i="1" a="1"/>
  <c r="G159" i="1"/>
  <c r="G159" i="1" a="1"/>
  <c r="D159" i="1"/>
  <c r="W158" i="1"/>
  <c r="U158" i="1"/>
  <c r="U158" i="1" a="1"/>
  <c r="S158" i="1"/>
  <c r="P158" i="1" a="1"/>
  <c r="P158" i="1" s="1"/>
  <c r="N158" i="1"/>
  <c r="J158" i="1"/>
  <c r="J158" i="1" a="1"/>
  <c r="G158" i="1"/>
  <c r="G158" i="1" a="1"/>
  <c r="D158" i="1"/>
  <c r="W157" i="1"/>
  <c r="U157" i="1"/>
  <c r="U157" i="1" a="1"/>
  <c r="S157" i="1"/>
  <c r="P157" i="1" a="1"/>
  <c r="P157" i="1" s="1"/>
  <c r="N157" i="1"/>
  <c r="J157" i="1"/>
  <c r="J157" i="1" a="1"/>
  <c r="G157" i="1"/>
  <c r="G157" i="1" a="1"/>
  <c r="D157" i="1"/>
  <c r="W156" i="1"/>
  <c r="U156" i="1"/>
  <c r="U156" i="1" a="1"/>
  <c r="S156" i="1"/>
  <c r="P156" i="1" a="1"/>
  <c r="P156" i="1" s="1"/>
  <c r="N156" i="1"/>
  <c r="J156" i="1"/>
  <c r="J156" i="1" a="1"/>
  <c r="G156" i="1"/>
  <c r="G156" i="1" a="1"/>
  <c r="D156" i="1"/>
  <c r="W155" i="1"/>
  <c r="U155" i="1"/>
  <c r="U155" i="1" a="1"/>
  <c r="S155" i="1"/>
  <c r="P155" i="1" a="1"/>
  <c r="P155" i="1" s="1"/>
  <c r="N155" i="1"/>
  <c r="J155" i="1"/>
  <c r="J155" i="1" a="1"/>
  <c r="G155" i="1"/>
  <c r="G155" i="1" a="1"/>
  <c r="D155" i="1"/>
  <c r="W154" i="1"/>
  <c r="U154" i="1"/>
  <c r="U154" i="1" a="1"/>
  <c r="S154" i="1"/>
  <c r="P154" i="1" a="1"/>
  <c r="P154" i="1" s="1"/>
  <c r="N154" i="1"/>
  <c r="J154" i="1"/>
  <c r="J154" i="1" a="1"/>
  <c r="G154" i="1"/>
  <c r="G154" i="1" a="1"/>
  <c r="D154" i="1"/>
  <c r="W153" i="1"/>
  <c r="U153" i="1"/>
  <c r="U153" i="1" a="1"/>
  <c r="S153" i="1"/>
  <c r="P153" i="1" a="1"/>
  <c r="P153" i="1" s="1"/>
  <c r="N153" i="1"/>
  <c r="J153" i="1"/>
  <c r="J153" i="1" a="1"/>
  <c r="G153" i="1"/>
  <c r="G153" i="1" a="1"/>
  <c r="D153" i="1"/>
  <c r="W152" i="1"/>
  <c r="U152" i="1"/>
  <c r="U152" i="1" a="1"/>
  <c r="S152" i="1"/>
  <c r="P152" i="1" a="1"/>
  <c r="P152" i="1" s="1"/>
  <c r="N152" i="1"/>
  <c r="J152" i="1"/>
  <c r="J152" i="1" a="1"/>
  <c r="G152" i="1"/>
  <c r="G152" i="1" a="1"/>
  <c r="D152" i="1"/>
  <c r="W151" i="1"/>
  <c r="U151" i="1"/>
  <c r="U151" i="1" a="1"/>
  <c r="S151" i="1"/>
  <c r="P151" i="1" a="1"/>
  <c r="P151" i="1" s="1"/>
  <c r="N151" i="1"/>
  <c r="J151" i="1"/>
  <c r="J151" i="1" a="1"/>
  <c r="G151" i="1"/>
  <c r="G151" i="1" a="1"/>
  <c r="D151" i="1"/>
  <c r="W150" i="1"/>
  <c r="U150" i="1" a="1"/>
  <c r="U150" i="1" s="1"/>
  <c r="S150" i="1"/>
  <c r="P150" i="1" a="1"/>
  <c r="P150" i="1" s="1"/>
  <c r="N150" i="1"/>
  <c r="J150" i="1"/>
  <c r="J150" i="1" a="1"/>
  <c r="G150" i="1"/>
  <c r="G150" i="1" a="1"/>
  <c r="D150" i="1"/>
  <c r="W149" i="1"/>
  <c r="U149" i="1"/>
  <c r="U149" i="1" a="1"/>
  <c r="S149" i="1"/>
  <c r="P149" i="1" a="1"/>
  <c r="P149" i="1" s="1"/>
  <c r="N149" i="1"/>
  <c r="J149" i="1"/>
  <c r="J149" i="1" a="1"/>
  <c r="G149" i="1" a="1"/>
  <c r="G149" i="1" s="1"/>
  <c r="D149" i="1"/>
  <c r="W148" i="1"/>
  <c r="U148" i="1"/>
  <c r="U148" i="1" a="1"/>
  <c r="S148" i="1"/>
  <c r="P148" i="1" a="1"/>
  <c r="P148" i="1" s="1"/>
  <c r="N148" i="1"/>
  <c r="J148" i="1" a="1"/>
  <c r="J148" i="1" s="1"/>
  <c r="G148" i="1"/>
  <c r="G148" i="1" a="1"/>
  <c r="D148" i="1"/>
  <c r="W147" i="1"/>
  <c r="U147" i="1"/>
  <c r="U147" i="1" a="1"/>
  <c r="S147" i="1"/>
  <c r="P147" i="1" a="1"/>
  <c r="P147" i="1" s="1"/>
  <c r="N147" i="1"/>
  <c r="J147" i="1"/>
  <c r="J147" i="1" a="1"/>
  <c r="G147" i="1"/>
  <c r="G147" i="1" a="1"/>
  <c r="D147" i="1"/>
  <c r="W146" i="1"/>
  <c r="U146" i="1"/>
  <c r="U146" i="1" a="1"/>
  <c r="S146" i="1"/>
  <c r="P146" i="1" a="1"/>
  <c r="P146" i="1" s="1"/>
  <c r="N146" i="1"/>
  <c r="J146" i="1"/>
  <c r="J146" i="1" a="1"/>
  <c r="G146" i="1"/>
  <c r="G146" i="1" a="1"/>
  <c r="D146" i="1"/>
  <c r="W145" i="1"/>
  <c r="U145" i="1"/>
  <c r="U145" i="1" a="1"/>
  <c r="S145" i="1"/>
  <c r="P145" i="1" a="1"/>
  <c r="P145" i="1" s="1"/>
  <c r="N145" i="1"/>
  <c r="J145" i="1"/>
  <c r="J145" i="1" a="1"/>
  <c r="G145" i="1"/>
  <c r="G145" i="1" a="1"/>
  <c r="D145" i="1"/>
  <c r="W144" i="1"/>
  <c r="U144" i="1" a="1"/>
  <c r="U144" i="1" s="1"/>
  <c r="S144" i="1"/>
  <c r="P144" i="1" a="1"/>
  <c r="P144" i="1" s="1"/>
  <c r="N144" i="1"/>
  <c r="J144" i="1"/>
  <c r="J144" i="1" a="1"/>
  <c r="G144" i="1"/>
  <c r="G144" i="1" a="1"/>
  <c r="D144" i="1"/>
  <c r="W143" i="1"/>
  <c r="U143" i="1"/>
  <c r="U143" i="1" a="1"/>
  <c r="S143" i="1"/>
  <c r="P143" i="1" a="1"/>
  <c r="P143" i="1" s="1"/>
  <c r="N143" i="1"/>
  <c r="J143" i="1"/>
  <c r="J143" i="1" a="1"/>
  <c r="G143" i="1" a="1"/>
  <c r="G143" i="1" s="1"/>
  <c r="D143" i="1"/>
  <c r="W142" i="1"/>
  <c r="U142" i="1"/>
  <c r="U142" i="1" a="1"/>
  <c r="S142" i="1"/>
  <c r="P142" i="1" a="1"/>
  <c r="P142" i="1" s="1"/>
  <c r="N142" i="1"/>
  <c r="J142" i="1" a="1"/>
  <c r="J142" i="1" s="1"/>
  <c r="G142" i="1"/>
  <c r="G142" i="1" a="1"/>
  <c r="D142" i="1"/>
  <c r="W141" i="1"/>
  <c r="U141" i="1"/>
  <c r="U141" i="1" a="1"/>
  <c r="S141" i="1"/>
  <c r="P141" i="1" a="1"/>
  <c r="P141" i="1" s="1"/>
  <c r="N141" i="1"/>
  <c r="J141" i="1"/>
  <c r="J141" i="1" a="1"/>
  <c r="G141" i="1"/>
  <c r="G141" i="1" a="1"/>
  <c r="D141" i="1"/>
  <c r="W140" i="1"/>
  <c r="U140" i="1"/>
  <c r="U140" i="1" a="1"/>
  <c r="S140" i="1"/>
  <c r="P140" i="1"/>
  <c r="P140" i="1" a="1"/>
  <c r="N140" i="1"/>
  <c r="J140" i="1"/>
  <c r="J140" i="1" a="1"/>
  <c r="G140" i="1"/>
  <c r="G140" i="1" a="1"/>
  <c r="D140" i="1"/>
  <c r="W139" i="1"/>
  <c r="U139" i="1"/>
  <c r="U139" i="1" a="1"/>
  <c r="S139" i="1"/>
  <c r="P139" i="1" a="1"/>
  <c r="P139" i="1" s="1"/>
  <c r="N139" i="1"/>
  <c r="J139" i="1"/>
  <c r="J139" i="1" a="1"/>
  <c r="G139" i="1"/>
  <c r="G139" i="1" a="1"/>
  <c r="D139" i="1"/>
  <c r="W138" i="1"/>
  <c r="U138" i="1" a="1"/>
  <c r="U138" i="1" s="1"/>
  <c r="S138" i="1"/>
  <c r="P138" i="1" a="1"/>
  <c r="P138" i="1" s="1"/>
  <c r="N138" i="1"/>
  <c r="J138" i="1"/>
  <c r="J138" i="1" a="1"/>
  <c r="G138" i="1"/>
  <c r="G138" i="1" a="1"/>
  <c r="D138" i="1"/>
  <c r="W137" i="1"/>
  <c r="U137" i="1"/>
  <c r="U137" i="1" a="1"/>
  <c r="S137" i="1"/>
  <c r="P137" i="1" a="1"/>
  <c r="P137" i="1" s="1"/>
  <c r="N137" i="1"/>
  <c r="J137" i="1"/>
  <c r="J137" i="1" a="1"/>
  <c r="G137" i="1" a="1"/>
  <c r="G137" i="1" s="1"/>
  <c r="D137" i="1"/>
  <c r="W136" i="1"/>
  <c r="U136" i="1"/>
  <c r="U136" i="1" a="1"/>
  <c r="S136" i="1"/>
  <c r="P136" i="1" a="1"/>
  <c r="P136" i="1" s="1"/>
  <c r="N136" i="1"/>
  <c r="J136" i="1" a="1"/>
  <c r="J136" i="1" s="1"/>
  <c r="G136" i="1"/>
  <c r="G136" i="1" a="1"/>
  <c r="D136" i="1"/>
  <c r="W135" i="1"/>
  <c r="U135" i="1"/>
  <c r="U135" i="1" a="1"/>
  <c r="S135" i="1"/>
  <c r="P135" i="1" a="1"/>
  <c r="P135" i="1" s="1"/>
  <c r="N135" i="1"/>
  <c r="J135" i="1"/>
  <c r="J135" i="1" a="1"/>
  <c r="G135" i="1"/>
  <c r="G135" i="1" a="1"/>
  <c r="D135" i="1"/>
  <c r="W134" i="1"/>
  <c r="U134" i="1"/>
  <c r="U134" i="1" a="1"/>
  <c r="S134" i="1"/>
  <c r="P134" i="1"/>
  <c r="P134" i="1" a="1"/>
  <c r="N134" i="1"/>
  <c r="J134" i="1"/>
  <c r="J134" i="1" a="1"/>
  <c r="G134" i="1"/>
  <c r="G134" i="1" a="1"/>
  <c r="D134" i="1"/>
  <c r="W133" i="1"/>
  <c r="U133" i="1"/>
  <c r="U133" i="1" a="1"/>
  <c r="S133" i="1"/>
  <c r="P133" i="1" a="1"/>
  <c r="P133" i="1" s="1"/>
  <c r="N133" i="1"/>
  <c r="J133" i="1"/>
  <c r="J133" i="1" a="1"/>
  <c r="G133" i="1"/>
  <c r="G133" i="1" a="1"/>
  <c r="D133" i="1"/>
  <c r="W132" i="1"/>
  <c r="U132" i="1" a="1"/>
  <c r="U132" i="1" s="1"/>
  <c r="S132" i="1"/>
  <c r="P132" i="1" a="1"/>
  <c r="P132" i="1" s="1"/>
  <c r="N132" i="1"/>
  <c r="J132" i="1"/>
  <c r="J132" i="1" a="1"/>
  <c r="G132" i="1"/>
  <c r="G132" i="1" a="1"/>
  <c r="D132" i="1"/>
  <c r="W131" i="1"/>
  <c r="U131" i="1"/>
  <c r="U131" i="1" a="1"/>
  <c r="S131" i="1"/>
  <c r="P131" i="1" a="1"/>
  <c r="P131" i="1" s="1"/>
  <c r="N131" i="1"/>
  <c r="J131" i="1"/>
  <c r="J131" i="1" a="1"/>
  <c r="G131" i="1" a="1"/>
  <c r="G131" i="1" s="1"/>
  <c r="D131" i="1"/>
  <c r="W130" i="1"/>
  <c r="U130" i="1"/>
  <c r="U130" i="1" a="1"/>
  <c r="S130" i="1"/>
  <c r="P130" i="1" a="1"/>
  <c r="P130" i="1" s="1"/>
  <c r="N130" i="1"/>
  <c r="J130" i="1" a="1"/>
  <c r="J130" i="1" s="1"/>
  <c r="G130" i="1"/>
  <c r="G130" i="1" a="1"/>
  <c r="D130" i="1"/>
  <c r="W129" i="1"/>
  <c r="U129" i="1"/>
  <c r="U129" i="1" a="1"/>
  <c r="S129" i="1"/>
  <c r="P129" i="1" a="1"/>
  <c r="P129" i="1" s="1"/>
  <c r="N129" i="1"/>
  <c r="J129" i="1"/>
  <c r="J129" i="1" a="1"/>
  <c r="G129" i="1"/>
  <c r="G129" i="1" a="1"/>
  <c r="D129" i="1"/>
  <c r="W128" i="1"/>
  <c r="U128" i="1"/>
  <c r="U128" i="1" a="1"/>
  <c r="S128" i="1"/>
  <c r="P128" i="1"/>
  <c r="P128" i="1" a="1"/>
  <c r="N128" i="1"/>
  <c r="J128" i="1"/>
  <c r="J128" i="1" a="1"/>
  <c r="G128" i="1"/>
  <c r="G128" i="1" a="1"/>
  <c r="D128" i="1"/>
  <c r="W127" i="1"/>
  <c r="U127" i="1"/>
  <c r="U127" i="1" a="1"/>
  <c r="S127" i="1"/>
  <c r="P127" i="1" a="1"/>
  <c r="P127" i="1" s="1"/>
  <c r="N127" i="1"/>
  <c r="J127" i="1"/>
  <c r="J127" i="1" a="1"/>
  <c r="G127" i="1"/>
  <c r="G127" i="1" a="1"/>
  <c r="D127" i="1"/>
  <c r="W126" i="1"/>
  <c r="U126" i="1" a="1"/>
  <c r="U126" i="1" s="1"/>
  <c r="S126" i="1"/>
  <c r="P126" i="1" a="1"/>
  <c r="P126" i="1" s="1"/>
  <c r="N126" i="1"/>
  <c r="J126" i="1"/>
  <c r="J126" i="1" a="1"/>
  <c r="G126" i="1"/>
  <c r="G126" i="1" a="1"/>
  <c r="D126" i="1"/>
  <c r="W125" i="1"/>
  <c r="U125" i="1"/>
  <c r="U125" i="1" a="1"/>
  <c r="S125" i="1"/>
  <c r="P125" i="1" a="1"/>
  <c r="P125" i="1" s="1"/>
  <c r="N125" i="1"/>
  <c r="J125" i="1"/>
  <c r="J125" i="1" a="1"/>
  <c r="G125" i="1" a="1"/>
  <c r="G125" i="1" s="1"/>
  <c r="D125" i="1"/>
  <c r="W124" i="1"/>
  <c r="U124" i="1"/>
  <c r="U124" i="1" a="1"/>
  <c r="S124" i="1"/>
  <c r="P124" i="1" a="1"/>
  <c r="P124" i="1" s="1"/>
  <c r="N124" i="1"/>
  <c r="J124" i="1" a="1"/>
  <c r="J124" i="1" s="1"/>
  <c r="G124" i="1"/>
  <c r="G124" i="1" a="1"/>
  <c r="D124" i="1"/>
  <c r="W123" i="1"/>
  <c r="U123" i="1"/>
  <c r="U123" i="1" a="1"/>
  <c r="S123" i="1"/>
  <c r="P123" i="1" a="1"/>
  <c r="P123" i="1" s="1"/>
  <c r="N123" i="1"/>
  <c r="J123" i="1"/>
  <c r="J123" i="1" a="1"/>
  <c r="G123" i="1"/>
  <c r="G123" i="1" a="1"/>
  <c r="D123" i="1"/>
  <c r="W122" i="1"/>
  <c r="U122" i="1"/>
  <c r="U122" i="1" a="1"/>
  <c r="S122" i="1"/>
  <c r="P122" i="1"/>
  <c r="P122" i="1" a="1"/>
  <c r="N122" i="1"/>
  <c r="J122" i="1"/>
  <c r="J122" i="1" a="1"/>
  <c r="G122" i="1"/>
  <c r="G122" i="1" a="1"/>
  <c r="D122" i="1"/>
  <c r="W121" i="1"/>
  <c r="U121" i="1"/>
  <c r="U121" i="1" a="1"/>
  <c r="S121" i="1"/>
  <c r="P121" i="1" a="1"/>
  <c r="P121" i="1" s="1"/>
  <c r="N121" i="1"/>
  <c r="J121" i="1"/>
  <c r="J121" i="1" a="1"/>
  <c r="G121" i="1"/>
  <c r="G121" i="1" a="1"/>
  <c r="D121" i="1"/>
  <c r="W120" i="1"/>
  <c r="U120" i="1" a="1"/>
  <c r="U120" i="1" s="1"/>
  <c r="S120" i="1"/>
  <c r="P120" i="1" a="1"/>
  <c r="P120" i="1" s="1"/>
  <c r="N120" i="1"/>
  <c r="J120" i="1"/>
  <c r="J120" i="1" a="1"/>
  <c r="G120" i="1"/>
  <c r="G120" i="1" a="1"/>
  <c r="D120" i="1"/>
  <c r="W119" i="1"/>
  <c r="U119" i="1"/>
  <c r="U119" i="1" a="1"/>
  <c r="S119" i="1"/>
  <c r="P119" i="1" a="1"/>
  <c r="P119" i="1" s="1"/>
  <c r="N119" i="1"/>
  <c r="J119" i="1"/>
  <c r="J119" i="1" a="1"/>
  <c r="G119" i="1" a="1"/>
  <c r="G119" i="1" s="1"/>
  <c r="D119" i="1"/>
  <c r="W118" i="1"/>
  <c r="U118" i="1"/>
  <c r="U118" i="1" a="1"/>
  <c r="S118" i="1"/>
  <c r="P118" i="1" a="1"/>
  <c r="P118" i="1" s="1"/>
  <c r="N118" i="1"/>
  <c r="J118" i="1" a="1"/>
  <c r="J118" i="1" s="1"/>
  <c r="G118" i="1"/>
  <c r="G118" i="1" a="1"/>
  <c r="D118" i="1"/>
  <c r="W117" i="1"/>
  <c r="U117" i="1"/>
  <c r="U117" i="1" a="1"/>
  <c r="S117" i="1"/>
  <c r="P117" i="1" a="1"/>
  <c r="P117" i="1" s="1"/>
  <c r="N117" i="1"/>
  <c r="J117" i="1"/>
  <c r="J117" i="1" a="1"/>
  <c r="G117" i="1"/>
  <c r="G117" i="1" a="1"/>
  <c r="D117" i="1"/>
  <c r="W116" i="1"/>
  <c r="U116" i="1"/>
  <c r="U116" i="1" a="1"/>
  <c r="S116" i="1"/>
  <c r="P116" i="1"/>
  <c r="P116" i="1" a="1"/>
  <c r="N116" i="1"/>
  <c r="J116" i="1"/>
  <c r="J116" i="1" a="1"/>
  <c r="G116" i="1"/>
  <c r="G116" i="1" a="1"/>
  <c r="D116" i="1"/>
  <c r="W115" i="1"/>
  <c r="U115" i="1"/>
  <c r="U115" i="1" a="1"/>
  <c r="S115" i="1"/>
  <c r="P115" i="1" a="1"/>
  <c r="P115" i="1" s="1"/>
  <c r="N115" i="1"/>
  <c r="J115" i="1"/>
  <c r="J115" i="1" a="1"/>
  <c r="G115" i="1"/>
  <c r="G115" i="1" a="1"/>
  <c r="D115" i="1"/>
  <c r="W114" i="1"/>
  <c r="U114" i="1" a="1"/>
  <c r="U114" i="1" s="1"/>
  <c r="S114" i="1"/>
  <c r="P114" i="1" a="1"/>
  <c r="P114" i="1" s="1"/>
  <c r="N114" i="1"/>
  <c r="J114" i="1"/>
  <c r="J114" i="1" a="1"/>
  <c r="G114" i="1"/>
  <c r="G114" i="1" a="1"/>
  <c r="D114" i="1"/>
  <c r="W113" i="1"/>
  <c r="U113" i="1"/>
  <c r="U113" i="1" a="1"/>
  <c r="S113" i="1"/>
  <c r="P113" i="1" a="1"/>
  <c r="P113" i="1" s="1"/>
  <c r="N113" i="1"/>
  <c r="J113" i="1"/>
  <c r="J113" i="1" a="1"/>
  <c r="G113" i="1" a="1"/>
  <c r="G113" i="1" s="1"/>
  <c r="D113" i="1"/>
  <c r="W112" i="1"/>
  <c r="U112" i="1"/>
  <c r="U112" i="1" a="1"/>
  <c r="S112" i="1"/>
  <c r="P112" i="1" a="1"/>
  <c r="P112" i="1" s="1"/>
  <c r="N112" i="1"/>
  <c r="J112" i="1" a="1"/>
  <c r="J112" i="1" s="1"/>
  <c r="G112" i="1"/>
  <c r="G112" i="1" a="1"/>
  <c r="D112" i="1"/>
  <c r="W111" i="1"/>
  <c r="U111" i="1"/>
  <c r="U111" i="1" a="1"/>
  <c r="S111" i="1"/>
  <c r="P111" i="1" a="1"/>
  <c r="P111" i="1" s="1"/>
  <c r="N111" i="1"/>
  <c r="J111" i="1"/>
  <c r="J111" i="1" a="1"/>
  <c r="G111" i="1"/>
  <c r="G111" i="1" a="1"/>
  <c r="D111" i="1"/>
  <c r="W110" i="1"/>
  <c r="U110" i="1"/>
  <c r="U110" i="1" a="1"/>
  <c r="S110" i="1"/>
  <c r="P110" i="1"/>
  <c r="P110" i="1" a="1"/>
  <c r="N110" i="1"/>
  <c r="J110" i="1"/>
  <c r="J110" i="1" a="1"/>
  <c r="G110" i="1"/>
  <c r="G110" i="1" a="1"/>
  <c r="D110" i="1"/>
  <c r="W109" i="1"/>
  <c r="U109" i="1"/>
  <c r="U109" i="1" a="1"/>
  <c r="S109" i="1"/>
  <c r="P109" i="1" a="1"/>
  <c r="P109" i="1" s="1"/>
  <c r="N109" i="1"/>
  <c r="J109" i="1"/>
  <c r="J109" i="1" a="1"/>
  <c r="G109" i="1"/>
  <c r="G109" i="1" a="1"/>
  <c r="D109" i="1"/>
  <c r="W108" i="1"/>
  <c r="U108" i="1" a="1"/>
  <c r="U108" i="1" s="1"/>
  <c r="S108" i="1"/>
  <c r="P108" i="1" a="1"/>
  <c r="P108" i="1" s="1"/>
  <c r="N108" i="1"/>
  <c r="J108" i="1"/>
  <c r="J108" i="1" a="1"/>
  <c r="G108" i="1"/>
  <c r="G108" i="1" a="1"/>
  <c r="D108" i="1"/>
  <c r="W107" i="1"/>
  <c r="U107" i="1"/>
  <c r="U107" i="1" a="1"/>
  <c r="S107" i="1"/>
  <c r="P107" i="1" a="1"/>
  <c r="P107" i="1" s="1"/>
  <c r="N107" i="1"/>
  <c r="J107" i="1"/>
  <c r="J107" i="1" a="1"/>
  <c r="G107" i="1" a="1"/>
  <c r="G107" i="1" s="1"/>
  <c r="D107" i="1"/>
  <c r="W106" i="1"/>
  <c r="U106" i="1"/>
  <c r="U106" i="1" a="1"/>
  <c r="S106" i="1"/>
  <c r="P106" i="1" a="1"/>
  <c r="P106" i="1" s="1"/>
  <c r="N106" i="1"/>
  <c r="J106" i="1" a="1"/>
  <c r="J106" i="1" s="1"/>
  <c r="G106" i="1"/>
  <c r="G106" i="1" a="1"/>
  <c r="D106" i="1"/>
  <c r="W105" i="1"/>
  <c r="U105" i="1"/>
  <c r="U105" i="1" a="1"/>
  <c r="S105" i="1"/>
  <c r="P105" i="1" a="1"/>
  <c r="P105" i="1" s="1"/>
  <c r="N105" i="1"/>
  <c r="J105" i="1"/>
  <c r="J105" i="1" a="1"/>
  <c r="G105" i="1"/>
  <c r="G105" i="1" a="1"/>
  <c r="D105" i="1"/>
  <c r="W104" i="1"/>
  <c r="U104" i="1"/>
  <c r="U104" i="1" a="1"/>
  <c r="S104" i="1"/>
  <c r="P104" i="1"/>
  <c r="P104" i="1" a="1"/>
  <c r="N104" i="1"/>
  <c r="J104" i="1"/>
  <c r="J104" i="1" a="1"/>
  <c r="G104" i="1"/>
  <c r="G104" i="1" a="1"/>
  <c r="D104" i="1"/>
  <c r="W103" i="1"/>
  <c r="U103" i="1"/>
  <c r="U103" i="1" a="1"/>
  <c r="S103" i="1"/>
  <c r="P103" i="1" a="1"/>
  <c r="P103" i="1" s="1"/>
  <c r="N103" i="1"/>
  <c r="J103" i="1"/>
  <c r="J103" i="1" a="1"/>
  <c r="G103" i="1"/>
  <c r="G103" i="1" a="1"/>
  <c r="D103" i="1"/>
  <c r="W102" i="1"/>
  <c r="U102" i="1" a="1"/>
  <c r="U102" i="1" s="1"/>
  <c r="S102" i="1"/>
  <c r="P102" i="1" a="1"/>
  <c r="P102" i="1" s="1"/>
  <c r="N102" i="1"/>
  <c r="J102" i="1"/>
  <c r="J102" i="1" a="1"/>
  <c r="G102" i="1"/>
  <c r="G102" i="1" a="1"/>
  <c r="D102" i="1"/>
  <c r="W101" i="1"/>
  <c r="U101" i="1"/>
  <c r="U101" i="1" a="1"/>
  <c r="S101" i="1"/>
  <c r="P101" i="1" a="1"/>
  <c r="P101" i="1" s="1"/>
  <c r="N101" i="1"/>
  <c r="J101" i="1"/>
  <c r="J101" i="1" a="1"/>
  <c r="G101" i="1" a="1"/>
  <c r="G101" i="1" s="1"/>
  <c r="D101" i="1"/>
  <c r="W100" i="1"/>
  <c r="U100" i="1"/>
  <c r="U100" i="1" a="1"/>
  <c r="S100" i="1"/>
  <c r="P100" i="1" a="1"/>
  <c r="P100" i="1" s="1"/>
  <c r="N100" i="1"/>
  <c r="J100" i="1" a="1"/>
  <c r="J100" i="1" s="1"/>
  <c r="G100" i="1"/>
  <c r="G100" i="1" a="1"/>
  <c r="D100" i="1"/>
  <c r="W99" i="1"/>
  <c r="U99" i="1"/>
  <c r="U99" i="1" a="1"/>
  <c r="S99" i="1"/>
  <c r="P99" i="1" a="1"/>
  <c r="P99" i="1" s="1"/>
  <c r="N99" i="1"/>
  <c r="J99" i="1"/>
  <c r="J99" i="1" a="1"/>
  <c r="G99" i="1"/>
  <c r="G99" i="1" a="1"/>
  <c r="D99" i="1"/>
  <c r="W98" i="1"/>
  <c r="U98" i="1"/>
  <c r="U98" i="1" a="1"/>
  <c r="S98" i="1"/>
  <c r="P98" i="1"/>
  <c r="P98" i="1" a="1"/>
  <c r="N98" i="1"/>
  <c r="J98" i="1"/>
  <c r="J98" i="1" a="1"/>
  <c r="G98" i="1"/>
  <c r="G98" i="1" a="1"/>
  <c r="D98" i="1"/>
  <c r="W97" i="1"/>
  <c r="U97" i="1"/>
  <c r="U97" i="1" a="1"/>
  <c r="S97" i="1"/>
  <c r="P97" i="1" a="1"/>
  <c r="P97" i="1" s="1"/>
  <c r="N97" i="1"/>
  <c r="J97" i="1"/>
  <c r="J97" i="1" a="1"/>
  <c r="G97" i="1"/>
  <c r="G97" i="1" a="1"/>
  <c r="D97" i="1"/>
  <c r="W96" i="1"/>
  <c r="U96" i="1" a="1"/>
  <c r="U96" i="1" s="1"/>
  <c r="S96" i="1"/>
  <c r="P96" i="1" a="1"/>
  <c r="P96" i="1" s="1"/>
  <c r="N96" i="1"/>
  <c r="J96" i="1"/>
  <c r="J96" i="1" a="1"/>
  <c r="G96" i="1"/>
  <c r="G96" i="1" a="1"/>
  <c r="D96" i="1"/>
  <c r="W95" i="1"/>
  <c r="U95" i="1"/>
  <c r="U95" i="1" a="1"/>
  <c r="S95" i="1"/>
  <c r="P95" i="1" a="1"/>
  <c r="P95" i="1" s="1"/>
  <c r="N95" i="1"/>
  <c r="J95" i="1"/>
  <c r="J95" i="1" a="1"/>
  <c r="G95" i="1" a="1"/>
  <c r="G95" i="1" s="1"/>
  <c r="D95" i="1"/>
  <c r="W94" i="1"/>
  <c r="U94" i="1"/>
  <c r="U94" i="1" a="1"/>
  <c r="S94" i="1"/>
  <c r="P94" i="1" a="1"/>
  <c r="P94" i="1" s="1"/>
  <c r="N94" i="1"/>
  <c r="J94" i="1" a="1"/>
  <c r="J94" i="1" s="1"/>
  <c r="G94" i="1"/>
  <c r="G94" i="1" a="1"/>
  <c r="D94" i="1"/>
  <c r="W93" i="1"/>
  <c r="U93" i="1"/>
  <c r="U93" i="1" a="1"/>
  <c r="S93" i="1"/>
  <c r="P93" i="1" a="1"/>
  <c r="P93" i="1" s="1"/>
  <c r="N93" i="1"/>
  <c r="J93" i="1"/>
  <c r="J93" i="1" a="1"/>
  <c r="G93" i="1"/>
  <c r="G93" i="1" a="1"/>
  <c r="D93" i="1"/>
  <c r="W92" i="1"/>
  <c r="U92" i="1"/>
  <c r="U92" i="1" a="1"/>
  <c r="S92" i="1"/>
  <c r="P92" i="1" a="1"/>
  <c r="P92" i="1" s="1"/>
  <c r="N92" i="1"/>
  <c r="J92" i="1"/>
  <c r="J92" i="1" a="1"/>
  <c r="G92" i="1"/>
  <c r="G92" i="1" a="1"/>
  <c r="D92" i="1"/>
  <c r="W91" i="1"/>
  <c r="U91" i="1"/>
  <c r="U91" i="1" a="1"/>
  <c r="S91" i="1"/>
  <c r="P91" i="1" a="1"/>
  <c r="P91" i="1" s="1"/>
  <c r="N91" i="1"/>
  <c r="J91" i="1"/>
  <c r="J91" i="1" a="1"/>
  <c r="G91" i="1"/>
  <c r="G91" i="1" a="1"/>
  <c r="D91" i="1"/>
  <c r="W90" i="1"/>
  <c r="U90" i="1" a="1"/>
  <c r="U90" i="1" s="1"/>
  <c r="S90" i="1"/>
  <c r="P90" i="1" a="1"/>
  <c r="P90" i="1" s="1"/>
  <c r="N90" i="1"/>
  <c r="J90" i="1"/>
  <c r="J90" i="1" a="1"/>
  <c r="G90" i="1"/>
  <c r="G90" i="1" a="1"/>
  <c r="D90" i="1"/>
  <c r="W89" i="1"/>
  <c r="U89" i="1"/>
  <c r="U89" i="1" a="1"/>
  <c r="S89" i="1"/>
  <c r="P89" i="1" a="1"/>
  <c r="P89" i="1" s="1"/>
  <c r="N89" i="1"/>
  <c r="J89" i="1"/>
  <c r="J89" i="1" a="1"/>
  <c r="G89" i="1" a="1"/>
  <c r="G89" i="1" s="1"/>
  <c r="D89" i="1"/>
  <c r="W88" i="1"/>
  <c r="U88" i="1"/>
  <c r="U88" i="1" a="1"/>
  <c r="S88" i="1"/>
  <c r="P88" i="1" a="1"/>
  <c r="P88" i="1" s="1"/>
  <c r="N88" i="1"/>
  <c r="J88" i="1" a="1"/>
  <c r="J88" i="1" s="1"/>
  <c r="G88" i="1"/>
  <c r="G88" i="1" a="1"/>
  <c r="D88" i="1"/>
  <c r="W87" i="1"/>
  <c r="U87" i="1"/>
  <c r="U87" i="1" a="1"/>
  <c r="S87" i="1"/>
  <c r="P87" i="1" a="1"/>
  <c r="P87" i="1" s="1"/>
  <c r="N87" i="1"/>
  <c r="J87" i="1"/>
  <c r="J87" i="1" a="1"/>
  <c r="G87" i="1"/>
  <c r="G87" i="1" a="1"/>
  <c r="D87" i="1"/>
  <c r="W86" i="1"/>
  <c r="U86" i="1"/>
  <c r="U86" i="1" a="1"/>
  <c r="S86" i="1"/>
  <c r="P86" i="1" a="1"/>
  <c r="P86" i="1" s="1"/>
  <c r="N86" i="1"/>
  <c r="J86" i="1"/>
  <c r="J86" i="1" a="1"/>
  <c r="G86" i="1"/>
  <c r="G86" i="1" a="1"/>
  <c r="D86" i="1"/>
  <c r="W85" i="1"/>
  <c r="U85" i="1"/>
  <c r="U85" i="1" a="1"/>
  <c r="S85" i="1"/>
  <c r="P85" i="1" a="1"/>
  <c r="P85" i="1" s="1"/>
  <c r="N85" i="1"/>
  <c r="J85" i="1"/>
  <c r="J85" i="1" a="1"/>
  <c r="G85" i="1"/>
  <c r="G85" i="1" a="1"/>
  <c r="D85" i="1"/>
  <c r="W84" i="1"/>
  <c r="U84" i="1" a="1"/>
  <c r="U84" i="1" s="1"/>
  <c r="S84" i="1"/>
  <c r="P84" i="1" a="1"/>
  <c r="P84" i="1" s="1"/>
  <c r="N84" i="1"/>
  <c r="J84" i="1"/>
  <c r="J84" i="1" a="1"/>
  <c r="G84" i="1"/>
  <c r="G84" i="1" a="1"/>
  <c r="D84" i="1"/>
  <c r="W83" i="1"/>
  <c r="U83" i="1"/>
  <c r="U83" i="1" a="1"/>
  <c r="S83" i="1"/>
  <c r="P83" i="1" a="1"/>
  <c r="P83" i="1" s="1"/>
  <c r="N83" i="1"/>
  <c r="J83" i="1"/>
  <c r="J83" i="1" a="1"/>
  <c r="G83" i="1" a="1"/>
  <c r="G83" i="1" s="1"/>
  <c r="D83" i="1"/>
  <c r="W82" i="1"/>
  <c r="U82" i="1"/>
  <c r="U82" i="1" a="1"/>
  <c r="S82" i="1"/>
  <c r="P82" i="1" a="1"/>
  <c r="P82" i="1" s="1"/>
  <c r="N82" i="1"/>
  <c r="J82" i="1" a="1"/>
  <c r="J82" i="1" s="1"/>
  <c r="G82" i="1"/>
  <c r="G82" i="1" a="1"/>
  <c r="D82" i="1"/>
  <c r="W81" i="1"/>
  <c r="U81" i="1"/>
  <c r="U81" i="1" a="1"/>
  <c r="S81" i="1"/>
  <c r="P81" i="1" a="1"/>
  <c r="P81" i="1" s="1"/>
  <c r="N81" i="1"/>
  <c r="J81" i="1"/>
  <c r="J81" i="1" a="1"/>
  <c r="G81" i="1"/>
  <c r="G81" i="1" a="1"/>
  <c r="D81" i="1"/>
  <c r="W80" i="1"/>
  <c r="U80" i="1"/>
  <c r="U80" i="1" a="1"/>
  <c r="S80" i="1"/>
  <c r="P80" i="1" a="1"/>
  <c r="P80" i="1" s="1"/>
  <c r="N80" i="1"/>
  <c r="J80" i="1"/>
  <c r="J80" i="1" a="1"/>
  <c r="G80" i="1"/>
  <c r="G80" i="1" a="1"/>
  <c r="D80" i="1"/>
  <c r="W79" i="1"/>
  <c r="U79" i="1"/>
  <c r="U79" i="1" a="1"/>
  <c r="S79" i="1"/>
  <c r="P79" i="1" a="1"/>
  <c r="P79" i="1" s="1"/>
  <c r="N79" i="1"/>
  <c r="J79" i="1"/>
  <c r="J79" i="1" a="1"/>
  <c r="G79" i="1"/>
  <c r="G79" i="1" a="1"/>
  <c r="D79" i="1"/>
  <c r="W78" i="1"/>
  <c r="U78" i="1" a="1"/>
  <c r="U78" i="1" s="1"/>
  <c r="S78" i="1"/>
  <c r="P78" i="1" a="1"/>
  <c r="P78" i="1" s="1"/>
  <c r="N78" i="1"/>
  <c r="J78" i="1"/>
  <c r="J78" i="1" a="1"/>
  <c r="G78" i="1"/>
  <c r="G78" i="1" a="1"/>
  <c r="D78" i="1"/>
  <c r="W77" i="1"/>
  <c r="U77" i="1"/>
  <c r="U77" i="1" a="1"/>
  <c r="S77" i="1"/>
  <c r="P77" i="1" a="1"/>
  <c r="P77" i="1" s="1"/>
  <c r="N77" i="1"/>
  <c r="J77" i="1"/>
  <c r="J77" i="1" a="1"/>
  <c r="G77" i="1" a="1"/>
  <c r="G77" i="1" s="1"/>
  <c r="D77" i="1"/>
  <c r="W76" i="1"/>
  <c r="U76" i="1"/>
  <c r="U76" i="1" a="1"/>
  <c r="S76" i="1"/>
  <c r="P76" i="1" a="1"/>
  <c r="P76" i="1" s="1"/>
  <c r="N76" i="1"/>
  <c r="J76" i="1" a="1"/>
  <c r="J76" i="1" s="1"/>
  <c r="G76" i="1"/>
  <c r="G76" i="1" a="1"/>
  <c r="D76" i="1"/>
  <c r="W75" i="1"/>
  <c r="U75" i="1"/>
  <c r="U75" i="1" a="1"/>
  <c r="S75" i="1"/>
  <c r="P75" i="1" a="1"/>
  <c r="P75" i="1" s="1"/>
  <c r="N75" i="1"/>
  <c r="J75" i="1"/>
  <c r="J75" i="1" a="1"/>
  <c r="G75" i="1"/>
  <c r="G75" i="1" a="1"/>
  <c r="D75" i="1"/>
  <c r="W74" i="1"/>
  <c r="U74" i="1"/>
  <c r="U74" i="1" a="1"/>
  <c r="S74" i="1"/>
  <c r="P74" i="1" a="1"/>
  <c r="P74" i="1" s="1"/>
  <c r="N74" i="1"/>
  <c r="J74" i="1"/>
  <c r="J74" i="1" a="1"/>
  <c r="G74" i="1"/>
  <c r="G74" i="1" a="1"/>
  <c r="D74" i="1"/>
  <c r="W73" i="1"/>
  <c r="U73" i="1"/>
  <c r="U73" i="1" a="1"/>
  <c r="S73" i="1"/>
  <c r="P73" i="1" a="1"/>
  <c r="P73" i="1" s="1"/>
  <c r="N73" i="1"/>
  <c r="J73" i="1"/>
  <c r="J73" i="1" a="1"/>
  <c r="G73" i="1"/>
  <c r="G73" i="1" a="1"/>
  <c r="D73" i="1"/>
  <c r="W72" i="1"/>
  <c r="U72" i="1" a="1"/>
  <c r="U72" i="1" s="1"/>
  <c r="S72" i="1"/>
  <c r="P72" i="1" a="1"/>
  <c r="P72" i="1" s="1"/>
  <c r="N72" i="1"/>
  <c r="J72" i="1"/>
  <c r="J72" i="1" a="1"/>
  <c r="G72" i="1"/>
  <c r="G72" i="1" a="1"/>
  <c r="D72" i="1"/>
  <c r="W71" i="1"/>
  <c r="U71" i="1"/>
  <c r="U71" i="1" a="1"/>
  <c r="S71" i="1"/>
  <c r="P71" i="1" a="1"/>
  <c r="P71" i="1" s="1"/>
  <c r="N71" i="1"/>
  <c r="J71" i="1"/>
  <c r="J71" i="1" a="1"/>
  <c r="G71" i="1" a="1"/>
  <c r="G71" i="1" s="1"/>
  <c r="D71" i="1"/>
  <c r="W70" i="1"/>
  <c r="U70" i="1"/>
  <c r="U70" i="1" a="1"/>
  <c r="S70" i="1"/>
  <c r="P70" i="1" a="1"/>
  <c r="P70" i="1" s="1"/>
  <c r="N70" i="1"/>
  <c r="J70" i="1" a="1"/>
  <c r="J70" i="1" s="1"/>
  <c r="G70" i="1"/>
  <c r="G70" i="1" a="1"/>
  <c r="D70" i="1"/>
  <c r="W69" i="1"/>
  <c r="U69" i="1"/>
  <c r="U69" i="1" a="1"/>
  <c r="S69" i="1"/>
  <c r="P69" i="1" a="1"/>
  <c r="P69" i="1" s="1"/>
  <c r="N69" i="1"/>
  <c r="J69" i="1"/>
  <c r="J69" i="1" a="1"/>
  <c r="G69" i="1"/>
  <c r="G69" i="1" a="1"/>
  <c r="D69" i="1"/>
  <c r="W68" i="1"/>
  <c r="U68" i="1"/>
  <c r="U68" i="1" a="1"/>
  <c r="S68" i="1"/>
  <c r="P68" i="1"/>
  <c r="P68" i="1" a="1"/>
  <c r="N68" i="1"/>
  <c r="J68" i="1"/>
  <c r="J68" i="1" a="1"/>
  <c r="G68" i="1"/>
  <c r="G68" i="1" a="1"/>
  <c r="D68" i="1"/>
  <c r="W67" i="1"/>
  <c r="U67" i="1"/>
  <c r="U67" i="1" a="1"/>
  <c r="S67" i="1"/>
  <c r="P67" i="1" a="1"/>
  <c r="P67" i="1" s="1"/>
  <c r="N67" i="1"/>
  <c r="J67" i="1"/>
  <c r="J67" i="1" a="1"/>
  <c r="G67" i="1"/>
  <c r="G67" i="1" a="1"/>
  <c r="D67" i="1"/>
  <c r="W66" i="1"/>
  <c r="U66" i="1" a="1"/>
  <c r="U66" i="1" s="1"/>
  <c r="S66" i="1"/>
  <c r="P66" i="1" a="1"/>
  <c r="P66" i="1" s="1"/>
  <c r="N66" i="1"/>
  <c r="J66" i="1"/>
  <c r="J66" i="1" a="1"/>
  <c r="G66" i="1"/>
  <c r="G66" i="1" a="1"/>
  <c r="D66" i="1"/>
  <c r="W65" i="1"/>
  <c r="U65" i="1"/>
  <c r="U65" i="1" a="1"/>
  <c r="S65" i="1"/>
  <c r="P65" i="1" a="1"/>
  <c r="P65" i="1" s="1"/>
  <c r="N65" i="1"/>
  <c r="J65" i="1"/>
  <c r="J65" i="1" a="1"/>
  <c r="G65" i="1" a="1"/>
  <c r="G65" i="1" s="1"/>
  <c r="D65" i="1"/>
  <c r="W64" i="1"/>
  <c r="U64" i="1"/>
  <c r="U64" i="1" a="1"/>
  <c r="S64" i="1"/>
  <c r="P64" i="1" a="1"/>
  <c r="P64" i="1" s="1"/>
  <c r="N64" i="1"/>
  <c r="J64" i="1" a="1"/>
  <c r="J64" i="1" s="1"/>
  <c r="G64" i="1"/>
  <c r="G64" i="1" a="1"/>
  <c r="D64" i="1"/>
  <c r="W63" i="1"/>
  <c r="U63" i="1"/>
  <c r="U63" i="1" a="1"/>
  <c r="S63" i="1"/>
  <c r="P63" i="1" a="1"/>
  <c r="P63" i="1" s="1"/>
  <c r="N63" i="1"/>
  <c r="J63" i="1"/>
  <c r="J63" i="1" a="1"/>
  <c r="G63" i="1"/>
  <c r="G63" i="1" a="1"/>
  <c r="D63" i="1"/>
  <c r="W62" i="1"/>
  <c r="U62" i="1"/>
  <c r="U62" i="1" a="1"/>
  <c r="S62" i="1"/>
  <c r="P62" i="1"/>
  <c r="P62" i="1" a="1"/>
  <c r="N62" i="1"/>
  <c r="J62" i="1"/>
  <c r="J62" i="1" a="1"/>
  <c r="G62" i="1"/>
  <c r="G62" i="1" a="1"/>
  <c r="D62" i="1"/>
  <c r="W61" i="1"/>
  <c r="U61" i="1" a="1"/>
  <c r="U61" i="1" s="1"/>
  <c r="S61" i="1"/>
  <c r="P61" i="1" a="1"/>
  <c r="P61" i="1" s="1"/>
  <c r="N61" i="1"/>
  <c r="J61" i="1"/>
  <c r="J61" i="1" a="1"/>
  <c r="G61" i="1"/>
  <c r="G61" i="1" a="1"/>
  <c r="D61" i="1"/>
  <c r="W60" i="1"/>
  <c r="U60" i="1" a="1"/>
  <c r="U60" i="1" s="1"/>
  <c r="S60" i="1"/>
  <c r="P60" i="1" a="1"/>
  <c r="P60" i="1" s="1"/>
  <c r="N60" i="1"/>
  <c r="J60" i="1"/>
  <c r="J60" i="1" a="1"/>
  <c r="G60" i="1" a="1"/>
  <c r="G60" i="1" s="1"/>
  <c r="D60" i="1"/>
  <c r="W59" i="1"/>
  <c r="U59" i="1"/>
  <c r="U59" i="1" a="1"/>
  <c r="S59" i="1"/>
  <c r="P59" i="1" a="1"/>
  <c r="P59" i="1" s="1"/>
  <c r="N59" i="1"/>
  <c r="J59" i="1" a="1"/>
  <c r="J59" i="1" s="1"/>
  <c r="G59" i="1" a="1"/>
  <c r="G59" i="1" s="1"/>
  <c r="D59" i="1"/>
  <c r="W58" i="1"/>
  <c r="U58" i="1"/>
  <c r="U58" i="1" a="1"/>
  <c r="S58" i="1"/>
  <c r="P58" i="1" a="1"/>
  <c r="P58" i="1" s="1"/>
  <c r="N58" i="1"/>
  <c r="J58" i="1" a="1"/>
  <c r="J58" i="1" s="1"/>
  <c r="G58" i="1"/>
  <c r="G58" i="1" a="1"/>
  <c r="D58" i="1"/>
  <c r="W57" i="1"/>
  <c r="U57" i="1"/>
  <c r="U57" i="1" a="1"/>
  <c r="S57" i="1"/>
  <c r="P57" i="1" a="1"/>
  <c r="P57" i="1" s="1"/>
  <c r="N57" i="1"/>
  <c r="J57" i="1"/>
  <c r="J57" i="1" a="1"/>
  <c r="G57" i="1"/>
  <c r="G57" i="1" a="1"/>
  <c r="D57" i="1"/>
  <c r="W56" i="1"/>
  <c r="U56" i="1"/>
  <c r="U56" i="1" a="1"/>
  <c r="S56" i="1"/>
  <c r="P56" i="1"/>
  <c r="P56" i="1" a="1"/>
  <c r="N56" i="1"/>
  <c r="J56" i="1"/>
  <c r="J56" i="1" a="1"/>
  <c r="G56" i="1"/>
  <c r="G56" i="1" a="1"/>
  <c r="D56" i="1"/>
  <c r="W55" i="1"/>
  <c r="U55" i="1" a="1"/>
  <c r="U55" i="1" s="1"/>
  <c r="S55" i="1"/>
  <c r="P55" i="1" a="1"/>
  <c r="P55" i="1" s="1"/>
  <c r="N55" i="1"/>
  <c r="J55" i="1"/>
  <c r="J55" i="1" a="1"/>
  <c r="G55" i="1"/>
  <c r="G55" i="1" a="1"/>
  <c r="D55" i="1"/>
  <c r="W54" i="1"/>
  <c r="U54" i="1" a="1"/>
  <c r="U54" i="1" s="1"/>
  <c r="S54" i="1"/>
  <c r="P54" i="1" a="1"/>
  <c r="P54" i="1" s="1"/>
  <c r="N54" i="1"/>
  <c r="J54" i="1"/>
  <c r="J54" i="1" a="1"/>
  <c r="G54" i="1" a="1"/>
  <c r="G54" i="1" s="1"/>
  <c r="D54" i="1"/>
  <c r="W53" i="1"/>
  <c r="U53" i="1"/>
  <c r="U53" i="1" a="1"/>
  <c r="S53" i="1"/>
  <c r="P53" i="1" a="1"/>
  <c r="P53" i="1" s="1"/>
  <c r="N53" i="1"/>
  <c r="J53" i="1" a="1"/>
  <c r="J53" i="1" s="1"/>
  <c r="G53" i="1" a="1"/>
  <c r="G53" i="1" s="1"/>
  <c r="D53" i="1"/>
  <c r="W52" i="1"/>
  <c r="U52" i="1"/>
  <c r="U52" i="1" a="1"/>
  <c r="S52" i="1"/>
  <c r="P52" i="1" a="1"/>
  <c r="P52" i="1" s="1"/>
  <c r="N52" i="1"/>
  <c r="J52" i="1" a="1"/>
  <c r="J52" i="1" s="1"/>
  <c r="G52" i="1"/>
  <c r="G52" i="1" a="1"/>
  <c r="D52" i="1"/>
  <c r="W51" i="1"/>
  <c r="U51" i="1"/>
  <c r="U51" i="1" a="1"/>
  <c r="S51" i="1"/>
  <c r="P51" i="1" a="1"/>
  <c r="P51" i="1" s="1"/>
  <c r="N51" i="1"/>
  <c r="J51" i="1"/>
  <c r="J51" i="1" a="1"/>
  <c r="G51" i="1"/>
  <c r="G51" i="1" a="1"/>
  <c r="D51" i="1"/>
  <c r="W50" i="1"/>
  <c r="U50" i="1"/>
  <c r="U50" i="1" a="1"/>
  <c r="S50" i="1"/>
  <c r="P50" i="1"/>
  <c r="P50" i="1" a="1"/>
  <c r="N50" i="1"/>
  <c r="J50" i="1"/>
  <c r="J50" i="1" a="1"/>
  <c r="G50" i="1"/>
  <c r="G50" i="1" a="1"/>
  <c r="D50" i="1"/>
  <c r="W49" i="1"/>
  <c r="U49" i="1" a="1"/>
  <c r="U49" i="1" s="1"/>
  <c r="S49" i="1"/>
  <c r="P49" i="1" a="1"/>
  <c r="P49" i="1" s="1"/>
  <c r="N49" i="1"/>
  <c r="J49" i="1"/>
  <c r="J49" i="1" a="1"/>
  <c r="G49" i="1"/>
  <c r="G49" i="1" a="1"/>
  <c r="D49" i="1"/>
  <c r="W48" i="1"/>
  <c r="U48" i="1" a="1"/>
  <c r="U48" i="1" s="1"/>
  <c r="S48" i="1"/>
  <c r="P48" i="1" a="1"/>
  <c r="P48" i="1" s="1"/>
  <c r="N48" i="1"/>
  <c r="J48" i="1"/>
  <c r="J48" i="1" a="1"/>
  <c r="G48" i="1" a="1"/>
  <c r="G48" i="1" s="1"/>
  <c r="D48" i="1"/>
  <c r="W47" i="1"/>
  <c r="U47" i="1"/>
  <c r="U47" i="1" a="1"/>
  <c r="S47" i="1"/>
  <c r="P47" i="1" a="1"/>
  <c r="P47" i="1" s="1"/>
  <c r="N47" i="1"/>
  <c r="J47" i="1" a="1"/>
  <c r="J47" i="1" s="1"/>
  <c r="G47" i="1" a="1"/>
  <c r="G47" i="1" s="1"/>
  <c r="D47" i="1"/>
  <c r="W46" i="1"/>
  <c r="U46" i="1"/>
  <c r="U46" i="1" a="1"/>
  <c r="S46" i="1"/>
  <c r="P46" i="1" a="1"/>
  <c r="P46" i="1" s="1"/>
  <c r="N46" i="1"/>
  <c r="J46" i="1" a="1"/>
  <c r="J46" i="1" s="1"/>
  <c r="G46" i="1"/>
  <c r="G46" i="1" a="1"/>
  <c r="D46" i="1"/>
  <c r="W45" i="1"/>
  <c r="U45" i="1"/>
  <c r="U45" i="1" a="1"/>
  <c r="S45" i="1"/>
  <c r="P45" i="1" a="1"/>
  <c r="P45" i="1" s="1"/>
  <c r="N45" i="1"/>
  <c r="J45" i="1"/>
  <c r="J45" i="1" a="1"/>
  <c r="G45" i="1"/>
  <c r="G45" i="1" a="1"/>
  <c r="D45" i="1"/>
  <c r="W44" i="1"/>
  <c r="U44" i="1"/>
  <c r="U44" i="1" a="1"/>
  <c r="S44" i="1"/>
  <c r="P44" i="1"/>
  <c r="P44" i="1" a="1"/>
  <c r="N44" i="1"/>
  <c r="J44" i="1"/>
  <c r="J44" i="1" a="1"/>
  <c r="G44" i="1"/>
  <c r="G44" i="1" a="1"/>
  <c r="D44" i="1"/>
  <c r="W43" i="1"/>
  <c r="U43" i="1" a="1"/>
  <c r="U43" i="1" s="1"/>
  <c r="S43" i="1"/>
  <c r="P43" i="1" a="1"/>
  <c r="P43" i="1" s="1"/>
  <c r="N43" i="1"/>
  <c r="J43" i="1"/>
  <c r="J43" i="1" a="1"/>
  <c r="G43" i="1"/>
  <c r="G43" i="1" a="1"/>
  <c r="D43" i="1"/>
  <c r="W42" i="1"/>
  <c r="U42" i="1" a="1"/>
  <c r="U42" i="1" s="1"/>
  <c r="S42" i="1"/>
  <c r="P42" i="1" a="1"/>
  <c r="P42" i="1" s="1"/>
  <c r="N42" i="1"/>
  <c r="J42" i="1"/>
  <c r="J42" i="1" a="1"/>
  <c r="G42" i="1" a="1"/>
  <c r="G42" i="1" s="1"/>
  <c r="D42" i="1"/>
  <c r="W41" i="1"/>
  <c r="U41" i="1"/>
  <c r="U41" i="1" a="1"/>
  <c r="S41" i="1"/>
  <c r="P41" i="1" a="1"/>
  <c r="P41" i="1" s="1"/>
  <c r="N41" i="1"/>
  <c r="J41" i="1" a="1"/>
  <c r="J41" i="1" s="1"/>
  <c r="G41" i="1" a="1"/>
  <c r="G41" i="1" s="1"/>
  <c r="D41" i="1"/>
  <c r="W40" i="1"/>
  <c r="U40" i="1"/>
  <c r="U40" i="1" a="1"/>
  <c r="S40" i="1"/>
  <c r="P40" i="1" a="1"/>
  <c r="P40" i="1" s="1"/>
  <c r="N40" i="1"/>
  <c r="J40" i="1" a="1"/>
  <c r="J40" i="1" s="1"/>
  <c r="G40" i="1"/>
  <c r="G40" i="1" a="1"/>
  <c r="D40" i="1"/>
  <c r="W39" i="1"/>
  <c r="U39" i="1"/>
  <c r="U39" i="1" a="1"/>
  <c r="S39" i="1"/>
  <c r="P39" i="1" a="1"/>
  <c r="P39" i="1" s="1"/>
  <c r="N39" i="1"/>
  <c r="J39" i="1"/>
  <c r="J39" i="1" a="1"/>
  <c r="G39" i="1"/>
  <c r="G39" i="1" a="1"/>
  <c r="D39" i="1"/>
  <c r="W38" i="1"/>
  <c r="U38" i="1"/>
  <c r="U38" i="1" a="1"/>
  <c r="S38" i="1"/>
  <c r="P38" i="1"/>
  <c r="P38" i="1" a="1"/>
  <c r="N38" i="1"/>
  <c r="J38" i="1"/>
  <c r="J38" i="1" a="1"/>
  <c r="G38" i="1"/>
  <c r="G38" i="1" a="1"/>
  <c r="D38" i="1"/>
  <c r="W37" i="1"/>
  <c r="U37" i="1" a="1"/>
  <c r="U37" i="1" s="1"/>
  <c r="S37" i="1"/>
  <c r="P37" i="1" a="1"/>
  <c r="P37" i="1" s="1"/>
  <c r="N37" i="1"/>
  <c r="J37" i="1"/>
  <c r="J37" i="1" a="1"/>
  <c r="G37" i="1"/>
  <c r="G37" i="1" a="1"/>
  <c r="D37" i="1"/>
  <c r="W36" i="1"/>
  <c r="U36" i="1" a="1"/>
  <c r="U36" i="1" s="1"/>
  <c r="S36" i="1"/>
  <c r="P36" i="1" a="1"/>
  <c r="P36" i="1" s="1"/>
  <c r="N36" i="1"/>
  <c r="J36" i="1"/>
  <c r="J36" i="1" a="1"/>
  <c r="G36" i="1" a="1"/>
  <c r="G36" i="1" s="1"/>
  <c r="D36" i="1"/>
  <c r="W35" i="1"/>
  <c r="U35" i="1"/>
  <c r="U35" i="1" a="1"/>
  <c r="S35" i="1"/>
  <c r="P35" i="1" a="1"/>
  <c r="P35" i="1" s="1"/>
  <c r="N35" i="1"/>
  <c r="J35" i="1" a="1"/>
  <c r="J35" i="1" s="1"/>
  <c r="G35" i="1" a="1"/>
  <c r="G35" i="1" s="1"/>
  <c r="D35" i="1"/>
  <c r="W34" i="1"/>
  <c r="U34" i="1"/>
  <c r="U34" i="1" a="1"/>
  <c r="S34" i="1"/>
  <c r="P34" i="1" a="1"/>
  <c r="P34" i="1" s="1"/>
  <c r="N34" i="1"/>
  <c r="J34" i="1" a="1"/>
  <c r="J34" i="1" s="1"/>
  <c r="G34" i="1"/>
  <c r="G34" i="1" a="1"/>
  <c r="D34" i="1"/>
  <c r="W33" i="1"/>
  <c r="U33" i="1"/>
  <c r="U33" i="1" a="1"/>
  <c r="S33" i="1"/>
  <c r="P33" i="1" a="1"/>
  <c r="P33" i="1" s="1"/>
  <c r="N33" i="1"/>
  <c r="J33" i="1"/>
  <c r="J33" i="1" a="1"/>
  <c r="G33" i="1"/>
  <c r="G33" i="1" a="1"/>
  <c r="D33" i="1"/>
  <c r="W32" i="1"/>
  <c r="U32" i="1"/>
  <c r="U32" i="1" a="1"/>
  <c r="S32" i="1"/>
  <c r="P32" i="1" a="1"/>
  <c r="P32" i="1" s="1"/>
  <c r="N32" i="1"/>
  <c r="J32" i="1"/>
  <c r="J32" i="1" a="1"/>
  <c r="G32" i="1"/>
  <c r="G32" i="1" a="1"/>
  <c r="D32" i="1"/>
  <c r="W31" i="1"/>
  <c r="U31" i="1" a="1"/>
  <c r="U31" i="1" s="1"/>
  <c r="S31" i="1"/>
  <c r="P31" i="1" a="1"/>
  <c r="P31" i="1" s="1"/>
  <c r="N31" i="1"/>
  <c r="J31" i="1" a="1"/>
  <c r="J31" i="1" s="1"/>
  <c r="G31" i="1"/>
  <c r="G31" i="1" a="1"/>
  <c r="D31" i="1"/>
  <c r="W30" i="1"/>
  <c r="U30" i="1" a="1"/>
  <c r="U30" i="1" s="1"/>
  <c r="S30" i="1"/>
  <c r="P30" i="1" a="1"/>
  <c r="P30" i="1" s="1"/>
  <c r="N30" i="1"/>
  <c r="J30" i="1"/>
  <c r="J30" i="1" a="1"/>
  <c r="G30" i="1" a="1"/>
  <c r="G30" i="1" s="1"/>
  <c r="D30" i="1"/>
  <c r="W29" i="1"/>
  <c r="U29" i="1"/>
  <c r="U29" i="1" a="1"/>
  <c r="S29" i="1"/>
  <c r="P29" i="1"/>
  <c r="P29" i="1" a="1"/>
  <c r="N29" i="1"/>
  <c r="J29" i="1" a="1"/>
  <c r="J29" i="1" s="1"/>
  <c r="G29" i="1" a="1"/>
  <c r="G29" i="1" s="1"/>
  <c r="D29" i="1"/>
  <c r="W28" i="1"/>
  <c r="U28" i="1" a="1"/>
  <c r="U28" i="1" s="1"/>
  <c r="S28" i="1"/>
  <c r="P28" i="1"/>
  <c r="P28" i="1" a="1"/>
  <c r="N28" i="1"/>
  <c r="J28" i="1" a="1"/>
  <c r="J28" i="1" s="1"/>
  <c r="G28" i="1"/>
  <c r="G28" i="1" a="1"/>
  <c r="D28" i="1"/>
  <c r="W27" i="1"/>
  <c r="U27" i="1" a="1"/>
  <c r="U27" i="1" s="1"/>
  <c r="S27" i="1"/>
  <c r="P27" i="1" a="1"/>
  <c r="P27" i="1" s="1"/>
  <c r="N27" i="1"/>
  <c r="J27" i="1"/>
  <c r="J27" i="1" a="1"/>
  <c r="G27" i="1" a="1"/>
  <c r="G27" i="1" s="1"/>
  <c r="D27" i="1"/>
  <c r="W26" i="1"/>
  <c r="U26" i="1"/>
  <c r="U26" i="1" a="1"/>
  <c r="S26" i="1"/>
  <c r="P26" i="1"/>
  <c r="P26" i="1" a="1"/>
  <c r="N26" i="1"/>
  <c r="J26" i="1" a="1"/>
  <c r="J26" i="1" s="1"/>
  <c r="G26" i="1" a="1"/>
  <c r="G26" i="1" s="1"/>
  <c r="D26" i="1"/>
  <c r="W25" i="1"/>
  <c r="U25" i="1" a="1"/>
  <c r="U25" i="1" s="1"/>
  <c r="S25" i="1"/>
  <c r="P25" i="1"/>
  <c r="P25" i="1" a="1"/>
  <c r="N25" i="1"/>
  <c r="J25" i="1" a="1"/>
  <c r="J25" i="1" s="1"/>
  <c r="G25" i="1"/>
  <c r="G25" i="1" a="1"/>
  <c r="D25" i="1"/>
  <c r="W24" i="1"/>
  <c r="U24" i="1" a="1"/>
  <c r="U24" i="1" s="1"/>
  <c r="S24" i="1"/>
  <c r="P24" i="1" a="1"/>
  <c r="P24" i="1" s="1"/>
  <c r="N24" i="1"/>
  <c r="J24" i="1"/>
  <c r="J24" i="1" a="1"/>
  <c r="G24" i="1"/>
  <c r="G24" i="1" a="1"/>
  <c r="D24" i="1"/>
  <c r="W23" i="1"/>
  <c r="U23" i="1"/>
  <c r="U23" i="1" a="1"/>
  <c r="S23" i="1"/>
  <c r="P23" i="1" a="1"/>
  <c r="P23" i="1" s="1"/>
  <c r="N23" i="1"/>
  <c r="J23" i="1"/>
  <c r="J23" i="1" a="1"/>
  <c r="G23" i="1"/>
  <c r="G23" i="1" a="1"/>
  <c r="D23" i="1"/>
  <c r="W22" i="1"/>
  <c r="U22" i="1" a="1"/>
  <c r="U22" i="1" s="1"/>
  <c r="S22" i="1"/>
  <c r="P22" i="1" a="1"/>
  <c r="P22" i="1" s="1"/>
  <c r="N22" i="1"/>
  <c r="J22" i="1"/>
  <c r="J22" i="1" a="1"/>
  <c r="G22" i="1"/>
  <c r="G22" i="1" a="1"/>
  <c r="D22" i="1"/>
  <c r="W21" i="1"/>
  <c r="U21" i="1"/>
  <c r="U21" i="1" a="1"/>
  <c r="S21" i="1"/>
  <c r="P21" i="1" a="1"/>
  <c r="P21" i="1" s="1"/>
  <c r="N21" i="1"/>
  <c r="J21" i="1"/>
  <c r="J21" i="1" a="1"/>
  <c r="G21" i="1" a="1"/>
  <c r="G21" i="1" s="1"/>
  <c r="D21" i="1"/>
  <c r="W20" i="1"/>
  <c r="U20" i="1"/>
  <c r="U20" i="1" a="1"/>
  <c r="S20" i="1"/>
  <c r="P20" i="1"/>
  <c r="P20" i="1" a="1"/>
  <c r="N20" i="1"/>
  <c r="J20" i="1" a="1"/>
  <c r="J20" i="1" s="1"/>
  <c r="G20" i="1" a="1"/>
  <c r="G20" i="1" s="1"/>
  <c r="D20" i="1"/>
  <c r="W19" i="1"/>
  <c r="U19" i="1" a="1"/>
  <c r="U19" i="1" s="1"/>
  <c r="S19" i="1"/>
  <c r="P19" i="1"/>
  <c r="P19" i="1" a="1"/>
  <c r="N19" i="1"/>
  <c r="J19" i="1" a="1"/>
  <c r="J19" i="1" s="1"/>
  <c r="G19" i="1"/>
  <c r="G19" i="1" a="1"/>
  <c r="D19" i="1"/>
  <c r="W18" i="1"/>
  <c r="U18" i="1"/>
  <c r="U18" i="1" a="1"/>
  <c r="S18" i="1"/>
  <c r="P18" i="1" a="1"/>
  <c r="P18" i="1" s="1"/>
  <c r="N18" i="1"/>
  <c r="J18" i="1"/>
  <c r="J18" i="1" a="1"/>
  <c r="G18" i="1"/>
  <c r="G18" i="1" a="1"/>
  <c r="D18" i="1"/>
  <c r="W17" i="1"/>
  <c r="U17" i="1"/>
  <c r="U17" i="1" a="1"/>
  <c r="S17" i="1"/>
  <c r="P17" i="1" a="1"/>
  <c r="P17" i="1" s="1"/>
  <c r="N17" i="1"/>
  <c r="J17" i="1"/>
  <c r="J17" i="1" a="1"/>
  <c r="G17" i="1"/>
  <c r="G17" i="1" a="1"/>
  <c r="D17" i="1"/>
  <c r="W16" i="1"/>
  <c r="U16" i="1" a="1"/>
  <c r="U16" i="1" s="1"/>
  <c r="S16" i="1"/>
  <c r="P16" i="1" a="1"/>
  <c r="P16" i="1" s="1"/>
  <c r="N16" i="1"/>
  <c r="J16" i="1"/>
  <c r="J16" i="1" a="1"/>
  <c r="G16" i="1"/>
  <c r="G16" i="1" a="1"/>
  <c r="D16" i="1"/>
  <c r="W15" i="1"/>
  <c r="U15" i="1" a="1"/>
  <c r="U15" i="1" s="1"/>
  <c r="S15" i="1"/>
  <c r="P15" i="1" a="1"/>
  <c r="P15" i="1" s="1"/>
  <c r="N15" i="1"/>
  <c r="J15" i="1"/>
  <c r="J15" i="1" a="1"/>
  <c r="G15" i="1" a="1"/>
  <c r="G15" i="1" s="1"/>
  <c r="D15" i="1"/>
  <c r="W14" i="1"/>
  <c r="U14" i="1"/>
  <c r="U14" i="1" a="1"/>
  <c r="S14" i="1"/>
  <c r="P14" i="1"/>
  <c r="P14" i="1" a="1"/>
  <c r="N14" i="1"/>
  <c r="J14" i="1" a="1"/>
  <c r="J14" i="1" s="1"/>
  <c r="G14" i="1" a="1"/>
  <c r="G14" i="1" s="1"/>
  <c r="D14" i="1"/>
  <c r="W13" i="1"/>
  <c r="U13" i="1" a="1"/>
  <c r="U13" i="1" s="1"/>
  <c r="S13" i="1"/>
  <c r="P13" i="1"/>
  <c r="P13" i="1" a="1"/>
  <c r="N13" i="1"/>
  <c r="J13" i="1" a="1"/>
  <c r="J13" i="1" s="1"/>
  <c r="G13" i="1"/>
  <c r="G13" i="1" a="1"/>
  <c r="D13" i="1"/>
  <c r="W12" i="1"/>
  <c r="U12" i="1" a="1"/>
  <c r="U12" i="1" s="1"/>
  <c r="S12" i="1"/>
  <c r="P12" i="1" a="1"/>
  <c r="P12" i="1" s="1"/>
  <c r="N12" i="1"/>
  <c r="J12" i="1"/>
  <c r="J12" i="1" a="1"/>
  <c r="G12" i="1"/>
  <c r="G12" i="1" a="1"/>
  <c r="D12" i="1"/>
  <c r="W11" i="1"/>
  <c r="U11" i="1"/>
  <c r="U11" i="1" a="1"/>
  <c r="S11" i="1"/>
  <c r="P11" i="1" a="1"/>
  <c r="P11" i="1" s="1"/>
  <c r="N11" i="1"/>
  <c r="J11" i="1"/>
  <c r="J11" i="1" a="1"/>
  <c r="G11" i="1"/>
  <c r="G11" i="1" a="1"/>
  <c r="D11" i="1"/>
  <c r="W10" i="1"/>
  <c r="U10" i="1"/>
  <c r="U10" i="1" a="1"/>
  <c r="S10" i="1"/>
  <c r="P10" i="1" a="1"/>
  <c r="P10" i="1" s="1"/>
  <c r="N10" i="1"/>
  <c r="J10" i="1"/>
  <c r="J10" i="1" a="1"/>
  <c r="G10" i="1"/>
  <c r="G10" i="1" a="1"/>
  <c r="D10" i="1"/>
  <c r="W9" i="1"/>
  <c r="U9" i="1"/>
  <c r="U9" i="1" a="1"/>
  <c r="S9" i="1"/>
  <c r="P9" i="1" a="1"/>
  <c r="P9" i="1" s="1"/>
  <c r="N9" i="1"/>
  <c r="J9" i="1"/>
  <c r="J9" i="1" a="1"/>
  <c r="G9" i="1" a="1"/>
  <c r="G9" i="1" s="1"/>
  <c r="D9" i="1"/>
  <c r="W8" i="1"/>
  <c r="U8" i="1"/>
  <c r="U8" i="1" a="1"/>
  <c r="S8" i="1"/>
  <c r="P8" i="1"/>
  <c r="P8" i="1" a="1"/>
  <c r="N8" i="1"/>
  <c r="J8" i="1" a="1"/>
  <c r="J8" i="1" s="1"/>
  <c r="G8" i="1" a="1"/>
  <c r="G8" i="1" s="1"/>
  <c r="D8" i="1"/>
  <c r="W7" i="1"/>
  <c r="U7" i="1" a="1"/>
  <c r="U7" i="1" s="1"/>
  <c r="S7" i="1"/>
  <c r="P7" i="1"/>
  <c r="P7" i="1" a="1"/>
  <c r="N7" i="1"/>
  <c r="J7" i="1" a="1"/>
  <c r="J7" i="1" s="1"/>
  <c r="G7" i="1"/>
  <c r="G7" i="1" a="1"/>
  <c r="D7" i="1"/>
  <c r="W6" i="1"/>
  <c r="U6" i="1" a="1"/>
  <c r="U6" i="1" s="1"/>
  <c r="S6" i="1"/>
  <c r="P6" i="1" a="1"/>
  <c r="P6" i="1" s="1"/>
  <c r="N6" i="1"/>
  <c r="J6" i="1"/>
  <c r="J6" i="1" a="1"/>
  <c r="G6" i="1" a="1"/>
  <c r="G6" i="1" s="1"/>
  <c r="D6" i="1"/>
  <c r="W5" i="1"/>
  <c r="U5" i="1"/>
  <c r="U5" i="1" a="1"/>
  <c r="S5" i="1"/>
  <c r="P5" i="1" a="1"/>
  <c r="P5" i="1" s="1"/>
  <c r="N5" i="1"/>
  <c r="J5" i="1" a="1"/>
  <c r="J5" i="1" s="1"/>
  <c r="G5" i="1"/>
  <c r="G5" i="1" a="1"/>
  <c r="D5" i="1"/>
  <c r="W4" i="1"/>
  <c r="U4" i="1"/>
  <c r="U4" i="1" a="1"/>
  <c r="S4" i="1"/>
  <c r="P4" i="1" a="1"/>
  <c r="P4" i="1" s="1"/>
  <c r="N4" i="1"/>
  <c r="J4" i="1"/>
  <c r="J4" i="1" a="1"/>
  <c r="G4" i="1"/>
  <c r="G4" i="1" a="1"/>
  <c r="D4" i="1"/>
  <c r="W3" i="1"/>
  <c r="U3" i="1"/>
  <c r="U3" i="1" a="1"/>
  <c r="S3" i="1"/>
  <c r="P3" i="1" a="1"/>
  <c r="P3" i="1" s="1"/>
  <c r="N3" i="1"/>
  <c r="J3" i="1"/>
  <c r="J3" i="1" a="1"/>
  <c r="G3" i="1" a="1"/>
  <c r="G3" i="1" s="1"/>
  <c r="D3" i="1"/>
  <c r="W2" i="1"/>
  <c r="U2" i="1"/>
  <c r="U2" i="1" a="1"/>
  <c r="S2" i="1"/>
  <c r="P2" i="1" a="1"/>
  <c r="P2" i="1" s="1"/>
  <c r="N2" i="1"/>
  <c r="J2" i="1" a="1"/>
  <c r="J2" i="1" s="1"/>
  <c r="G2" i="1" a="1"/>
  <c r="G2" i="1" s="1"/>
  <c r="D2" i="1"/>
  <c r="D18" i="3"/>
  <c r="F82" i="3"/>
  <c r="C24" i="3"/>
  <c r="F79" i="3"/>
  <c r="C56" i="3"/>
  <c r="D71" i="3"/>
  <c r="F71" i="3"/>
  <c r="F11" i="3"/>
  <c r="D81" i="3"/>
  <c r="F81" i="3"/>
  <c r="C18" i="3"/>
  <c r="F72" i="3"/>
  <c r="E89" i="3"/>
  <c r="C48" i="3"/>
  <c r="E41" i="3"/>
  <c r="F80" i="3"/>
  <c r="F70" i="3"/>
  <c r="E40" i="3"/>
  <c r="D69" i="3"/>
  <c r="C32" i="3"/>
  <c r="F69" i="3"/>
  <c r="E90" i="3"/>
  <c r="D82" i="3"/>
  <c r="D72" i="3"/>
  <c r="D70" i="3"/>
  <c r="F10" i="3"/>
  <c r="D80" i="3"/>
  <c r="D73" i="3"/>
  <c r="D79" i="3"/>
  <c r="C62" i="3"/>
  <c r="A8" i="4"/>
  <c r="A13" i="4" l="1"/>
  <c r="M8" i="4"/>
  <c r="R8" i="4"/>
  <c r="W8" i="4"/>
  <c r="F8" i="4"/>
  <c r="F73" i="3"/>
  <c r="F13"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<sst xmlns="http://schemas.openxmlformats.org/spreadsheetml/2006/main" count="22055" uniqueCount="125">
  <si>
    <t>Applicant_ID</t>
  </si>
  <si>
    <t>Applicant_Income</t>
  </si>
  <si>
    <t>Coapplicant_Income</t>
  </si>
  <si>
    <t>Total_Income</t>
  </si>
  <si>
    <t>Employment_Status</t>
  </si>
  <si>
    <t>Age</t>
  </si>
  <si>
    <t>Age_Group</t>
  </si>
  <si>
    <t>Marital_Status</t>
  </si>
  <si>
    <t>Dependents</t>
  </si>
  <si>
    <t>Dependents Group</t>
  </si>
  <si>
    <t>Credit_Score</t>
  </si>
  <si>
    <t>Credit Categorical</t>
  </si>
  <si>
    <t>Existing_Loans</t>
  </si>
  <si>
    <t>Has_Existing_Loan</t>
  </si>
  <si>
    <t>DTI_Ratio</t>
  </si>
  <si>
    <t>DTI RISK LEVEL</t>
  </si>
  <si>
    <t>Savings</t>
  </si>
  <si>
    <t>Collateral_Value</t>
  </si>
  <si>
    <t>Has Collateral</t>
  </si>
  <si>
    <t>Loan_Amount</t>
  </si>
  <si>
    <t>Loan Size</t>
  </si>
  <si>
    <t>Loan_Term</t>
  </si>
  <si>
    <t>Loan_Term_Year</t>
  </si>
  <si>
    <t>Loan_Purpose</t>
  </si>
  <si>
    <t>Property_Area</t>
  </si>
  <si>
    <t>Education_Level</t>
  </si>
  <si>
    <t>Gender</t>
  </si>
  <si>
    <t>Employer_Category</t>
  </si>
  <si>
    <t>Loan_Approved</t>
  </si>
  <si>
    <t>Salaried</t>
  </si>
  <si>
    <t>Married</t>
  </si>
  <si>
    <t>Personal</t>
  </si>
  <si>
    <t>Urban</t>
  </si>
  <si>
    <t>Not Graduate</t>
  </si>
  <si>
    <t>Female</t>
  </si>
  <si>
    <t>Private</t>
  </si>
  <si>
    <t>No</t>
  </si>
  <si>
    <t>Car</t>
  </si>
  <si>
    <t>Semiurban</t>
  </si>
  <si>
    <t>Graduate</t>
  </si>
  <si>
    <t>Male</t>
  </si>
  <si>
    <t>Single</t>
  </si>
  <si>
    <t>Business</t>
  </si>
  <si>
    <t>Government</t>
  </si>
  <si>
    <t>Yes</t>
  </si>
  <si>
    <t>Rural</t>
  </si>
  <si>
    <t>Self-employed</t>
  </si>
  <si>
    <t>Home</t>
  </si>
  <si>
    <t>Unemployed</t>
  </si>
  <si>
    <t>Contract</t>
  </si>
  <si>
    <t>Education</t>
  </si>
  <si>
    <t>MNC</t>
  </si>
  <si>
    <t>other</t>
  </si>
  <si>
    <t>44-54</t>
  </si>
  <si>
    <t>No Dependents</t>
  </si>
  <si>
    <t>fair</t>
  </si>
  <si>
    <t>Very High Risk</t>
  </si>
  <si>
    <t>Medium</t>
  </si>
  <si>
    <t>Third</t>
  </si>
  <si>
    <t>Low Risk</t>
  </si>
  <si>
    <t>Very Large</t>
  </si>
  <si>
    <t>25-35</t>
  </si>
  <si>
    <t>Two</t>
  </si>
  <si>
    <t>Good</t>
  </si>
  <si>
    <t>Large</t>
  </si>
  <si>
    <t>35-44</t>
  </si>
  <si>
    <t>Poor</t>
  </si>
  <si>
    <t>medium Risk</t>
  </si>
  <si>
    <t>One</t>
  </si>
  <si>
    <t>55+</t>
  </si>
  <si>
    <t>High Risk</t>
  </si>
  <si>
    <t>Very Good</t>
  </si>
  <si>
    <t>18-24</t>
  </si>
  <si>
    <t>Small</t>
  </si>
  <si>
    <t>KPI Q1- Total Applications</t>
  </si>
  <si>
    <t>Count of Applicant_ID</t>
  </si>
  <si>
    <t>KPI Q2- Q3 Total Approved Loans Vs Total Rejected Loans.</t>
  </si>
  <si>
    <t>Row Labels</t>
  </si>
  <si>
    <t>Grand Total</t>
  </si>
  <si>
    <t>Count of Loan_Approved</t>
  </si>
  <si>
    <t>KPI Q4- Approved Rate(%)</t>
  </si>
  <si>
    <t>KPI Q5- Rejection Rate (%)</t>
  </si>
  <si>
    <t>KPI Q6- Total loan Amount Applied</t>
  </si>
  <si>
    <t>Sum of Loan_Amount</t>
  </si>
  <si>
    <t>KPI Q7- Total Loan Amount Approved</t>
  </si>
  <si>
    <t>KPI Q8- Average Loan Amount.</t>
  </si>
  <si>
    <t>Average of Loan_Amount</t>
  </si>
  <si>
    <t>KPI Q9- Average Applicant Income</t>
  </si>
  <si>
    <t>Average of Applicant_Income</t>
  </si>
  <si>
    <t>KPI Q10- Average DTI Ratio</t>
  </si>
  <si>
    <t>Average of DTI_Ratio</t>
  </si>
  <si>
    <t>KPI Q11- DTI High-Risk Applicants %</t>
  </si>
  <si>
    <t>Count of DTI RISK LEVEL</t>
  </si>
  <si>
    <t>KPI Q12 - Low Credit Score %</t>
  </si>
  <si>
    <t>Count of Credit Categorical</t>
  </si>
  <si>
    <t>KPI Q13 - Loans Without Collateral %</t>
  </si>
  <si>
    <t>Count of Collateral_Value</t>
  </si>
  <si>
    <t>Q1- DTI Risk Level Affect Loan.</t>
  </si>
  <si>
    <t>Q2- Which loan purpose has the highest approvel rate.</t>
  </si>
  <si>
    <t>Count of Loan_Purpose</t>
  </si>
  <si>
    <t>Count of Property_Area</t>
  </si>
  <si>
    <t>Q3- approval trend by property area (urban/ rural/semi-urban).</t>
  </si>
  <si>
    <t>Q4- Does higher income lead to higher loan approval.</t>
  </si>
  <si>
    <t>Q5- Average loan amount by *Income Group / Loan Size..?</t>
  </si>
  <si>
    <t>Q6- How does *Savings level impact approval*?</t>
  </si>
  <si>
    <t>Average of Savings</t>
  </si>
  <si>
    <t>Q7- Loan approval by *Employer Category*?</t>
  </si>
  <si>
    <t>Count of Employer_Category</t>
  </si>
  <si>
    <t>Q8- Relationship between *DTI Risk Level &amp; Loan Size*?</t>
  </si>
  <si>
    <t>Column Labels</t>
  </si>
  <si>
    <t>Q9- Loan approval vs *Existing Loans count*?</t>
  </si>
  <si>
    <t>Q10- Approval rate by *Age Group*?</t>
  </si>
  <si>
    <t>slicer</t>
  </si>
  <si>
    <t>Q11- Approval rate by *Gender*?</t>
  </si>
  <si>
    <t>Q12- Impact of *Marital Status &amp; Dependents Group*?</t>
  </si>
  <si>
    <t>Q13- Which age group applies for the *highest loan amount*?</t>
  </si>
  <si>
    <t>Q14- Preferred *Loan Term (Years)* by applicants?</t>
  </si>
  <si>
    <t>LOAN APPROVAL DASHBOARD</t>
  </si>
  <si>
    <t>Total Applications</t>
  </si>
  <si>
    <t>Total loan Amount Applied</t>
  </si>
  <si>
    <t>Average DTI Ratio</t>
  </si>
  <si>
    <t xml:space="preserve">Approved Rate VS Rejection Rate </t>
  </si>
  <si>
    <t>Average Loan Amount</t>
  </si>
  <si>
    <t>Average Applicant Income</t>
  </si>
  <si>
    <t>DTI High-Risk Applicants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</si>
</sst>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quot;M&quot;"/>
  </numFmts>
  <fonts count="8" x14ac:knownFonts="1">
    <font>
      <sz val="11"/>
      <color theme="1"/>
      <name val="Calibri"/>
      <family val="2"/>
      <scheme val="minor"/>
    </font>
    <font>
      <sz val="11"/>
      <color theme="1"/>
      <name val="Calibri"/>
      <family val="2"/>
      <scheme val="minor"/>
    </font>
    <font>
      <b/>
      <sz val="14"/>
      <color theme="1"/>
      <name val="Calibri"/>
      <family val="2"/>
      <scheme val="minor"/>
    </font>
    <font>
      <b/>
      <sz val="18"/>
      <color theme="1"/>
      <name val="Calibri"/>
      <family val="2"/>
      <scheme val="minor"/>
    </font>
    <font>
      <u/>
      <sz val="11"/>
      <color theme="1"/>
      <name val="Calibri"/>
      <family val="2"/>
      <scheme val="minor"/>
    </font>
    <font>
      <b/>
      <u/>
      <sz val="36"/>
      <color theme="8" tint="-0.499984740745262"/>
      <name val="Calibri"/>
      <family val="2"/>
      <scheme val="minor"/>
    </font>
    <font>
      <b/>
      <sz val="20"/>
      <color theme="1"/>
      <name val="Calibri"/>
      <family val="2"/>
      <scheme val="minor"/>
    </font>
    <font>
      <b/>
      <sz val="22"/>
      <color theme="1"/>
      <name val="Calibri"/>
      <family val="2"/>
      <scheme val="minor"/>
    </font>
  </fonts>
  <fills count="6">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56">
    <xf numFmtId="0" fontId="0" fillId="0" borderId="0" xfId="0"/>
    <xf numFmtId="0" fontId="0" fillId="2" borderId="0" xfId="0" applyFill="1"/>
    <xf numFmtId="0" fontId="2" fillId="0" borderId="0" xfId="0" applyFon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2" fontId="0" fillId="0" borderId="0" xfId="0" applyNumberFormat="1"/>
    <xf numFmtId="1" fontId="0" fillId="0" borderId="0" xfId="0" applyNumberFormat="1"/>
    <xf numFmtId="0" fontId="2" fillId="0" borderId="0" xfId="0" applyFont="1" applyAlignment="1">
      <alignment horizontal="left"/>
    </xf>
    <xf numFmtId="0" fontId="0" fillId="3" borderId="0" xfId="0" applyFill="1"/>
    <xf numFmtId="0" fontId="0" fillId="4" borderId="0" xfId="0" applyFill="1"/>
    <xf numFmtId="0" fontId="0" fillId="4" borderId="0" xfId="0" applyFill="1" applyAlignment="1">
      <alignment vertical="top"/>
    </xf>
    <xf numFmtId="0" fontId="4" fillId="0" borderId="0" xfId="0" applyFont="1"/>
    <xf numFmtId="0" fontId="5" fillId="5" borderId="7" xfId="0" applyFont="1" applyFill="1" applyBorder="1" applyAlignment="1">
      <alignment horizontal="center" vertical="center"/>
    </xf>
    <xf numFmtId="0" fontId="3" fillId="5" borderId="6" xfId="0" applyFont="1" applyFill="1" applyBorder="1" applyAlignment="1">
      <alignment horizontal="center" vertical="center"/>
    </xf>
    <xf numFmtId="0" fontId="5" fillId="5" borderId="0" xfId="0" applyFont="1" applyFill="1" applyBorder="1" applyAlignment="1">
      <alignment horizontal="center" vertical="center"/>
    </xf>
    <xf numFmtId="0" fontId="3" fillId="5" borderId="0" xfId="0" applyFont="1" applyFill="1" applyBorder="1" applyAlignment="1">
      <alignment horizontal="center" vertical="center"/>
    </xf>
    <xf numFmtId="0" fontId="3" fillId="5" borderId="8" xfId="0" applyFont="1" applyFill="1" applyBorder="1" applyAlignment="1">
      <alignment horizontal="center" vertical="center"/>
    </xf>
    <xf numFmtId="164" fontId="3" fillId="5" borderId="8" xfId="0" applyNumberFormat="1" applyFont="1" applyFill="1" applyBorder="1" applyAlignment="1">
      <alignment horizontal="center" vertical="center"/>
    </xf>
    <xf numFmtId="0" fontId="3" fillId="5" borderId="3" xfId="0" applyFont="1" applyFill="1" applyBorder="1" applyAlignment="1">
      <alignment horizontal="center" vertical="center"/>
    </xf>
    <xf numFmtId="0" fontId="3" fillId="5" borderId="2" xfId="0" applyFont="1" applyFill="1" applyBorder="1" applyAlignment="1">
      <alignment horizontal="center" vertical="center"/>
    </xf>
    <xf numFmtId="0" fontId="7" fillId="5" borderId="1"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0"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5" xfId="0" applyFont="1" applyFill="1" applyBorder="1" applyAlignment="1">
      <alignment horizontal="center" vertical="center"/>
    </xf>
    <xf numFmtId="9" fontId="3" fillId="5" borderId="1" xfId="0" applyNumberFormat="1" applyFont="1" applyFill="1" applyBorder="1" applyAlignment="1">
      <alignment horizontal="center" vertical="center"/>
    </xf>
    <xf numFmtId="9" fontId="6" fillId="5" borderId="1" xfId="0" applyNumberFormat="1" applyFont="1" applyFill="1" applyBorder="1" applyAlignment="1">
      <alignment horizontal="center" vertical="center"/>
    </xf>
    <xf numFmtId="164" fontId="3" fillId="5" borderId="1" xfId="0" applyNumberFormat="1" applyFont="1" applyFill="1" applyBorder="1" applyAlignment="1">
      <alignment horizontal="center" vertical="center"/>
    </xf>
    <xf numFmtId="164" fontId="3" fillId="5" borderId="2" xfId="0" applyNumberFormat="1" applyFont="1" applyFill="1" applyBorder="1" applyAlignment="1">
      <alignment horizontal="center" vertical="center"/>
    </xf>
    <xf numFmtId="164" fontId="3" fillId="5" borderId="3" xfId="0" applyNumberFormat="1" applyFont="1" applyFill="1" applyBorder="1" applyAlignment="1">
      <alignment horizontal="center" vertical="center"/>
    </xf>
    <xf numFmtId="164" fontId="3" fillId="5" borderId="6" xfId="0" applyNumberFormat="1" applyFont="1" applyFill="1" applyBorder="1" applyAlignment="1">
      <alignment horizontal="center" vertical="center"/>
    </xf>
    <xf numFmtId="164" fontId="3" fillId="5" borderId="7" xfId="0" applyNumberFormat="1" applyFont="1" applyFill="1" applyBorder="1" applyAlignment="1">
      <alignment horizontal="center" vertical="center"/>
    </xf>
    <xf numFmtId="2" fontId="3" fillId="5" borderId="2" xfId="0" applyNumberFormat="1" applyFont="1" applyFill="1" applyBorder="1" applyAlignment="1">
      <alignment horizontal="center" vertical="center"/>
    </xf>
    <xf numFmtId="3" fontId="3" fillId="5" borderId="1" xfId="0" applyNumberFormat="1" applyFont="1" applyFill="1" applyBorder="1" applyAlignment="1">
      <alignment horizontal="center" vertical="center"/>
    </xf>
    <xf numFmtId="3" fontId="3" fillId="5" borderId="2" xfId="0" applyNumberFormat="1" applyFont="1" applyFill="1" applyBorder="1" applyAlignment="1">
      <alignment horizontal="center" vertical="center"/>
    </xf>
    <xf numFmtId="3" fontId="3" fillId="5" borderId="3" xfId="0" applyNumberFormat="1" applyFont="1" applyFill="1" applyBorder="1" applyAlignment="1">
      <alignment horizontal="center" vertical="center"/>
    </xf>
    <xf numFmtId="3" fontId="3" fillId="5" borderId="6" xfId="0" applyNumberFormat="1" applyFont="1" applyFill="1" applyBorder="1" applyAlignment="1">
      <alignment horizontal="center" vertical="center"/>
    </xf>
    <xf numFmtId="3" fontId="3" fillId="5" borderId="7" xfId="0" applyNumberFormat="1" applyFont="1" applyFill="1" applyBorder="1" applyAlignment="1">
      <alignment horizontal="center" vertical="center"/>
    </xf>
    <xf numFmtId="3" fontId="3" fillId="5" borderId="8" xfId="0" applyNumberFormat="1" applyFont="1" applyFill="1" applyBorder="1" applyAlignment="1">
      <alignment horizontal="center" vertical="center"/>
    </xf>
    <xf numFmtId="2" fontId="3" fillId="5" borderId="7" xfId="0" applyNumberFormat="1" applyFont="1" applyFill="1" applyBorder="1" applyAlignment="1">
      <alignment horizontal="center" vertical="center"/>
    </xf>
    <xf numFmtId="2" fontId="3" fillId="5" borderId="3" xfId="0" applyNumberFormat="1" applyFont="1" applyFill="1" applyBorder="1" applyAlignment="1">
      <alignment horizontal="center" vertical="center"/>
    </xf>
    <xf numFmtId="2" fontId="3" fillId="5" borderId="8" xfId="0" applyNumberFormat="1" applyFont="1" applyFill="1" applyBorder="1" applyAlignment="1">
      <alignment horizontal="center" vertical="center"/>
    </xf>
    <xf numFmtId="0" fontId="0" fillId="0" borderId="0" xfId="0" applyNumberFormat="1"/>
    <xf numFmtId="0" fontId="0" fillId="4" borderId="0" xfId="0" applyFill="1" applyBorder="1" applyAlignment="1">
      <alignment vertical="center"/>
    </xf>
    <xf numFmtId="9" fontId="3" fillId="4" borderId="0" xfId="0" applyNumberFormat="1" applyFont="1" applyFill="1" applyBorder="1" applyAlignment="1">
      <alignment vertical="center"/>
    </xf>
    <xf numFmtId="0" fontId="3" fillId="4" borderId="0" xfId="0" applyFont="1" applyFill="1" applyBorder="1" applyAlignment="1">
      <alignment vertical="center"/>
    </xf>
  </cellXfs>
  <cellStyles count="2">
    <cellStyle name="Normal" xfId="0" builtinId="0"/>
    <cellStyle name="Percent" xfId="1" builtinId="5"/>
  </cellStyles>
  <dxfs count="1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4"/>
        </bottom>
        <vertical/>
        <horizontal/>
      </border>
    </dxf>
    <dxf>
      <font>
        <color theme="1"/>
      </font>
      <fill>
        <patternFill>
          <bgColor theme="9" tint="0.7999816888943144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464AEF54-C006-45AE-854D-D9E2067A65E3}">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[Loan_Approved_Sagar (1).xlsx]Pivot table!PivotTable19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table'!$C$183:$C$184</c:f>
              <c:strCache>
                <c:ptCount val="1"/>
                <c:pt idx="0">
                  <c:v>High Risk</c:v>
                </c:pt>
              </c:strCache>
            </c:strRef>
          </c:tx>
          <c:spPr>
            <a:solidFill>
              <a:schemeClr val="accent1"/>
            </a:solidFill>
            <a:ln>
              <a:noFill/>
            </a:ln>
            <a:effectLst/>
          </c:spPr>
          <c:invertIfNegative val="0"/>
          <c:cat>
            <c:strRef>
              <c:f>'Pivot table'!$B$185:$B$189</c:f>
              <c:strCache>
                <c:ptCount val="4"/>
                <c:pt idx="0">
                  <c:v>Large</c:v>
                </c:pt>
                <c:pt idx="1">
                  <c:v>Medium</c:v>
                </c:pt>
                <c:pt idx="2">
                  <c:v>Small</c:v>
                </c:pt>
                <c:pt idx="3">
                  <c:v>Very Large</c:v>
                </c:pt>
              </c:strCache>
            </c:strRef>
          </c:cat>
          <c:val>
            <c:numRef>
              <c:f>'Pivot table'!$C$185:$C$189</c:f>
              <c:numCache>
                <c:formatCode>General</c:formatCode>
                <c:ptCount val="4"/>
                <c:pt idx="0">
                  <c:v>56</c:v>
                </c:pt>
                <c:pt idx="1">
                  <c:v>50</c:v>
                </c:pt>
                <c:pt idx="2">
                  <c:v>21</c:v>
                </c:pt>
                <c:pt idx="3">
                  <c:v>26</c:v>
                </c:pt>
              </c:numCache>
            </c:numRef>
          </c:val>
          <c:extLst>
            <c:ext xmlns:c16="http://schemas.microsoft.com/office/drawing/2014/chart" uri="{C3380CC4-5D6E-409C-BE32-E72D297353CC}">
              <c16:uniqueId val="{00000000-F13E-416B-B62B-9D063C140690}"/>
            </c:ext>
          </c:extLst>
        </c:ser>
        <c:ser>
          <c:idx val="1"/>
          <c:order val="1"/>
          <c:tx>
            <c:strRef>
              <c:f>'Pivot table'!$D$183:$D$184</c:f>
              <c:strCache>
                <c:ptCount val="1"/>
                <c:pt idx="0">
                  <c:v>Low Risk</c:v>
                </c:pt>
              </c:strCache>
            </c:strRef>
          </c:tx>
          <c:spPr>
            <a:solidFill>
              <a:schemeClr val="accent2"/>
            </a:solidFill>
            <a:ln>
              <a:noFill/>
            </a:ln>
            <a:effectLst/>
          </c:spPr>
          <c:invertIfNegative val="0"/>
          <c:cat>
            <c:strRef>
              <c:f>'Pivot table'!$B$185:$B$189</c:f>
              <c:strCache>
                <c:ptCount val="4"/>
                <c:pt idx="0">
                  <c:v>Large</c:v>
                </c:pt>
                <c:pt idx="1">
                  <c:v>Medium</c:v>
                </c:pt>
                <c:pt idx="2">
                  <c:v>Small</c:v>
                </c:pt>
                <c:pt idx="3">
                  <c:v>Very Large</c:v>
                </c:pt>
              </c:strCache>
            </c:strRef>
          </c:cat>
          <c:val>
            <c:numRef>
              <c:f>'Pivot table'!$D$185:$D$189</c:f>
              <c:numCache>
                <c:formatCode>General</c:formatCode>
                <c:ptCount val="4"/>
                <c:pt idx="0">
                  <c:v>118</c:v>
                </c:pt>
                <c:pt idx="1">
                  <c:v>141</c:v>
                </c:pt>
                <c:pt idx="2">
                  <c:v>71</c:v>
                </c:pt>
                <c:pt idx="3">
                  <c:v>42</c:v>
                </c:pt>
              </c:numCache>
            </c:numRef>
          </c:val>
          <c:extLst>
            <c:ext xmlns:c16="http://schemas.microsoft.com/office/drawing/2014/chart" uri="{C3380CC4-5D6E-409C-BE32-E72D297353CC}">
              <c16:uniqueId val="{00000000-EF79-4272-86D4-890979B9181D}"/>
            </c:ext>
          </c:extLst>
        </c:ser>
        <c:ser>
          <c:idx val="2"/>
          <c:order val="2"/>
          <c:tx>
            <c:strRef>
              <c:f>'Pivot table'!$E$183:$E$184</c:f>
              <c:strCache>
                <c:ptCount val="1"/>
                <c:pt idx="0">
                  <c:v>medium Risk</c:v>
                </c:pt>
              </c:strCache>
            </c:strRef>
          </c:tx>
          <c:spPr>
            <a:solidFill>
              <a:schemeClr val="accent3"/>
            </a:solidFill>
            <a:ln>
              <a:noFill/>
            </a:ln>
            <a:effectLst/>
          </c:spPr>
          <c:invertIfNegative val="0"/>
          <c:cat>
            <c:strRef>
              <c:f>'Pivot table'!$B$185:$B$189</c:f>
              <c:strCache>
                <c:ptCount val="4"/>
                <c:pt idx="0">
                  <c:v>Large</c:v>
                </c:pt>
                <c:pt idx="1">
                  <c:v>Medium</c:v>
                </c:pt>
                <c:pt idx="2">
                  <c:v>Small</c:v>
                </c:pt>
                <c:pt idx="3">
                  <c:v>Very Large</c:v>
                </c:pt>
              </c:strCache>
            </c:strRef>
          </c:cat>
          <c:val>
            <c:numRef>
              <c:f>'Pivot table'!$E$185:$E$189</c:f>
              <c:numCache>
                <c:formatCode>General</c:formatCode>
                <c:ptCount val="4"/>
                <c:pt idx="0">
                  <c:v>116</c:v>
                </c:pt>
                <c:pt idx="1">
                  <c:v>77</c:v>
                </c:pt>
                <c:pt idx="2">
                  <c:v>28</c:v>
                </c:pt>
                <c:pt idx="3">
                  <c:v>28</c:v>
                </c:pt>
              </c:numCache>
            </c:numRef>
          </c:val>
          <c:extLst>
            <c:ext xmlns:c16="http://schemas.microsoft.com/office/drawing/2014/chart" uri="{C3380CC4-5D6E-409C-BE32-E72D297353CC}">
              <c16:uniqueId val="{00000001-EF79-4272-86D4-890979B9181D}"/>
            </c:ext>
          </c:extLst>
        </c:ser>
        <c:ser>
          <c:idx val="3"/>
          <c:order val="3"/>
          <c:tx>
            <c:strRef>
              <c:f>'Pivot table'!$F$183:$F$184</c:f>
              <c:strCache>
                <c:ptCount val="1"/>
                <c:pt idx="0">
                  <c:v>Very High Risk</c:v>
                </c:pt>
              </c:strCache>
            </c:strRef>
          </c:tx>
          <c:spPr>
            <a:solidFill>
              <a:schemeClr val="accent4"/>
            </a:solidFill>
            <a:ln>
              <a:noFill/>
            </a:ln>
            <a:effectLst/>
          </c:spPr>
          <c:invertIfNegative val="0"/>
          <c:cat>
            <c:strRef>
              <c:f>'Pivot table'!$B$185:$B$189</c:f>
              <c:strCache>
                <c:ptCount val="4"/>
                <c:pt idx="0">
                  <c:v>Large</c:v>
                </c:pt>
                <c:pt idx="1">
                  <c:v>Medium</c:v>
                </c:pt>
                <c:pt idx="2">
                  <c:v>Small</c:v>
                </c:pt>
                <c:pt idx="3">
                  <c:v>Very Large</c:v>
                </c:pt>
              </c:strCache>
            </c:strRef>
          </c:cat>
          <c:val>
            <c:numRef>
              <c:f>'Pivot table'!$F$185:$F$189</c:f>
              <c:numCache>
                <c:formatCode>General</c:formatCode>
                <c:ptCount val="4"/>
                <c:pt idx="0">
                  <c:v>59</c:v>
                </c:pt>
                <c:pt idx="1">
                  <c:v>62</c:v>
                </c:pt>
                <c:pt idx="2">
                  <c:v>32</c:v>
                </c:pt>
                <c:pt idx="3">
                  <c:v>23</c:v>
                </c:pt>
              </c:numCache>
            </c:numRef>
          </c:val>
          <c:extLst>
            <c:ext xmlns:c16="http://schemas.microsoft.com/office/drawing/2014/chart" uri="{C3380CC4-5D6E-409C-BE32-E72D297353CC}">
              <c16:uniqueId val="{00000002-EF79-4272-86D4-890979B9181D}"/>
            </c:ext>
          </c:extLst>
        </c:ser>
        <c:dLbls>
          <c:showLegendKey val="0"/>
          <c:showVal val="0"/>
          <c:showCatName val="0"/>
          <c:showSerName val="0"/>
          <c:showPercent val="0"/>
          <c:showBubbleSize val="0"/>
        </c:dLbls>
        <c:gapWidth val="219"/>
        <c:overlap val="-27"/>
        <c:axId val="765337504"/>
        <c:axId val="765336544"/>
      </c:barChart>
      <c:catAx>
        <c:axId val="76533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36544"/>
        <c:crosses val="autoZero"/>
        <c:auto val="1"/>
        <c:lblAlgn val="ctr"/>
        <c:lblOffset val="100"/>
        <c:noMultiLvlLbl val="0"/>
      </c:catAx>
      <c:valAx>
        <c:axId val="76533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3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[Loan_Approved_Sagar (1).xlsx]Pivot table!PivotTable22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table'!$C$220:$C$221</c:f>
              <c:strCache>
                <c:ptCount val="1"/>
                <c:pt idx="0">
                  <c:v>0</c:v>
                </c:pt>
              </c:strCache>
            </c:strRef>
          </c:tx>
          <c:spPr>
            <a:solidFill>
              <a:schemeClr val="accent1"/>
            </a:solidFill>
            <a:ln>
              <a:noFill/>
            </a:ln>
            <a:effectLst/>
          </c:spPr>
          <c:invertIfNegative val="0"/>
          <c:cat>
            <c:strRef>
              <c:f>'Pivot table'!$B$222:$B$224</c:f>
              <c:strCache>
                <c:ptCount val="2"/>
                <c:pt idx="0">
                  <c:v>Married</c:v>
                </c:pt>
                <c:pt idx="1">
                  <c:v>Single</c:v>
                </c:pt>
              </c:strCache>
            </c:strRef>
          </c:cat>
          <c:val>
            <c:numRef>
              <c:f>'Pivot table'!$C$222:$C$224</c:f>
              <c:numCache>
                <c:formatCode>General</c:formatCode>
                <c:ptCount val="2"/>
                <c:pt idx="0">
                  <c:v>173</c:v>
                </c:pt>
                <c:pt idx="1">
                  <c:v>91</c:v>
                </c:pt>
              </c:numCache>
            </c:numRef>
          </c:val>
          <c:extLst>
            <c:ext xmlns:c16="http://schemas.microsoft.com/office/drawing/2014/chart" uri="{C3380CC4-5D6E-409C-BE32-E72D297353CC}">
              <c16:uniqueId val="{00000000-0B28-4380-9954-6F7A85FBE485}"/>
            </c:ext>
          </c:extLst>
        </c:ser>
        <c:ser>
          <c:idx val="1"/>
          <c:order val="1"/>
          <c:tx>
            <c:strRef>
              <c:f>'Pivot table'!$D$220:$D$221</c:f>
              <c:strCache>
                <c:ptCount val="1"/>
                <c:pt idx="0">
                  <c:v>1</c:v>
                </c:pt>
              </c:strCache>
            </c:strRef>
          </c:tx>
          <c:spPr>
            <a:solidFill>
              <a:schemeClr val="accent2"/>
            </a:solidFill>
            <a:ln>
              <a:noFill/>
            </a:ln>
            <a:effectLst/>
          </c:spPr>
          <c:invertIfNegative val="0"/>
          <c:cat>
            <c:strRef>
              <c:f>'Pivot table'!$B$222:$B$224</c:f>
              <c:strCache>
                <c:ptCount val="2"/>
                <c:pt idx="0">
                  <c:v>Married</c:v>
                </c:pt>
                <c:pt idx="1">
                  <c:v>Single</c:v>
                </c:pt>
              </c:strCache>
            </c:strRef>
          </c:cat>
          <c:val>
            <c:numRef>
              <c:f>'Pivot table'!$D$222:$D$224</c:f>
              <c:numCache>
                <c:formatCode>General</c:formatCode>
                <c:ptCount val="2"/>
                <c:pt idx="0">
                  <c:v>156</c:v>
                </c:pt>
                <c:pt idx="1">
                  <c:v>99</c:v>
                </c:pt>
              </c:numCache>
            </c:numRef>
          </c:val>
          <c:extLst>
            <c:ext xmlns:c16="http://schemas.microsoft.com/office/drawing/2014/chart" uri="{C3380CC4-5D6E-409C-BE32-E72D297353CC}">
              <c16:uniqueId val="{00000001-0B28-4380-9954-6F7A85FBE485}"/>
            </c:ext>
          </c:extLst>
        </c:ser>
        <c:ser>
          <c:idx val="2"/>
          <c:order val="2"/>
          <c:tx>
            <c:strRef>
              <c:f>'Pivot table'!$E$220:$E$221</c:f>
              <c:strCache>
                <c:ptCount val="1"/>
                <c:pt idx="0">
                  <c:v>2</c:v>
                </c:pt>
              </c:strCache>
            </c:strRef>
          </c:tx>
          <c:spPr>
            <a:solidFill>
              <a:schemeClr val="accent3"/>
            </a:solidFill>
            <a:ln>
              <a:noFill/>
            </a:ln>
            <a:effectLst/>
          </c:spPr>
          <c:invertIfNegative val="0"/>
          <c:cat>
            <c:strRef>
              <c:f>'Pivot table'!$B$222:$B$224</c:f>
              <c:strCache>
                <c:ptCount val="2"/>
                <c:pt idx="0">
                  <c:v>Married</c:v>
                </c:pt>
                <c:pt idx="1">
                  <c:v>Single</c:v>
                </c:pt>
              </c:strCache>
            </c:strRef>
          </c:cat>
          <c:val>
            <c:numRef>
              <c:f>'Pivot table'!$E$222:$E$224</c:f>
              <c:numCache>
                <c:formatCode>General</c:formatCode>
                <c:ptCount val="2"/>
                <c:pt idx="0">
                  <c:v>135</c:v>
                </c:pt>
                <c:pt idx="1">
                  <c:v>72</c:v>
                </c:pt>
              </c:numCache>
            </c:numRef>
          </c:val>
          <c:extLst>
            <c:ext xmlns:c16="http://schemas.microsoft.com/office/drawing/2014/chart" uri="{C3380CC4-5D6E-409C-BE32-E72D297353CC}">
              <c16:uniqueId val="{00000002-0B28-4380-9954-6F7A85FBE485}"/>
            </c:ext>
          </c:extLst>
        </c:ser>
        <c:ser>
          <c:idx val="3"/>
          <c:order val="3"/>
          <c:tx>
            <c:strRef>
              <c:f>'Pivot table'!$F$220:$F$221</c:f>
              <c:strCache>
                <c:ptCount val="1"/>
                <c:pt idx="0">
                  <c:v>3</c:v>
                </c:pt>
              </c:strCache>
            </c:strRef>
          </c:tx>
          <c:spPr>
            <a:solidFill>
              <a:schemeClr val="accent4"/>
            </a:solidFill>
            <a:ln>
              <a:noFill/>
            </a:ln>
            <a:effectLst/>
          </c:spPr>
          <c:invertIfNegative val="0"/>
          <c:cat>
            <c:strRef>
              <c:f>'Pivot table'!$B$222:$B$224</c:f>
              <c:strCache>
                <c:ptCount val="2"/>
                <c:pt idx="0">
                  <c:v>Married</c:v>
                </c:pt>
                <c:pt idx="1">
                  <c:v>Single</c:v>
                </c:pt>
              </c:strCache>
            </c:strRef>
          </c:cat>
          <c:val>
            <c:numRef>
              <c:f>'Pivot table'!$F$222:$F$224</c:f>
              <c:numCache>
                <c:formatCode>General</c:formatCode>
                <c:ptCount val="2"/>
                <c:pt idx="0">
                  <c:v>145</c:v>
                </c:pt>
                <c:pt idx="1">
                  <c:v>79</c:v>
                </c:pt>
              </c:numCache>
            </c:numRef>
          </c:val>
          <c:extLst>
            <c:ext xmlns:c16="http://schemas.microsoft.com/office/drawing/2014/chart" uri="{C3380CC4-5D6E-409C-BE32-E72D297353CC}">
              <c16:uniqueId val="{00000003-0B28-4380-9954-6F7A85FBE485}"/>
            </c:ext>
          </c:extLst>
        </c:ser>
        <c:dLbls>
          <c:showLegendKey val="0"/>
          <c:showVal val="0"/>
          <c:showCatName val="0"/>
          <c:showSerName val="0"/>
          <c:showPercent val="0"/>
          <c:showBubbleSize val="0"/>
        </c:dLbls>
        <c:gapWidth val="219"/>
        <c:overlap val="-27"/>
        <c:axId val="631088592"/>
        <c:axId val="769510000"/>
      </c:barChart>
      <c:catAx>
        <c:axId val="63108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510000"/>
        <c:crosses val="autoZero"/>
        <c:auto val="1"/>
        <c:lblAlgn val="ctr"/>
        <c:lblOffset val="100"/>
        <c:noMultiLvlLbl val="0"/>
      </c:catAx>
      <c:valAx>
        <c:axId val="76951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08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[Loan_Approved_Sagar (1).xlsx]Pivot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DTI Risk Level Affect Loan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pivotFmt>
      <c:pivotFmt>
        <c:idx val="4"/>
        <c:spPr>
          <a:solidFill>
            <a:schemeClr val="accent1">
              <a:lumMod val="60000"/>
              <a:lumOff val="40000"/>
            </a:schemeClr>
          </a:solidFill>
          <a:ln>
            <a:noFill/>
          </a:ln>
          <a:effectLst/>
          <a:sp3d/>
        </c:spPr>
      </c:pivotFmt>
      <c:pivotFmt>
        <c:idx val="5"/>
        <c:spPr>
          <a:solidFill>
            <a:schemeClr val="accent1">
              <a:lumMod val="60000"/>
              <a:lumOff val="40000"/>
            </a:schemeClr>
          </a:solidFill>
          <a:ln>
            <a:noFill/>
          </a:ln>
          <a:effectLst/>
          <a:sp3d/>
        </c:spPr>
      </c:pivotFmt>
      <c:pivotFmt>
        <c:idx val="6"/>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solidFill>
          <a:schemeClr val="accent1">
            <a:lumMod val="20000"/>
            <a:lumOff val="80000"/>
          </a:schemeClr>
        </a:solidFill>
        <a:ln>
          <a:noFill/>
        </a:ln>
        <a:effectLst/>
        <a:sp3d/>
      </c:spPr>
    </c:sideWall>
    <c:backWall>
      <c:thickness val="0"/>
      <c:spPr>
        <a:solidFill>
          <a:schemeClr val="accent6">
            <a:lumMod val="20000"/>
            <a:lumOff val="80000"/>
          </a:schemeClr>
        </a:solidFill>
        <a:ln>
          <a:noFill/>
        </a:ln>
        <a:effectLst/>
        <a:sp3d/>
      </c:spPr>
    </c:backWall>
    <c:plotArea>
      <c:layout/>
      <c:bar3DChart>
        <c:barDir val="bar"/>
        <c:grouping val="clustered"/>
        <c:varyColors val="0"/>
        <c:ser>
          <c:idx val="0"/>
          <c:order val="0"/>
          <c:tx>
            <c:strRef>
              <c:f>'Pivot table'!$C$98</c:f>
              <c:strCache>
                <c:ptCount val="1"/>
                <c:pt idx="0">
                  <c:v>Total</c:v>
                </c:pt>
              </c:strCache>
            </c:strRef>
          </c:tx>
          <c:spPr>
            <a:solidFill>
              <a:schemeClr val="accent1">
                <a:lumMod val="60000"/>
                <a:lumOff val="40000"/>
              </a:schemeClr>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6-3366-4B53-9B6F-D2E21422F1CB}"/>
              </c:ext>
            </c:extLst>
          </c:dPt>
          <c:dPt>
            <c:idx val="3"/>
            <c:invertIfNegative val="0"/>
            <c:bubble3D val="0"/>
            <c:spPr>
              <a:solidFill>
                <a:schemeClr val="accent5"/>
              </a:solidFill>
              <a:ln>
                <a:noFill/>
              </a:ln>
              <a:effectLst/>
              <a:sp3d/>
            </c:spPr>
            <c:extLst>
              <c:ext xmlns:c16="http://schemas.microsoft.com/office/drawing/2014/chart" uri="{C3380CC4-5D6E-409C-BE32-E72D297353CC}">
                <c16:uniqueId val="{00000003-3366-4B53-9B6F-D2E21422F1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table'!$B$99:$B$103</c:f>
              <c:strCache>
                <c:ptCount val="4"/>
                <c:pt idx="0">
                  <c:v>High Risk</c:v>
                </c:pt>
                <c:pt idx="1">
                  <c:v>Low Risk</c:v>
                </c:pt>
                <c:pt idx="2">
                  <c:v>medium Risk</c:v>
                </c:pt>
                <c:pt idx="3">
                  <c:v>Very High Risk</c:v>
                </c:pt>
              </c:strCache>
            </c:strRef>
          </c:cat>
          <c:val>
            <c:numRef>
              <c:f>'Pivot table'!$C$99:$C$103</c:f>
              <c:numCache>
                <c:formatCode>General</c:formatCode>
                <c:ptCount val="4"/>
                <c:pt idx="0">
                  <c:v>153</c:v>
                </c:pt>
                <c:pt idx="1">
                  <c:v>372</c:v>
                </c:pt>
                <c:pt idx="2">
                  <c:v>249</c:v>
                </c:pt>
                <c:pt idx="3">
                  <c:v>176</c:v>
                </c:pt>
              </c:numCache>
            </c:numRef>
          </c:val>
          <c:extLst>
            <c:ext xmlns:c16="http://schemas.microsoft.com/office/drawing/2014/chart" uri="{C3380CC4-5D6E-409C-BE32-E72D297353CC}">
              <c16:uniqueId val="{00000000-3366-4B53-9B6F-D2E21422F1CB}"/>
            </c:ext>
          </c:extLst>
        </c:ser>
        <c:dLbls>
          <c:showLegendKey val="0"/>
          <c:showVal val="1"/>
          <c:showCatName val="0"/>
          <c:showSerName val="0"/>
          <c:showPercent val="0"/>
          <c:showBubbleSize val="0"/>
        </c:dLbls>
        <c:gapWidth val="150"/>
        <c:shape val="box"/>
        <c:axId val="233738575"/>
        <c:axId val="233740015"/>
        <c:axId val="0"/>
      </c:bar3DChart>
      <c:catAx>
        <c:axId val="2337385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740015"/>
        <c:crosses val="autoZero"/>
        <c:auto val="1"/>
        <c:lblAlgn val="ctr"/>
        <c:lblOffset val="100"/>
        <c:noMultiLvlLbl val="0"/>
      </c:catAx>
      <c:valAx>
        <c:axId val="2337400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73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[Loan_Approved_Sagar (1).xlsx]Pivot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Approval Rate by Loan Purpose</a:t>
            </a:r>
            <a:endParaRPr lang="en-US" sz="1800" b="1"/>
          </a:p>
        </c:rich>
      </c:tx>
      <c:layout>
        <c:manualLayout>
          <c:xMode val="edge"/>
          <c:yMode val="edge"/>
          <c:x val="0.16494201270067477"/>
          <c:y val="3.16666714160737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sp3d/>
        </c:spPr>
      </c:pivotFmt>
      <c:pivotFmt>
        <c:idx val="4"/>
        <c:spPr>
          <a:solidFill>
            <a:schemeClr val="accent5">
              <a:lumMod val="75000"/>
            </a:schemeClr>
          </a:solidFill>
          <a:ln>
            <a:noFill/>
          </a:ln>
          <a:effectLst/>
          <a:sp3d/>
        </c:spPr>
      </c:pivotFmt>
      <c:pivotFmt>
        <c:idx val="5"/>
        <c:spPr>
          <a:solidFill>
            <a:schemeClr val="accent1">
              <a:lumMod val="75000"/>
            </a:schemeClr>
          </a:solidFill>
          <a:ln>
            <a:noFill/>
          </a:ln>
          <a:effectLst/>
          <a:sp3d/>
        </c:spPr>
      </c:pivotFmt>
      <c:pivotFmt>
        <c:idx val="6"/>
        <c:spPr>
          <a:solidFill>
            <a:schemeClr val="accent5"/>
          </a:solidFill>
          <a:ln>
            <a:noFill/>
          </a:ln>
          <a:effectLst/>
          <a:sp3d/>
        </c:spPr>
        <c:dLbl>
          <c:idx val="0"/>
          <c:layout>
            <c:manualLayout>
              <c:x val="1.778188487979715E-2"/>
              <c:y val="-8.6946609647034021E-3"/>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table'!$C$110</c:f>
              <c:strCache>
                <c:ptCount val="1"/>
                <c:pt idx="0">
                  <c:v>Total</c:v>
                </c:pt>
              </c:strCache>
            </c:strRef>
          </c:tx>
          <c:spPr>
            <a:solidFill>
              <a:schemeClr val="accent1"/>
            </a:solidFill>
            <a:ln>
              <a:noFill/>
            </a:ln>
            <a:effectLst/>
            <a:sp3d/>
          </c:spPr>
          <c:invertIfNegative val="0"/>
          <c:dPt>
            <c:idx val="0"/>
            <c:invertIfNegative val="0"/>
            <c:bubble3D val="0"/>
            <c:spPr>
              <a:solidFill>
                <a:schemeClr val="accent5">
                  <a:lumMod val="50000"/>
                </a:schemeClr>
              </a:solidFill>
              <a:ln>
                <a:noFill/>
              </a:ln>
              <a:effectLst/>
              <a:sp3d/>
            </c:spPr>
            <c:extLst>
              <c:ext xmlns:c16="http://schemas.microsoft.com/office/drawing/2014/chart" uri="{C3380CC4-5D6E-409C-BE32-E72D297353CC}">
                <c16:uniqueId val="{00000001-6994-429B-98BC-F986EB1A775C}"/>
              </c:ext>
            </c:extLst>
          </c:dPt>
          <c:dPt>
            <c:idx val="1"/>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2-6994-429B-98BC-F986EB1A775C}"/>
              </c:ext>
            </c:extLst>
          </c:dPt>
          <c:dPt>
            <c:idx val="2"/>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3-6994-429B-98BC-F986EB1A775C}"/>
              </c:ext>
            </c:extLst>
          </c:dPt>
          <c:dPt>
            <c:idx val="3"/>
            <c:invertIfNegative val="0"/>
            <c:bubble3D val="0"/>
            <c:spPr>
              <a:solidFill>
                <a:schemeClr val="accent5"/>
              </a:solidFill>
              <a:ln>
                <a:noFill/>
              </a:ln>
              <a:effectLst/>
              <a:sp3d/>
            </c:spPr>
            <c:extLst>
              <c:ext xmlns:c16="http://schemas.microsoft.com/office/drawing/2014/chart" uri="{C3380CC4-5D6E-409C-BE32-E72D297353CC}">
                <c16:uniqueId val="{00000004-6994-429B-98BC-F986EB1A775C}"/>
              </c:ext>
            </c:extLst>
          </c:dPt>
          <c:dPt>
            <c:idx val="4"/>
            <c:invertIfNegative val="0"/>
            <c:bubble3D val="0"/>
            <c:spPr>
              <a:solidFill>
                <a:schemeClr val="accent1">
                  <a:lumMod val="60000"/>
                  <a:lumOff val="40000"/>
                </a:schemeClr>
              </a:solidFill>
              <a:ln>
                <a:noFill/>
              </a:ln>
              <a:effectLst/>
              <a:sp3d/>
            </c:spPr>
            <c:extLst>
              <c:ext xmlns:c16="http://schemas.microsoft.com/office/drawing/2014/chart" uri="{C3380CC4-5D6E-409C-BE32-E72D297353CC}">
                <c16:uniqueId val="{00000005-6994-429B-98BC-F986EB1A775C}"/>
              </c:ext>
            </c:extLst>
          </c:dPt>
          <c:dLbls>
            <c:dLbl>
              <c:idx val="3"/>
              <c:layout>
                <c:manualLayout>
                  <c:x val="1.778188487979715E-2"/>
                  <c:y val="-8.69466096470340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94-429B-98BC-F986EB1A775C}"/>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table'!$B$111:$B$116</c:f>
              <c:strCache>
                <c:ptCount val="5"/>
                <c:pt idx="0">
                  <c:v>Business</c:v>
                </c:pt>
                <c:pt idx="1">
                  <c:v>Car</c:v>
                </c:pt>
                <c:pt idx="2">
                  <c:v>Education</c:v>
                </c:pt>
                <c:pt idx="3">
                  <c:v>Home</c:v>
                </c:pt>
                <c:pt idx="4">
                  <c:v>Personal</c:v>
                </c:pt>
              </c:strCache>
            </c:strRef>
          </c:cat>
          <c:val>
            <c:numRef>
              <c:f>'Pivot table'!$C$111:$C$116</c:f>
              <c:numCache>
                <c:formatCode>General</c:formatCode>
                <c:ptCount val="5"/>
                <c:pt idx="0">
                  <c:v>243</c:v>
                </c:pt>
                <c:pt idx="1">
                  <c:v>186</c:v>
                </c:pt>
                <c:pt idx="2">
                  <c:v>171</c:v>
                </c:pt>
                <c:pt idx="3">
                  <c:v>180</c:v>
                </c:pt>
                <c:pt idx="4">
                  <c:v>170</c:v>
                </c:pt>
              </c:numCache>
            </c:numRef>
          </c:val>
          <c:extLst>
            <c:ext xmlns:c16="http://schemas.microsoft.com/office/drawing/2014/chart" uri="{C3380CC4-5D6E-409C-BE32-E72D297353CC}">
              <c16:uniqueId val="{00000000-6994-429B-98BC-F986EB1A775C}"/>
            </c:ext>
          </c:extLst>
        </c:ser>
        <c:dLbls>
          <c:showLegendKey val="0"/>
          <c:showVal val="1"/>
          <c:showCatName val="0"/>
          <c:showSerName val="0"/>
          <c:showPercent val="0"/>
          <c:showBubbleSize val="0"/>
        </c:dLbls>
        <c:gapWidth val="150"/>
        <c:shape val="box"/>
        <c:axId val="352395855"/>
        <c:axId val="352396335"/>
        <c:axId val="0"/>
      </c:bar3DChart>
      <c:catAx>
        <c:axId val="352395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96335"/>
        <c:crosses val="autoZero"/>
        <c:auto val="1"/>
        <c:lblAlgn val="ctr"/>
        <c:lblOffset val="100"/>
        <c:noMultiLvlLbl val="0"/>
      </c:catAx>
      <c:valAx>
        <c:axId val="352396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9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[Loan_Approved_Sagar (1).xlsx]Pivot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approval trend by property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lumMod val="75000"/>
            </a:schemeClr>
          </a:solidFill>
          <a:ln w="25400">
            <a:solidFill>
              <a:schemeClr val="lt1"/>
            </a:solidFill>
          </a:ln>
          <a:effectLst/>
          <a:sp3d contourW="25400">
            <a:contourClr>
              <a:schemeClr val="lt1"/>
            </a:contourClr>
          </a:sp3d>
        </c:spPr>
      </c:pivotFmt>
      <c:pivotFmt>
        <c:idx val="7"/>
        <c:spPr>
          <a:solidFill>
            <a:schemeClr val="accent5">
              <a:lumMod val="60000"/>
              <a:lumOff val="40000"/>
            </a:schemeClr>
          </a:solidFill>
          <a:ln w="25400">
            <a:solidFill>
              <a:schemeClr val="lt1"/>
            </a:solidFill>
          </a:ln>
          <a:effectLst/>
          <a:sp3d contourW="25400">
            <a:contourClr>
              <a:schemeClr val="lt1"/>
            </a:contourClr>
          </a:sp3d>
        </c:spPr>
      </c:pivotFmt>
      <c:pivotFmt>
        <c:idx val="8"/>
        <c:spPr>
          <a:solidFill>
            <a:schemeClr val="accent5">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89944975012E-2"/>
          <c:y val="0.208619109168933"/>
          <c:w val="0.8436514816309979"/>
          <c:h val="0.66738083597100273"/>
        </c:manualLayout>
      </c:layout>
      <c:pie3DChart>
        <c:varyColors val="1"/>
        <c:ser>
          <c:idx val="0"/>
          <c:order val="0"/>
          <c:tx>
            <c:strRef>
              <c:f>'Pivot table'!$C$122</c:f>
              <c:strCache>
                <c:ptCount val="1"/>
                <c:pt idx="0">
                  <c:v>Total</c:v>
                </c:pt>
              </c:strCache>
            </c:strRef>
          </c:tx>
          <c:dPt>
            <c:idx val="0"/>
            <c:bubble3D val="0"/>
            <c:spPr>
              <a:solidFill>
                <a:schemeClr val="accent5">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9DFE-4BDC-8D41-711C819E3043}"/>
              </c:ext>
            </c:extLst>
          </c:dPt>
          <c:dPt>
            <c:idx val="1"/>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9DFE-4BDC-8D41-711C819E3043}"/>
              </c:ext>
            </c:extLst>
          </c:dPt>
          <c:dPt>
            <c:idx val="2"/>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DFE-4BDC-8D41-711C819E304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table'!$B$123:$B$126</c:f>
              <c:strCache>
                <c:ptCount val="3"/>
                <c:pt idx="0">
                  <c:v>Rural</c:v>
                </c:pt>
                <c:pt idx="1">
                  <c:v>Semiurban</c:v>
                </c:pt>
                <c:pt idx="2">
                  <c:v>Urban</c:v>
                </c:pt>
              </c:strCache>
            </c:strRef>
          </c:cat>
          <c:val>
            <c:numRef>
              <c:f>'Pivot table'!$C$123:$C$126</c:f>
              <c:numCache>
                <c:formatCode>General</c:formatCode>
                <c:ptCount val="3"/>
                <c:pt idx="0">
                  <c:v>276</c:v>
                </c:pt>
                <c:pt idx="1">
                  <c:v>184</c:v>
                </c:pt>
                <c:pt idx="2">
                  <c:v>490</c:v>
                </c:pt>
              </c:numCache>
            </c:numRef>
          </c:val>
          <c:extLst>
            <c:ext xmlns:c16="http://schemas.microsoft.com/office/drawing/2014/chart" uri="{C3380CC4-5D6E-409C-BE32-E72D297353CC}">
              <c16:uniqueId val="{00000006-9DFE-4BDC-8D41-711C819E304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[Loan_Approved_Sagar (1).xlsx]Pivot table!PivotTable17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Savings level impact approval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lumMod val="50000"/>
            </a:schemeClr>
          </a:solidFill>
          <a:ln w="25400">
            <a:solidFill>
              <a:schemeClr val="lt1"/>
            </a:solidFill>
          </a:ln>
          <a:effectLst/>
          <a:sp3d contourW="25400">
            <a:contourClr>
              <a:schemeClr val="lt1"/>
            </a:contourClr>
          </a:sp3d>
        </c:spPr>
      </c:pivotFmt>
      <c:pivotFmt>
        <c:idx val="6"/>
        <c:spPr>
          <a:solidFill>
            <a:schemeClr val="accent5">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table'!$C$163</c:f>
              <c:strCache>
                <c:ptCount val="1"/>
                <c:pt idx="0">
                  <c:v>Total</c:v>
                </c:pt>
              </c:strCache>
            </c:strRef>
          </c:tx>
          <c:dPt>
            <c:idx val="0"/>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A4E-443D-9883-E32DB54F19CE}"/>
              </c:ext>
            </c:extLst>
          </c:dPt>
          <c:dPt>
            <c:idx val="1"/>
            <c:bubble3D val="0"/>
            <c:spPr>
              <a:solidFill>
                <a:schemeClr val="accent5">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A4E-443D-9883-E32DB54F19C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table'!$B$164:$B$166</c:f>
              <c:strCache>
                <c:ptCount val="2"/>
                <c:pt idx="0">
                  <c:v>No</c:v>
                </c:pt>
                <c:pt idx="1">
                  <c:v>Yes</c:v>
                </c:pt>
              </c:strCache>
            </c:strRef>
          </c:cat>
          <c:val>
            <c:numRef>
              <c:f>'Pivot table'!$C$164:$C$166</c:f>
              <c:numCache>
                <c:formatCode>General</c:formatCode>
                <c:ptCount val="2"/>
                <c:pt idx="0">
                  <c:v>9511.1506024096379</c:v>
                </c:pt>
                <c:pt idx="1">
                  <c:v>9278.4755244755252</c:v>
                </c:pt>
              </c:numCache>
            </c:numRef>
          </c:val>
          <c:extLst>
            <c:ext xmlns:c16="http://schemas.microsoft.com/office/drawing/2014/chart" uri="{C3380CC4-5D6E-409C-BE32-E72D297353CC}">
              <c16:uniqueId val="{00000004-2A4E-443D-9883-E32DB54F19CE}"/>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[Loan_Approved_Sagar (1).xlsx]Pivot table!PivotTable18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Loan approval by Employer Category</a:t>
            </a:r>
          </a:p>
        </c:rich>
      </c:tx>
      <c:layout>
        <c:manualLayout>
          <c:xMode val="edge"/>
          <c:yMode val="edge"/>
          <c:x val="0.11509260748584928"/>
          <c:y val="2.69603004269068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a:sp3d/>
        </c:spPr>
      </c:pivotFmt>
      <c:pivotFmt>
        <c:idx val="4"/>
        <c:spPr>
          <a:solidFill>
            <a:schemeClr val="accent1"/>
          </a:solidFill>
          <a:ln>
            <a:noFill/>
          </a:ln>
          <a:effectLst/>
          <a:sp3d/>
        </c:spPr>
      </c:pivotFmt>
      <c:pivotFmt>
        <c:idx val="5"/>
        <c:spPr>
          <a:solidFill>
            <a:schemeClr val="accent5"/>
          </a:solidFill>
          <a:ln>
            <a:noFill/>
          </a:ln>
          <a:effectLst/>
          <a:sp3d/>
        </c:spPr>
      </c:pivotFmt>
      <c:pivotFmt>
        <c:idx val="6"/>
        <c:spPr>
          <a:solidFill>
            <a:schemeClr val="accent1">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table'!$B$172</c:f>
              <c:strCache>
                <c:ptCount val="1"/>
                <c:pt idx="0">
                  <c:v>Total</c:v>
                </c:pt>
              </c:strCache>
            </c:strRef>
          </c:tx>
          <c:spPr>
            <a:solidFill>
              <a:schemeClr val="accent5">
                <a:lumMod val="50000"/>
              </a:schemeClr>
            </a:solidFill>
            <a:ln>
              <a:noFill/>
            </a:ln>
            <a:effectLst/>
            <a:sp3d/>
          </c:spPr>
          <c:invertIfNegative val="0"/>
          <c:dPt>
            <c:idx val="0"/>
            <c:invertIfNegative val="0"/>
            <c:bubble3D val="0"/>
            <c:spPr>
              <a:solidFill>
                <a:schemeClr val="accent5"/>
              </a:solidFill>
              <a:ln>
                <a:noFill/>
              </a:ln>
              <a:effectLst/>
              <a:sp3d/>
            </c:spPr>
            <c:extLst>
              <c:ext xmlns:c16="http://schemas.microsoft.com/office/drawing/2014/chart" uri="{C3380CC4-5D6E-409C-BE32-E72D297353CC}">
                <c16:uniqueId val="{00000003-6BE2-412B-B52E-38CEB15C6333}"/>
              </c:ext>
            </c:extLst>
          </c:dPt>
          <c:dPt>
            <c:idx val="1"/>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1-6BE2-412B-B52E-38CEB15C6333}"/>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6BE2-412B-B52E-38CEB15C6333}"/>
              </c:ext>
            </c:extLst>
          </c:dPt>
          <c:dPt>
            <c:idx val="4"/>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4-6BE2-412B-B52E-38CEB15C63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table'!$A$173:$A$178</c:f>
              <c:strCache>
                <c:ptCount val="5"/>
                <c:pt idx="0">
                  <c:v>Business</c:v>
                </c:pt>
                <c:pt idx="1">
                  <c:v>Government</c:v>
                </c:pt>
                <c:pt idx="2">
                  <c:v>MNC</c:v>
                </c:pt>
                <c:pt idx="3">
                  <c:v>Private</c:v>
                </c:pt>
                <c:pt idx="4">
                  <c:v>Unemployed</c:v>
                </c:pt>
              </c:strCache>
            </c:strRef>
          </c:cat>
          <c:val>
            <c:numRef>
              <c:f>'Pivot table'!$B$173:$B$178</c:f>
              <c:numCache>
                <c:formatCode>General</c:formatCode>
                <c:ptCount val="5"/>
                <c:pt idx="0">
                  <c:v>130</c:v>
                </c:pt>
                <c:pt idx="1">
                  <c:v>191</c:v>
                </c:pt>
                <c:pt idx="2">
                  <c:v>138</c:v>
                </c:pt>
                <c:pt idx="3">
                  <c:v>399</c:v>
                </c:pt>
                <c:pt idx="4">
                  <c:v>92</c:v>
                </c:pt>
              </c:numCache>
            </c:numRef>
          </c:val>
          <c:extLst>
            <c:ext xmlns:c16="http://schemas.microsoft.com/office/drawing/2014/chart" uri="{C3380CC4-5D6E-409C-BE32-E72D297353CC}">
              <c16:uniqueId val="{00000000-6BE2-412B-B52E-38CEB15C6333}"/>
            </c:ext>
          </c:extLst>
        </c:ser>
        <c:dLbls>
          <c:showLegendKey val="0"/>
          <c:showVal val="1"/>
          <c:showCatName val="0"/>
          <c:showSerName val="0"/>
          <c:showPercent val="0"/>
          <c:showBubbleSize val="0"/>
        </c:dLbls>
        <c:gapWidth val="150"/>
        <c:shape val="box"/>
        <c:axId val="444852047"/>
        <c:axId val="444852527"/>
        <c:axId val="0"/>
      </c:bar3DChart>
      <c:catAx>
        <c:axId val="444852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852527"/>
        <c:crosses val="autoZero"/>
        <c:auto val="1"/>
        <c:lblAlgn val="ctr"/>
        <c:lblOffset val="100"/>
        <c:noMultiLvlLbl val="0"/>
      </c:catAx>
      <c:valAx>
        <c:axId val="44485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85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[Loan_Approved_Sagar (1).xlsx]Pivot table!PivotTable19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DTI Risk Level &amp; Loan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dLbl>
          <c:idx val="0"/>
          <c:layout>
            <c:manualLayout>
              <c:x val="1.5750759323023271E-2"/>
              <c:y val="-5.9632552129012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dLbl>
          <c:idx val="0"/>
          <c:layout>
            <c:manualLayout>
              <c:x val="-7.8753796615116355E-3"/>
              <c:y val="-2.55568080552912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2502531076744231E-3"/>
              <c:y val="-7.808934474083807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a:noFill/>
          </a:ln>
          <a:effectLst/>
        </c:spPr>
        <c:dLbl>
          <c:idx val="0"/>
          <c:layout>
            <c:manualLayout>
              <c:x val="2.6251265538372115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s>
    <c:plotArea>
      <c:layout>
        <c:manualLayout>
          <c:layoutTarget val="inner"/>
          <c:xMode val="edge"/>
          <c:yMode val="edge"/>
          <c:x val="7.4892586849314838E-2"/>
          <c:y val="0.10752501045870194"/>
          <c:w val="0.74935022950220564"/>
          <c:h val="0.79366294794125658"/>
        </c:manualLayout>
      </c:layout>
      <c:barChart>
        <c:barDir val="col"/>
        <c:grouping val="clustered"/>
        <c:varyColors val="0"/>
        <c:ser>
          <c:idx val="0"/>
          <c:order val="0"/>
          <c:tx>
            <c:strRef>
              <c:f>'Pivot table'!$C$183:$C$184</c:f>
              <c:strCache>
                <c:ptCount val="1"/>
                <c:pt idx="0">
                  <c:v>High Risk</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2D48-4CAE-929E-39F7FB37CDF2}"/>
              </c:ext>
            </c:extLst>
          </c:dPt>
          <c:dLbls>
            <c:dLbl>
              <c:idx val="0"/>
              <c:layout>
                <c:manualLayout>
                  <c:x val="-5.2502531076744231E-3"/>
                  <c:y val="-7.808934474083807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D48-4CAE-929E-39F7FB37CD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table'!$B$185:$B$189</c:f>
              <c:strCache>
                <c:ptCount val="4"/>
                <c:pt idx="0">
                  <c:v>Large</c:v>
                </c:pt>
                <c:pt idx="1">
                  <c:v>Medium</c:v>
                </c:pt>
                <c:pt idx="2">
                  <c:v>Small</c:v>
                </c:pt>
                <c:pt idx="3">
                  <c:v>Very Large</c:v>
                </c:pt>
              </c:strCache>
            </c:strRef>
          </c:cat>
          <c:val>
            <c:numRef>
              <c:f>'Pivot table'!$C$185:$C$189</c:f>
              <c:numCache>
                <c:formatCode>General</c:formatCode>
                <c:ptCount val="4"/>
                <c:pt idx="0">
                  <c:v>56</c:v>
                </c:pt>
                <c:pt idx="1">
                  <c:v>50</c:v>
                </c:pt>
                <c:pt idx="2">
                  <c:v>21</c:v>
                </c:pt>
                <c:pt idx="3">
                  <c:v>26</c:v>
                </c:pt>
              </c:numCache>
            </c:numRef>
          </c:val>
          <c:extLst>
            <c:ext xmlns:c16="http://schemas.microsoft.com/office/drawing/2014/chart" uri="{C3380CC4-5D6E-409C-BE32-E72D297353CC}">
              <c16:uniqueId val="{00000000-2D48-4CAE-929E-39F7FB37CDF2}"/>
            </c:ext>
          </c:extLst>
        </c:ser>
        <c:ser>
          <c:idx val="1"/>
          <c:order val="1"/>
          <c:tx>
            <c:strRef>
              <c:f>'Pivot table'!$D$183:$D$184</c:f>
              <c:strCache>
                <c:ptCount val="1"/>
                <c:pt idx="0">
                  <c:v>Low Risk</c:v>
                </c:pt>
              </c:strCache>
            </c:strRef>
          </c:tx>
          <c:spPr>
            <a:solidFill>
              <a:schemeClr val="accent5">
                <a:lumMod val="50000"/>
              </a:schemeClr>
            </a:solidFill>
            <a:ln>
              <a:noFill/>
            </a:ln>
            <a:effectLst/>
          </c:spPr>
          <c:invertIfNegative val="0"/>
          <c:dPt>
            <c:idx val="0"/>
            <c:invertIfNegative val="0"/>
            <c:bubble3D val="0"/>
            <c:spPr>
              <a:solidFill>
                <a:schemeClr val="accent5">
                  <a:lumMod val="50000"/>
                </a:schemeClr>
              </a:solidFill>
              <a:ln>
                <a:noFill/>
              </a:ln>
              <a:effectLst/>
            </c:spPr>
          </c:dPt>
          <c:dLbls>
            <c:dLbl>
              <c:idx val="0"/>
              <c:layout>
                <c:manualLayout>
                  <c:x val="-7.8753796615116355E-3"/>
                  <c:y val="-2.5556808055291268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table'!$B$185:$B$189</c:f>
              <c:strCache>
                <c:ptCount val="4"/>
                <c:pt idx="0">
                  <c:v>Large</c:v>
                </c:pt>
                <c:pt idx="1">
                  <c:v>Medium</c:v>
                </c:pt>
                <c:pt idx="2">
                  <c:v>Small</c:v>
                </c:pt>
                <c:pt idx="3">
                  <c:v>Very Large</c:v>
                </c:pt>
              </c:strCache>
            </c:strRef>
          </c:cat>
          <c:val>
            <c:numRef>
              <c:f>'Pivot table'!$D$185:$D$189</c:f>
              <c:numCache>
                <c:formatCode>General</c:formatCode>
                <c:ptCount val="4"/>
                <c:pt idx="0">
                  <c:v>118</c:v>
                </c:pt>
                <c:pt idx="1">
                  <c:v>141</c:v>
                </c:pt>
                <c:pt idx="2">
                  <c:v>71</c:v>
                </c:pt>
                <c:pt idx="3">
                  <c:v>42</c:v>
                </c:pt>
              </c:numCache>
            </c:numRef>
          </c:val>
          <c:extLst>
            <c:ext xmlns:c16="http://schemas.microsoft.com/office/drawing/2014/chart" uri="{C3380CC4-5D6E-409C-BE32-E72D297353CC}">
              <c16:uniqueId val="{00000009-AE2C-4330-8E25-EEF14E39C492}"/>
            </c:ext>
          </c:extLst>
        </c:ser>
        <c:ser>
          <c:idx val="2"/>
          <c:order val="2"/>
          <c:tx>
            <c:strRef>
              <c:f>'Pivot table'!$E$183:$E$184</c:f>
              <c:strCache>
                <c:ptCount val="1"/>
                <c:pt idx="0">
                  <c:v>medium Risk</c:v>
                </c:pt>
              </c:strCache>
            </c:strRef>
          </c:tx>
          <c:spPr>
            <a:solidFill>
              <a:schemeClr val="accent5"/>
            </a:solidFill>
            <a:ln>
              <a:noFill/>
            </a:ln>
            <a:effectLst/>
          </c:spPr>
          <c:invertIfNegative val="0"/>
          <c:dPt>
            <c:idx val="0"/>
            <c:invertIfNegative val="0"/>
            <c:bubble3D val="0"/>
            <c:spPr>
              <a:solidFill>
                <a:schemeClr val="accent5"/>
              </a:solidFill>
              <a:ln>
                <a:noFill/>
              </a:ln>
              <a:effectLst/>
            </c:spPr>
          </c:dPt>
          <c:dLbls>
            <c:dLbl>
              <c:idx val="0"/>
              <c:layout>
                <c:manualLayout>
                  <c:x val="1.5750759323023271E-2"/>
                  <c:y val="-5.9632552129012917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table'!$B$185:$B$189</c:f>
              <c:strCache>
                <c:ptCount val="4"/>
                <c:pt idx="0">
                  <c:v>Large</c:v>
                </c:pt>
                <c:pt idx="1">
                  <c:v>Medium</c:v>
                </c:pt>
                <c:pt idx="2">
                  <c:v>Small</c:v>
                </c:pt>
                <c:pt idx="3">
                  <c:v>Very Large</c:v>
                </c:pt>
              </c:strCache>
            </c:strRef>
          </c:cat>
          <c:val>
            <c:numRef>
              <c:f>'Pivot table'!$E$185:$E$189</c:f>
              <c:numCache>
                <c:formatCode>General</c:formatCode>
                <c:ptCount val="4"/>
                <c:pt idx="0">
                  <c:v>116</c:v>
                </c:pt>
                <c:pt idx="1">
                  <c:v>77</c:v>
                </c:pt>
                <c:pt idx="2">
                  <c:v>28</c:v>
                </c:pt>
                <c:pt idx="3">
                  <c:v>28</c:v>
                </c:pt>
              </c:numCache>
            </c:numRef>
          </c:val>
          <c:extLst>
            <c:ext xmlns:c16="http://schemas.microsoft.com/office/drawing/2014/chart" uri="{C3380CC4-5D6E-409C-BE32-E72D297353CC}">
              <c16:uniqueId val="{0000000A-AE2C-4330-8E25-EEF14E39C492}"/>
            </c:ext>
          </c:extLst>
        </c:ser>
        <c:ser>
          <c:idx val="3"/>
          <c:order val="3"/>
          <c:tx>
            <c:strRef>
              <c:f>'Pivot table'!$F$183:$F$184</c:f>
              <c:strCache>
                <c:ptCount val="1"/>
                <c:pt idx="0">
                  <c:v>Very High Risk</c:v>
                </c:pt>
              </c:strCache>
            </c:strRef>
          </c:tx>
          <c:spPr>
            <a:solidFill>
              <a:schemeClr val="accent1">
                <a:lumMod val="75000"/>
              </a:schemeClr>
            </a:solidFill>
            <a:ln>
              <a:noFill/>
            </a:ln>
            <a:effectLst/>
          </c:spPr>
          <c:invertIfNegative val="0"/>
          <c:dPt>
            <c:idx val="2"/>
            <c:invertIfNegative val="0"/>
            <c:bubble3D val="0"/>
            <c:spPr>
              <a:solidFill>
                <a:schemeClr val="accent1">
                  <a:lumMod val="75000"/>
                </a:schemeClr>
              </a:solidFill>
              <a:ln>
                <a:noFill/>
              </a:ln>
              <a:effectLst/>
            </c:spPr>
          </c:dPt>
          <c:dLbls>
            <c:dLbl>
              <c:idx val="2"/>
              <c:layout>
                <c:manualLayout>
                  <c:x val="2.6251265538372115E-3"/>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table'!$B$185:$B$189</c:f>
              <c:strCache>
                <c:ptCount val="4"/>
                <c:pt idx="0">
                  <c:v>Large</c:v>
                </c:pt>
                <c:pt idx="1">
                  <c:v>Medium</c:v>
                </c:pt>
                <c:pt idx="2">
                  <c:v>Small</c:v>
                </c:pt>
                <c:pt idx="3">
                  <c:v>Very Large</c:v>
                </c:pt>
              </c:strCache>
            </c:strRef>
          </c:cat>
          <c:val>
            <c:numRef>
              <c:f>'Pivot table'!$F$185:$F$189</c:f>
              <c:numCache>
                <c:formatCode>General</c:formatCode>
                <c:ptCount val="4"/>
                <c:pt idx="0">
                  <c:v>59</c:v>
                </c:pt>
                <c:pt idx="1">
                  <c:v>62</c:v>
                </c:pt>
                <c:pt idx="2">
                  <c:v>32</c:v>
                </c:pt>
                <c:pt idx="3">
                  <c:v>23</c:v>
                </c:pt>
              </c:numCache>
            </c:numRef>
          </c:val>
          <c:extLst>
            <c:ext xmlns:c16="http://schemas.microsoft.com/office/drawing/2014/chart" uri="{C3380CC4-5D6E-409C-BE32-E72D297353CC}">
              <c16:uniqueId val="{0000000B-AE2C-4330-8E25-EEF14E39C492}"/>
            </c:ext>
          </c:extLst>
        </c:ser>
        <c:dLbls>
          <c:dLblPos val="outEnd"/>
          <c:showLegendKey val="0"/>
          <c:showVal val="1"/>
          <c:showCatName val="0"/>
          <c:showSerName val="0"/>
          <c:showPercent val="0"/>
          <c:showBubbleSize val="0"/>
        </c:dLbls>
        <c:gapWidth val="219"/>
        <c:overlap val="-27"/>
        <c:axId val="765337504"/>
        <c:axId val="765336544"/>
      </c:barChart>
      <c:catAx>
        <c:axId val="76533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36544"/>
        <c:crosses val="autoZero"/>
        <c:auto val="1"/>
        <c:lblAlgn val="ctr"/>
        <c:lblOffset val="100"/>
        <c:noMultiLvlLbl val="0"/>
      </c:catAx>
      <c:valAx>
        <c:axId val="76533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3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[Loan_Approved_Sagar (1).xlsx]Pivot table!PivotTable22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Marital Status &amp; Dependents Group</a:t>
            </a:r>
          </a:p>
        </c:rich>
      </c:tx>
      <c:layout>
        <c:manualLayout>
          <c:xMode val="edge"/>
          <c:yMode val="edge"/>
          <c:x val="9.9224580460264E-2"/>
          <c:y val="2.5995043884546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80832217338443E-2"/>
          <c:y val="0.14249781277340332"/>
          <c:w val="0.80188471205547263"/>
          <c:h val="0.65853091280256637"/>
        </c:manualLayout>
      </c:layout>
      <c:barChart>
        <c:barDir val="col"/>
        <c:grouping val="clustered"/>
        <c:varyColors val="0"/>
        <c:ser>
          <c:idx val="0"/>
          <c:order val="0"/>
          <c:tx>
            <c:strRef>
              <c:f>'Pivot table'!$C$220:$C$221</c:f>
              <c:strCache>
                <c:ptCount val="1"/>
                <c:pt idx="0">
                  <c:v>0</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table'!$B$222:$B$224</c:f>
              <c:strCache>
                <c:ptCount val="2"/>
                <c:pt idx="0">
                  <c:v>Married</c:v>
                </c:pt>
                <c:pt idx="1">
                  <c:v>Single</c:v>
                </c:pt>
              </c:strCache>
            </c:strRef>
          </c:cat>
          <c:val>
            <c:numRef>
              <c:f>'Pivot table'!$C$222:$C$224</c:f>
              <c:numCache>
                <c:formatCode>General</c:formatCode>
                <c:ptCount val="2"/>
                <c:pt idx="0">
                  <c:v>173</c:v>
                </c:pt>
                <c:pt idx="1">
                  <c:v>91</c:v>
                </c:pt>
              </c:numCache>
            </c:numRef>
          </c:val>
          <c:extLst>
            <c:ext xmlns:c16="http://schemas.microsoft.com/office/drawing/2014/chart" uri="{C3380CC4-5D6E-409C-BE32-E72D297353CC}">
              <c16:uniqueId val="{00000000-5074-4336-BB7A-98584421BD91}"/>
            </c:ext>
          </c:extLst>
        </c:ser>
        <c:ser>
          <c:idx val="1"/>
          <c:order val="1"/>
          <c:tx>
            <c:strRef>
              <c:f>'Pivot table'!$D$220:$D$221</c:f>
              <c:strCache>
                <c:ptCount val="1"/>
                <c:pt idx="0">
                  <c:v>1</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table'!$B$222:$B$224</c:f>
              <c:strCache>
                <c:ptCount val="2"/>
                <c:pt idx="0">
                  <c:v>Married</c:v>
                </c:pt>
                <c:pt idx="1">
                  <c:v>Single</c:v>
                </c:pt>
              </c:strCache>
            </c:strRef>
          </c:cat>
          <c:val>
            <c:numRef>
              <c:f>'Pivot table'!$D$222:$D$224</c:f>
              <c:numCache>
                <c:formatCode>General</c:formatCode>
                <c:ptCount val="2"/>
                <c:pt idx="0">
                  <c:v>156</c:v>
                </c:pt>
                <c:pt idx="1">
                  <c:v>99</c:v>
                </c:pt>
              </c:numCache>
            </c:numRef>
          </c:val>
          <c:extLst>
            <c:ext xmlns:c16="http://schemas.microsoft.com/office/drawing/2014/chart" uri="{C3380CC4-5D6E-409C-BE32-E72D297353CC}">
              <c16:uniqueId val="{00000001-5074-4336-BB7A-98584421BD91}"/>
            </c:ext>
          </c:extLst>
        </c:ser>
        <c:ser>
          <c:idx val="2"/>
          <c:order val="2"/>
          <c:tx>
            <c:strRef>
              <c:f>'Pivot table'!$E$220:$E$221</c:f>
              <c:strCache>
                <c:ptCount val="1"/>
                <c:pt idx="0">
                  <c:v>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table'!$B$222:$B$224</c:f>
              <c:strCache>
                <c:ptCount val="2"/>
                <c:pt idx="0">
                  <c:v>Married</c:v>
                </c:pt>
                <c:pt idx="1">
                  <c:v>Single</c:v>
                </c:pt>
              </c:strCache>
            </c:strRef>
          </c:cat>
          <c:val>
            <c:numRef>
              <c:f>'Pivot table'!$E$222:$E$224</c:f>
              <c:numCache>
                <c:formatCode>General</c:formatCode>
                <c:ptCount val="2"/>
                <c:pt idx="0">
                  <c:v>135</c:v>
                </c:pt>
                <c:pt idx="1">
                  <c:v>72</c:v>
                </c:pt>
              </c:numCache>
            </c:numRef>
          </c:val>
          <c:extLst>
            <c:ext xmlns:c16="http://schemas.microsoft.com/office/drawing/2014/chart" uri="{C3380CC4-5D6E-409C-BE32-E72D297353CC}">
              <c16:uniqueId val="{00000002-5074-4336-BB7A-98584421BD91}"/>
            </c:ext>
          </c:extLst>
        </c:ser>
        <c:ser>
          <c:idx val="3"/>
          <c:order val="3"/>
          <c:tx>
            <c:strRef>
              <c:f>'Pivot table'!$F$220:$F$221</c:f>
              <c:strCache>
                <c:ptCount val="1"/>
                <c:pt idx="0">
                  <c:v>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table'!$B$222:$B$224</c:f>
              <c:strCache>
                <c:ptCount val="2"/>
                <c:pt idx="0">
                  <c:v>Married</c:v>
                </c:pt>
                <c:pt idx="1">
                  <c:v>Single</c:v>
                </c:pt>
              </c:strCache>
            </c:strRef>
          </c:cat>
          <c:val>
            <c:numRef>
              <c:f>'Pivot table'!$F$222:$F$224</c:f>
              <c:numCache>
                <c:formatCode>General</c:formatCode>
                <c:ptCount val="2"/>
                <c:pt idx="0">
                  <c:v>145</c:v>
                </c:pt>
                <c:pt idx="1">
                  <c:v>79</c:v>
                </c:pt>
              </c:numCache>
            </c:numRef>
          </c:val>
          <c:extLst>
            <c:ext xmlns:c16="http://schemas.microsoft.com/office/drawing/2014/chart" uri="{C3380CC4-5D6E-409C-BE32-E72D297353CC}">
              <c16:uniqueId val="{00000003-5074-4336-BB7A-98584421BD91}"/>
            </c:ext>
          </c:extLst>
        </c:ser>
        <c:dLbls>
          <c:dLblPos val="outEnd"/>
          <c:showLegendKey val="0"/>
          <c:showVal val="1"/>
          <c:showCatName val="0"/>
          <c:showSerName val="0"/>
          <c:showPercent val="0"/>
          <c:showBubbleSize val="0"/>
        </c:dLbls>
        <c:gapWidth val="219"/>
        <c:overlap val="-27"/>
        <c:axId val="631088592"/>
        <c:axId val="769510000"/>
      </c:barChart>
      <c:catAx>
        <c:axId val="63108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510000"/>
        <c:crosses val="autoZero"/>
        <c:auto val="1"/>
        <c:lblAlgn val="ctr"/>
        <c:lblOffset val="100"/>
        <c:noMultiLvlLbl val="0"/>
      </c:catAx>
      <c:valAx>
        <c:axId val="769510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08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[Loan_Approved_Sagar (1).xlsx]Pivot table!PivotTable23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Loan Term Years by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a:sp3d/>
        </c:spPr>
      </c:pivotFmt>
      <c:pivotFmt>
        <c:idx val="4"/>
        <c:spPr>
          <a:solidFill>
            <a:schemeClr val="accent1">
              <a:lumMod val="75000"/>
            </a:schemeClr>
          </a:solidFill>
          <a:ln>
            <a:noFill/>
          </a:ln>
          <a:effectLst/>
          <a:sp3d/>
        </c:spPr>
      </c:pivotFmt>
      <c:pivotFmt>
        <c:idx val="5"/>
        <c:spPr>
          <a:solidFill>
            <a:schemeClr val="accent1"/>
          </a:solidFill>
          <a:ln>
            <a:noFill/>
          </a:ln>
          <a:effectLst/>
          <a:sp3d/>
        </c:spPr>
      </c:pivotFmt>
      <c:pivotFmt>
        <c:idx val="6"/>
        <c:spPr>
          <a:solidFill>
            <a:schemeClr val="accent5"/>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table'!$C$232</c:f>
              <c:strCache>
                <c:ptCount val="1"/>
                <c:pt idx="0">
                  <c:v>Total</c:v>
                </c:pt>
              </c:strCache>
            </c:strRef>
          </c:tx>
          <c:spPr>
            <a:solidFill>
              <a:schemeClr val="accent5">
                <a:lumMod val="50000"/>
              </a:schemeClr>
            </a:solidFill>
            <a:ln>
              <a:noFill/>
            </a:ln>
            <a:effectLst/>
            <a:sp3d/>
          </c:spPr>
          <c:invertIfNegative val="0"/>
          <c:dPt>
            <c:idx val="1"/>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1-4708-4BFD-A8DC-E059D278B31A}"/>
              </c:ext>
            </c:extLst>
          </c:dPt>
          <c:dPt>
            <c:idx val="2"/>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2-4708-4BFD-A8DC-E059D278B31A}"/>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3-4708-4BFD-A8DC-E059D278B31A}"/>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4-4708-4BFD-A8DC-E059D278B3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table'!$B$233:$B$238</c:f>
              <c:strCache>
                <c:ptCount val="5"/>
                <c:pt idx="0">
                  <c:v>55+</c:v>
                </c:pt>
                <c:pt idx="1">
                  <c:v>18-24</c:v>
                </c:pt>
                <c:pt idx="2">
                  <c:v>44-54</c:v>
                </c:pt>
                <c:pt idx="3">
                  <c:v>25-35</c:v>
                </c:pt>
                <c:pt idx="4">
                  <c:v>35-44</c:v>
                </c:pt>
              </c:strCache>
            </c:strRef>
          </c:cat>
          <c:val>
            <c:numRef>
              <c:f>'Pivot table'!$C$233:$C$238</c:f>
              <c:numCache>
                <c:formatCode>0</c:formatCode>
                <c:ptCount val="5"/>
                <c:pt idx="0">
                  <c:v>20719.00909090909</c:v>
                </c:pt>
                <c:pt idx="1">
                  <c:v>20522.556701030928</c:v>
                </c:pt>
                <c:pt idx="2">
                  <c:v>19527.384297520661</c:v>
                </c:pt>
                <c:pt idx="3">
                  <c:v>19492.568075117371</c:v>
                </c:pt>
                <c:pt idx="4">
                  <c:v>18429.486111111109</c:v>
                </c:pt>
              </c:numCache>
            </c:numRef>
          </c:val>
          <c:extLst>
            <c:ext xmlns:c16="http://schemas.microsoft.com/office/drawing/2014/chart" uri="{C3380CC4-5D6E-409C-BE32-E72D297353CC}">
              <c16:uniqueId val="{00000000-4708-4BFD-A8DC-E059D278B31A}"/>
            </c:ext>
          </c:extLst>
        </c:ser>
        <c:dLbls>
          <c:showLegendKey val="0"/>
          <c:showVal val="1"/>
          <c:showCatName val="0"/>
          <c:showSerName val="0"/>
          <c:showPercent val="0"/>
          <c:showBubbleSize val="0"/>
        </c:dLbls>
        <c:gapWidth val="150"/>
        <c:shape val="box"/>
        <c:axId val="359303247"/>
        <c:axId val="359301807"/>
        <c:axId val="0"/>
      </c:bar3DChart>
      <c:catAx>
        <c:axId val="359303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01807"/>
        <c:crosses val="autoZero"/>
        <c:auto val="1"/>
        <c:lblAlgn val="ctr"/>
        <c:lblOffset val="100"/>
        <c:noMultiLvlLbl val="0"/>
      </c:catAx>
      <c:valAx>
        <c:axId val="3593018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0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[Loan_Approved_Sagar (1).xlsx]Pivot table!PivotTable24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Average Loan Amount by Age Group</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75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layout>
            <c:manualLayout>
              <c:x val="-2.9555417364094769E-2"/>
              <c:y val="-6.690348936610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75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layout>
            <c:manualLayout>
              <c:x val="-5.8138993151420307E-2"/>
              <c:y val="-6.6903489366100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75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pivotFmt>
    </c:pivotFmts>
    <c:plotArea>
      <c:layout>
        <c:manualLayout>
          <c:layoutTarget val="inner"/>
          <c:xMode val="edge"/>
          <c:yMode val="edge"/>
          <c:x val="8.154646597845519E-2"/>
          <c:y val="0.2033552564914288"/>
          <c:w val="0.88701160065548668"/>
          <c:h val="0.69646445721311789"/>
        </c:manualLayout>
      </c:layout>
      <c:lineChart>
        <c:grouping val="standard"/>
        <c:varyColors val="0"/>
        <c:ser>
          <c:idx val="0"/>
          <c:order val="0"/>
          <c:tx>
            <c:strRef>
              <c:f>'Pivot table'!$C$244</c:f>
              <c:strCache>
                <c:ptCount val="1"/>
                <c:pt idx="0">
                  <c:v>Total</c:v>
                </c:pt>
              </c:strCache>
            </c:strRef>
          </c:tx>
          <c:spPr>
            <a:ln w="28575" cap="rnd">
              <a:solidFill>
                <a:schemeClr val="accent5">
                  <a:lumMod val="75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Pt>
            <c:idx val="2"/>
            <c:marker>
              <c:symbol val="circle"/>
              <c:size val="5"/>
              <c:spPr>
                <a:solidFill>
                  <a:schemeClr val="accent5">
                    <a:lumMod val="50000"/>
                  </a:schemeClr>
                </a:solidFill>
                <a:ln w="9525">
                  <a:solidFill>
                    <a:schemeClr val="accent5">
                      <a:lumMod val="50000"/>
                    </a:schemeClr>
                  </a:solidFill>
                </a:ln>
                <a:effectLst/>
              </c:spPr>
            </c:marker>
            <c:bubble3D val="0"/>
            <c:spPr>
              <a:ln w="28575" cap="rnd">
                <a:solidFill>
                  <a:schemeClr val="accent5">
                    <a:lumMod val="75000"/>
                  </a:schemeClr>
                </a:solidFill>
                <a:round/>
              </a:ln>
              <a:effectLst/>
            </c:spPr>
            <c:extLst>
              <c:ext xmlns:c16="http://schemas.microsoft.com/office/drawing/2014/chart" uri="{C3380CC4-5D6E-409C-BE32-E72D297353CC}">
                <c16:uniqueId val="{00000002-9792-416E-A86C-6FBA84C19A6B}"/>
              </c:ext>
            </c:extLst>
          </c:dPt>
          <c:dPt>
            <c:idx val="4"/>
            <c:marker>
              <c:symbol val="circle"/>
              <c:size val="5"/>
              <c:spPr>
                <a:solidFill>
                  <a:schemeClr val="accent5">
                    <a:lumMod val="50000"/>
                  </a:schemeClr>
                </a:solidFill>
                <a:ln w="9525">
                  <a:solidFill>
                    <a:schemeClr val="accent5">
                      <a:lumMod val="50000"/>
                    </a:schemeClr>
                  </a:solidFill>
                </a:ln>
                <a:effectLst/>
              </c:spPr>
            </c:marker>
            <c:bubble3D val="0"/>
            <c:spPr>
              <a:ln w="28575" cap="rnd">
                <a:solidFill>
                  <a:schemeClr val="accent5">
                    <a:lumMod val="75000"/>
                  </a:schemeClr>
                </a:solidFill>
                <a:round/>
              </a:ln>
              <a:effectLst/>
            </c:spPr>
            <c:extLst>
              <c:ext xmlns:c16="http://schemas.microsoft.com/office/drawing/2014/chart" uri="{C3380CC4-5D6E-409C-BE32-E72D297353CC}">
                <c16:uniqueId val="{00000001-9792-416E-A86C-6FBA84C19A6B}"/>
              </c:ext>
            </c:extLst>
          </c:dPt>
          <c:dLbls>
            <c:dLbl>
              <c:idx val="2"/>
              <c:layout>
                <c:manualLayout>
                  <c:x val="-5.8138993151420307E-2"/>
                  <c:y val="-6.69034893661008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92-416E-A86C-6FBA84C19A6B}"/>
                </c:ext>
              </c:extLst>
            </c:dLbl>
            <c:dLbl>
              <c:idx val="4"/>
              <c:layout>
                <c:manualLayout>
                  <c:x val="-2.9555417364094769E-2"/>
                  <c:y val="-6.6903489366100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92-416E-A86C-6FBA84C19A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table'!$B$245:$B$252</c:f>
              <c:strCache>
                <c:ptCount val="7"/>
                <c:pt idx="0">
                  <c:v>1</c:v>
                </c:pt>
                <c:pt idx="1">
                  <c:v>2</c:v>
                </c:pt>
                <c:pt idx="2">
                  <c:v>3</c:v>
                </c:pt>
                <c:pt idx="3">
                  <c:v>4</c:v>
                </c:pt>
                <c:pt idx="4">
                  <c:v>5</c:v>
                </c:pt>
                <c:pt idx="5">
                  <c:v>6</c:v>
                </c:pt>
                <c:pt idx="6">
                  <c:v>7</c:v>
                </c:pt>
              </c:strCache>
            </c:strRef>
          </c:cat>
          <c:val>
            <c:numRef>
              <c:f>'Pivot table'!$C$245:$C$252</c:f>
              <c:numCache>
                <c:formatCode>General</c:formatCode>
                <c:ptCount val="7"/>
                <c:pt idx="0">
                  <c:v>137</c:v>
                </c:pt>
                <c:pt idx="1">
                  <c:v>129</c:v>
                </c:pt>
                <c:pt idx="2">
                  <c:v>112</c:v>
                </c:pt>
                <c:pt idx="3">
                  <c:v>189</c:v>
                </c:pt>
                <c:pt idx="4">
                  <c:v>124</c:v>
                </c:pt>
                <c:pt idx="5">
                  <c:v>123</c:v>
                </c:pt>
                <c:pt idx="6">
                  <c:v>136</c:v>
                </c:pt>
              </c:numCache>
            </c:numRef>
          </c:val>
          <c:smooth val="0"/>
          <c:extLst>
            <c:ext xmlns:c16="http://schemas.microsoft.com/office/drawing/2014/chart" uri="{C3380CC4-5D6E-409C-BE32-E72D297353CC}">
              <c16:uniqueId val="{00000000-9792-416E-A86C-6FBA84C19A6B}"/>
            </c:ext>
          </c:extLst>
        </c:ser>
        <c:dLbls>
          <c:dLblPos val="t"/>
          <c:showLegendKey val="0"/>
          <c:showVal val="1"/>
          <c:showCatName val="0"/>
          <c:showSerName val="0"/>
          <c:showPercent val="0"/>
          <c:showBubbleSize val="0"/>
        </c:dLbls>
        <c:marker val="1"/>
        <c:smooth val="0"/>
        <c:axId val="444813359"/>
        <c:axId val="444813839"/>
      </c:lineChart>
      <c:catAx>
        <c:axId val="44481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813839"/>
        <c:crosses val="autoZero"/>
        <c:auto val="1"/>
        <c:lblAlgn val="ctr"/>
        <c:lblOffset val="100"/>
        <c:noMultiLvlLbl val="0"/>
      </c:catAx>
      <c:valAx>
        <c:axId val="444813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81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44916A43-D7DB-43E9-830F-712E123C7ED0}">
          <cx:tx>
            <cx:txData>
              <cx:f>_xlchart.v1.0</cx:f>
              <cx:v>Total_Income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higher income lead to higher loan approval</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higher income lead to higher loan approval</a:t>
          </a:r>
        </a:p>
      </cx:txPr>
    </cx:title>
    <cx:plotArea>
      <cx:plotAreaRegion>
        <cx:series layoutId="clusteredColumn" uniqueId="{44916A43-D7DB-43E9-830F-712E123C7ED0}">
          <cx:tx>
            <cx:txData>
              <cx:f>_xlchart.v1.2</cx:f>
              <cx:v>Total_Income</cx:v>
            </cx:txData>
          </cx:tx>
          <cx:spPr>
            <a:solidFill>
              <a:schemeClr val="accent5">
                <a:lumMod val="50000"/>
              </a:schemeClr>
            </a:solidFill>
          </cx:spPr>
          <cx:dataPt idx="1">
            <cx:spPr>
              <a:solidFill>
                <a:srgbClr val="5B9BD5"/>
              </a:solidFill>
            </cx:spPr>
          </cx:dataPt>
          <cx:dataPt idx="2">
            <cx:spPr>
              <a:solidFill>
                <a:srgbClr val="4472C4"/>
              </a:solidFill>
            </cx:spPr>
          </cx:dataPt>
          <cx:dataPt idx="3">
            <cx:spPr>
              <a:solidFill>
                <a:srgbClr val="4472C4"/>
              </a:solidFill>
            </cx:spPr>
          </cx:dataPt>
          <cx:dataPt idx="4">
            <cx:spPr>
              <a:solidFill>
                <a:srgbClr val="5B9BD5">
                  <a:lumMod val="75000"/>
                </a:srgbClr>
              </a:solidFill>
            </cx:spPr>
          </cx:dataPt>
          <cx:dataPt idx="5">
            <cx:spPr>
              <a:solidFill>
                <a:srgbClr val="5B9BD5">
                  <a:lumMod val="75000"/>
                </a:srgbClr>
              </a:solidFill>
            </cx:spPr>
          </cx:dataPt>
          <cx:dataPt idx="6">
            <cx:spPr>
              <a:solidFill>
                <a:srgbClr val="5B9BD5">
                  <a:lumMod val="75000"/>
                </a:srgbClr>
              </a:solidFill>
            </cx:spPr>
          </cx:dataPt>
          <cx:dataPt idx="7">
            <cx:spPr>
              <a:solidFill>
                <a:srgbClr val="5B9BD5">
                  <a:lumMod val="75000"/>
                </a:srgbClr>
              </a:solidFill>
            </cx:spPr>
          </cx:dataPt>
          <cx:dataPt idx="8">
            <cx:spPr>
              <a:solidFill>
                <a:srgbClr val="5B9BD5">
                  <a:lumMod val="75000"/>
                </a:srgbClr>
              </a:solidFill>
            </cx:spPr>
          </cx:dataPt>
          <cx:dataPt idx="9">
            <cx:spPr>
              <a:solidFill>
                <a:srgbClr val="4472C4"/>
              </a:solidFill>
            </cx:spPr>
          </cx:dataPt>
          <cx:dataPt idx="10">
            <cx:spPr>
              <a:solidFill>
                <a:srgbClr val="4472C4"/>
              </a:solidFill>
            </cx:spPr>
          </cx:dataPt>
          <cx:dataPt idx="11">
            <cx:spPr>
              <a:solidFill>
                <a:srgbClr val="5B9BD5"/>
              </a:solidFill>
            </cx:spPr>
          </cx:dataPt>
          <cx:dataLabels>
            <cx:visibility seriesName="0" categoryName="0" value="1"/>
          </cx:dataLabels>
          <cx:dataId val="0"/>
          <cx:layoutPr>
            <cx:binning intervalClosed="r"/>
          </cx:layoutPr>
        </cx:series>
      </cx:plotAreaRegion>
      <cx:axis id="0">
        <cx:catScaling gapWidth="0"/>
        <cx:tickLabels/>
      </cx:axis>
      <cx:axis id="1">
        <cx:valScaling/>
        <cx:tickLabels/>
      </cx:axis>
    </cx:plotArea>
  </cx:chart>
  <cx:spPr>
    <a:solidFill>
      <a:schemeClr val="accent6">
        <a:lumMod val="20000"/>
        <a:lumOff val="80000"/>
      </a:schemeClr>
    </a:solidFill>
    <a:ln>
      <a:solidFill>
        <a:schemeClr val="tx1">
          <a:lumMod val="50000"/>
          <a:lumOff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microsoft.com/office/2014/relationships/chartEx" Target="../charts/chartEx2.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20</xdr:col>
      <xdr:colOff>129540</xdr:colOff>
      <xdr:row>4</xdr:row>
      <xdr:rowOff>114300</xdr:rowOff>
    </xdr:from>
    <xdr:to>
      <xdr:col>29</xdr:col>
      <xdr:colOff>110491</xdr:colOff>
      <xdr:row>17</xdr:row>
      <xdr:rowOff>112395</xdr:rowOff>
    </xdr:to>
    <mc:AlternateContent xmlns:mc="http://schemas.openxmlformats.org/markup-compatibility/2006" xmlns:a14="http://schemas.microsoft.com/office/drawing/2010/main">
      <mc:Choice Requires="a14">
        <xdr:graphicFrame macro="">
          <xdr:nvGraphicFramePr>
            <xdr:cNvPr id="2" name="Credit Categorical">
              <a:extLst>
                <a:ext uri="{FF2B5EF4-FFF2-40B4-BE49-F238E27FC236}">
                  <a16:creationId xmlns:a16="http://schemas.microsoft.com/office/drawing/2014/main" id="{DC8D30F2-87D8-1C9D-3EEC-F43BE872DE59}"/>
                </a:ext>
              </a:extLst>
            </xdr:cNvPr>
            <xdr:cNvGraphicFramePr/>
          </xdr:nvGraphicFramePr>
          <xdr:xfrm>
            <a:off x="0" y="0"/>
            <a:ext cx="0" cy="0"/>
          </xdr:xfrm>
          <a:graphic>
            <a:graphicData uri="http://schemas.microsoft.com/office/drawing/2010/slicer">
              <sle:slicer xmlns:sle="http://schemas.microsoft.com/office/drawing/2010/slicer" name="Credit Categorical"/>
            </a:graphicData>
          </a:graphic>
        </xdr:graphicFrame>
      </mc:Choice>
      <mc:Fallback xmlns="">
        <xdr:sp macro="" textlink="">
          <xdr:nvSpPr>
            <xdr:cNvPr id="0" name=""/>
            <xdr:cNvSpPr>
              <a:spLocks noTextEdit="1"/>
            </xdr:cNvSpPr>
          </xdr:nvSpPr>
          <xdr:spPr>
            <a:xfrm>
              <a:off x="8602980" y="891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167640</xdr:colOff>
      <xdr:row>88</xdr:row>
      <xdr:rowOff>15240</xdr:rowOff>
    </xdr:from>
    <xdr:to>
      <xdr:col>32</xdr:col>
      <xdr:colOff>148591</xdr:colOff>
      <xdr:row>101</xdr:row>
      <xdr:rowOff>73025</xdr:rowOff>
    </xdr:to>
    <mc:AlternateContent xmlns:mc="http://schemas.openxmlformats.org/markup-compatibility/2006" xmlns:a14="http://schemas.microsoft.com/office/drawing/2010/main">
      <mc:Choice Requires="a14">
        <xdr:graphicFrame macro="">
          <xdr:nvGraphicFramePr>
            <xdr:cNvPr id="3" name="Loan_Approved">
              <a:extLst>
                <a:ext uri="{FF2B5EF4-FFF2-40B4-BE49-F238E27FC236}">
                  <a16:creationId xmlns:a16="http://schemas.microsoft.com/office/drawing/2014/main" id="{59C94CE5-E20F-C2E6-9E7A-3AFEDB96716B}"/>
                </a:ext>
              </a:extLst>
            </xdr:cNvPr>
            <xdr:cNvGraphicFramePr/>
          </xdr:nvGraphicFramePr>
          <xdr:xfrm>
            <a:off x="0" y="0"/>
            <a:ext cx="0" cy="0"/>
          </xdr:xfrm>
          <a:graphic>
            <a:graphicData uri="http://schemas.microsoft.com/office/drawing/2010/slicer">
              <sle:slicer xmlns:sle="http://schemas.microsoft.com/office/drawing/2010/slicer" name="Loan_Approved"/>
            </a:graphicData>
          </a:graphic>
        </xdr:graphicFrame>
      </mc:Choice>
      <mc:Fallback xmlns="">
        <xdr:sp macro="" textlink="">
          <xdr:nvSpPr>
            <xdr:cNvPr id="0" name=""/>
            <xdr:cNvSpPr>
              <a:spLocks noTextEdit="1"/>
            </xdr:cNvSpPr>
          </xdr:nvSpPr>
          <xdr:spPr>
            <a:xfrm>
              <a:off x="9258300" y="16657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594360</xdr:colOff>
      <xdr:row>106</xdr:row>
      <xdr:rowOff>167641</xdr:rowOff>
    </xdr:from>
    <xdr:to>
      <xdr:col>22</xdr:col>
      <xdr:colOff>186691</xdr:colOff>
      <xdr:row>116</xdr:row>
      <xdr:rowOff>72390</xdr:rowOff>
    </xdr:to>
    <mc:AlternateContent xmlns:mc="http://schemas.openxmlformats.org/markup-compatibility/2006" xmlns:a14="http://schemas.microsoft.com/office/drawing/2010/main">
      <mc:Choice Requires="a14">
        <xdr:graphicFrame macro="">
          <xdr:nvGraphicFramePr>
            <xdr:cNvPr id="4" name="Employment_Status">
              <a:extLst>
                <a:ext uri="{FF2B5EF4-FFF2-40B4-BE49-F238E27FC236}">
                  <a16:creationId xmlns:a16="http://schemas.microsoft.com/office/drawing/2014/main" id="{010F08F3-5B26-F809-F71B-311DE075B67E}"/>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mlns="">
        <xdr:sp macro="" textlink="">
          <xdr:nvSpPr>
            <xdr:cNvPr id="0" name=""/>
            <xdr:cNvSpPr>
              <a:spLocks noTextEdit="1"/>
            </xdr:cNvSpPr>
          </xdr:nvSpPr>
          <xdr:spPr>
            <a:xfrm>
              <a:off x="5806440" y="20147281"/>
              <a:ext cx="182880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205740</xdr:colOff>
      <xdr:row>130</xdr:row>
      <xdr:rowOff>144780</xdr:rowOff>
    </xdr:from>
    <xdr:to>
      <xdr:col>6</xdr:col>
      <xdr:colOff>15240</xdr:colOff>
      <xdr:row>145</xdr:row>
      <xdr:rowOff>144780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93C0155-A2F6-4273-BF9B-2E997AD7C4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5740" y="25671780"/>
              <a:ext cx="3876675" cy="2857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259080</xdr:colOff>
      <xdr:row>160</xdr:row>
      <xdr:rowOff>1</xdr:rowOff>
    </xdr:from>
    <xdr:to>
      <xdr:col>14</xdr:col>
      <xdr:colOff>149549</xdr:colOff>
      <xdr:row>165</xdr:row>
      <xdr:rowOff>72390</xdr:rowOff>
    </xdr:to>
    <mc:AlternateContent xmlns:mc="http://schemas.openxmlformats.org/markup-compatibility/2006" xmlns:a14="http://schemas.microsoft.com/office/drawing/2010/main">
      <mc:Choice Requires="a14">
        <xdr:graphicFrame macro="">
          <xdr:nvGraphicFramePr>
            <xdr:cNvPr id="6" name="Loan_Approved 1">
              <a:extLst>
                <a:ext uri="{FF2B5EF4-FFF2-40B4-BE49-F238E27FC236}">
                  <a16:creationId xmlns:a16="http://schemas.microsoft.com/office/drawing/2014/main" id="{BEF5B501-2E83-714E-E3E2-5624451E95E3}"/>
                </a:ext>
              </a:extLst>
            </xdr:cNvPr>
            <xdr:cNvGraphicFramePr/>
          </xdr:nvGraphicFramePr>
          <xdr:xfrm>
            <a:off x="0" y="0"/>
            <a:ext cx="0" cy="0"/>
          </xdr:xfrm>
          <a:graphic>
            <a:graphicData uri="http://schemas.microsoft.com/office/drawing/2010/slicer">
              <sle:slicer xmlns:sle="http://schemas.microsoft.com/office/drawing/2010/slicer" name="Loan_Approved 1"/>
            </a:graphicData>
          </a:graphic>
        </xdr:graphicFrame>
      </mc:Choice>
      <mc:Fallback xmlns="">
        <xdr:sp macro="" textlink="">
          <xdr:nvSpPr>
            <xdr:cNvPr id="0" name=""/>
            <xdr:cNvSpPr>
              <a:spLocks noTextEdit="1"/>
            </xdr:cNvSpPr>
          </xdr:nvSpPr>
          <xdr:spPr>
            <a:xfrm>
              <a:off x="5593080" y="30083761"/>
              <a:ext cx="1828800" cy="97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22860</xdr:colOff>
      <xdr:row>179</xdr:row>
      <xdr:rowOff>163830</xdr:rowOff>
    </xdr:from>
    <xdr:to>
      <xdr:col>37</xdr:col>
      <xdr:colOff>68580</xdr:colOff>
      <xdr:row>194</xdr:row>
      <xdr:rowOff>118110</xdr:rowOff>
    </xdr:to>
    <xdr:graphicFrame macro="">
      <xdr:nvGraphicFramePr>
        <xdr:cNvPr id="7" name="Chart 6">
          <a:extLst>
            <a:ext uri="{FF2B5EF4-FFF2-40B4-BE49-F238E27FC236}">
              <a16:creationId xmlns:a16="http://schemas.microsoft.com/office/drawing/2014/main" id="{94AE29D5-46D8-6F0E-DBC5-0FB210797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83820</xdr:colOff>
      <xdr:row>210</xdr:row>
      <xdr:rowOff>194310</xdr:rowOff>
    </xdr:from>
    <xdr:to>
      <xdr:col>33</xdr:col>
      <xdr:colOff>129540</xdr:colOff>
      <xdr:row>225</xdr:row>
      <xdr:rowOff>102870</xdr:rowOff>
    </xdr:to>
    <xdr:graphicFrame macro="">
      <xdr:nvGraphicFramePr>
        <xdr:cNvPr id="9" name="Chart 8">
          <a:extLst>
            <a:ext uri="{FF2B5EF4-FFF2-40B4-BE49-F238E27FC236}">
              <a16:creationId xmlns:a16="http://schemas.microsoft.com/office/drawing/2014/main" id="{391807B4-21C1-C18F-5244-7ED1FA54B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60960</xdr:colOff>
      <xdr:row>243</xdr:row>
      <xdr:rowOff>7621</xdr:rowOff>
    </xdr:from>
    <xdr:to>
      <xdr:col>13</xdr:col>
      <xdr:colOff>167330</xdr:colOff>
      <xdr:row>252</xdr:row>
      <xdr:rowOff>116841</xdr:rowOff>
    </xdr:to>
    <mc:AlternateContent xmlns:mc="http://schemas.openxmlformats.org/markup-compatibility/2006" xmlns:a14="http://schemas.microsoft.com/office/drawing/2010/main">
      <mc:Choice Requires="a14">
        <xdr:graphicFrame macro="">
          <xdr:nvGraphicFramePr>
            <xdr:cNvPr id="10" name="Age_Group">
              <a:extLst>
                <a:ext uri="{FF2B5EF4-FFF2-40B4-BE49-F238E27FC236}">
                  <a16:creationId xmlns:a16="http://schemas.microsoft.com/office/drawing/2014/main" id="{A12F75D9-18EC-A901-AF5B-AF9AF62A502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3962400" y="45636181"/>
              <a:ext cx="182880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95250</xdr:colOff>
      <xdr:row>14</xdr:row>
      <xdr:rowOff>31751</xdr:rowOff>
    </xdr:from>
    <xdr:to>
      <xdr:col>26</xdr:col>
      <xdr:colOff>116841</xdr:colOff>
      <xdr:row>19</xdr:row>
      <xdr:rowOff>2541</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275D1E43-7B9E-981C-691F-6FD8D910F92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784214" y="2707591"/>
              <a:ext cx="1835739" cy="936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107950</xdr:colOff>
      <xdr:row>6</xdr:row>
      <xdr:rowOff>139701</xdr:rowOff>
    </xdr:from>
    <xdr:to>
      <xdr:col>18</xdr:col>
      <xdr:colOff>116841</xdr:colOff>
      <xdr:row>15</xdr:row>
      <xdr:rowOff>72391</xdr:rowOff>
    </xdr:to>
    <mc:AlternateContent xmlns:mc="http://schemas.openxmlformats.org/markup-compatibility/2006" xmlns:a14="http://schemas.microsoft.com/office/drawing/2010/main">
      <mc:Choice Requires="a14">
        <xdr:graphicFrame macro="">
          <xdr:nvGraphicFramePr>
            <xdr:cNvPr id="11" name="Age_Group 2">
              <a:extLst>
                <a:ext uri="{FF2B5EF4-FFF2-40B4-BE49-F238E27FC236}">
                  <a16:creationId xmlns:a16="http://schemas.microsoft.com/office/drawing/2014/main" id="{9FE0EF52-5D88-AD3E-1DE4-1FA3B3FEF1E7}"/>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5168194" y="1294493"/>
              <a:ext cx="1836925" cy="1679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198</xdr:row>
      <xdr:rowOff>91441</xdr:rowOff>
    </xdr:from>
    <xdr:to>
      <xdr:col>17</xdr:col>
      <xdr:colOff>193039</xdr:colOff>
      <xdr:row>203</xdr:row>
      <xdr:rowOff>110491</xdr:rowOff>
    </xdr:to>
    <mc:AlternateContent xmlns:mc="http://schemas.openxmlformats.org/markup-compatibility/2006" xmlns:a14="http://schemas.microsoft.com/office/drawing/2010/main">
      <mc:Choice Requires="a14">
        <xdr:graphicFrame macro="">
          <xdr:nvGraphicFramePr>
            <xdr:cNvPr id="12" name="Has_Existing_Loan">
              <a:extLst>
                <a:ext uri="{FF2B5EF4-FFF2-40B4-BE49-F238E27FC236}">
                  <a16:creationId xmlns:a16="http://schemas.microsoft.com/office/drawing/2014/main" id="{798FC9C8-9403-5EBB-1D8C-B375B8484EDD}"/>
                </a:ext>
              </a:extLst>
            </xdr:cNvPr>
            <xdr:cNvGraphicFramePr/>
          </xdr:nvGraphicFramePr>
          <xdr:xfrm>
            <a:off x="0" y="0"/>
            <a:ext cx="0" cy="0"/>
          </xdr:xfrm>
          <a:graphic>
            <a:graphicData uri="http://schemas.microsoft.com/office/drawing/2010/slicer">
              <sle:slicer xmlns:sle="http://schemas.microsoft.com/office/drawing/2010/slicer" name="Has_Existing_Loan"/>
            </a:graphicData>
          </a:graphic>
        </xdr:graphicFrame>
      </mc:Choice>
      <mc:Fallback xmlns="">
        <xdr:sp macro="" textlink="">
          <xdr:nvSpPr>
            <xdr:cNvPr id="0" name=""/>
            <xdr:cNvSpPr>
              <a:spLocks noTextEdit="1"/>
            </xdr:cNvSpPr>
          </xdr:nvSpPr>
          <xdr:spPr>
            <a:xfrm>
              <a:off x="5074920" y="3726180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19319</xdr:colOff>
      <xdr:row>14</xdr:row>
      <xdr:rowOff>68195</xdr:rowOff>
    </xdr:from>
    <xdr:to>
      <xdr:col>6</xdr:col>
      <xdr:colOff>316365</xdr:colOff>
      <xdr:row>29</xdr:row>
      <xdr:rowOff>58383</xdr:rowOff>
    </xdr:to>
    <xdr:graphicFrame macro="">
      <xdr:nvGraphicFramePr>
        <xdr:cNvPr id="2" name="Chart 1">
          <a:extLst>
            <a:ext uri="{FF2B5EF4-FFF2-40B4-BE49-F238E27FC236}">
              <a16:creationId xmlns:a16="http://schemas.microsoft.com/office/drawing/2014/main" id="{53A9C42D-F570-44E3-9C08-CB2592DB9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39619</xdr:colOff>
      <xdr:row>45</xdr:row>
      <xdr:rowOff>45014</xdr:rowOff>
    </xdr:from>
    <xdr:to>
      <xdr:col>6</xdr:col>
      <xdr:colOff>334317</xdr:colOff>
      <xdr:row>61</xdr:row>
      <xdr:rowOff>77869</xdr:rowOff>
    </xdr:to>
    <xdr:graphicFrame macro="">
      <xdr:nvGraphicFramePr>
        <xdr:cNvPr id="3" name="Chart 2">
          <a:extLst>
            <a:ext uri="{FF2B5EF4-FFF2-40B4-BE49-F238E27FC236}">
              <a16:creationId xmlns:a16="http://schemas.microsoft.com/office/drawing/2014/main" id="{4581C913-7B8D-4424-8ACC-B459DA530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355418</xdr:colOff>
      <xdr:row>14</xdr:row>
      <xdr:rowOff>84751</xdr:rowOff>
    </xdr:from>
    <xdr:to>
      <xdr:col>20</xdr:col>
      <xdr:colOff>408495</xdr:colOff>
      <xdr:row>29</xdr:row>
      <xdr:rowOff>35443</xdr:rowOff>
    </xdr:to>
    <xdr:graphicFrame macro="">
      <xdr:nvGraphicFramePr>
        <xdr:cNvPr id="4" name="Chart 3">
          <a:extLst>
            <a:ext uri="{FF2B5EF4-FFF2-40B4-BE49-F238E27FC236}">
              <a16:creationId xmlns:a16="http://schemas.microsoft.com/office/drawing/2014/main" id="{BC45D77A-5D66-4EDE-AFF7-B947183CD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35718</xdr:colOff>
      <xdr:row>29</xdr:row>
      <xdr:rowOff>99595</xdr:rowOff>
    </xdr:from>
    <xdr:to>
      <xdr:col>6</xdr:col>
      <xdr:colOff>324884</xdr:colOff>
      <xdr:row>44</xdr:row>
      <xdr:rowOff>160356</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B6045E9-6ECA-409E-A586-26326A8089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5718" y="5719345"/>
              <a:ext cx="4222991" cy="29182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415039</xdr:colOff>
      <xdr:row>29</xdr:row>
      <xdr:rowOff>98125</xdr:rowOff>
    </xdr:from>
    <xdr:to>
      <xdr:col>13</xdr:col>
      <xdr:colOff>289442</xdr:colOff>
      <xdr:row>44</xdr:row>
      <xdr:rowOff>157956</xdr:rowOff>
    </xdr:to>
    <xdr:graphicFrame macro="">
      <xdr:nvGraphicFramePr>
        <xdr:cNvPr id="6" name="Chart 5">
          <a:extLst>
            <a:ext uri="{FF2B5EF4-FFF2-40B4-BE49-F238E27FC236}">
              <a16:creationId xmlns:a16="http://schemas.microsoft.com/office/drawing/2014/main" id="{FD3A0C62-6858-4080-B588-16083A512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357482</xdr:colOff>
      <xdr:row>29</xdr:row>
      <xdr:rowOff>100419</xdr:rowOff>
    </xdr:from>
    <xdr:to>
      <xdr:col>20</xdr:col>
      <xdr:colOff>407582</xdr:colOff>
      <xdr:row>44</xdr:row>
      <xdr:rowOff>158150</xdr:rowOff>
    </xdr:to>
    <xdr:graphicFrame macro="">
      <xdr:nvGraphicFramePr>
        <xdr:cNvPr id="7" name="Chart 6">
          <a:extLst>
            <a:ext uri="{FF2B5EF4-FFF2-40B4-BE49-F238E27FC236}">
              <a16:creationId xmlns:a16="http://schemas.microsoft.com/office/drawing/2014/main" id="{B845DF8D-C359-4B70-9C69-FB38B278D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417602</xdr:colOff>
      <xdr:row>14</xdr:row>
      <xdr:rowOff>76538</xdr:rowOff>
    </xdr:from>
    <xdr:to>
      <xdr:col>13</xdr:col>
      <xdr:colOff>285750</xdr:colOff>
      <xdr:row>29</xdr:row>
      <xdr:rowOff>47256</xdr:rowOff>
    </xdr:to>
    <xdr:graphicFrame macro="">
      <xdr:nvGraphicFramePr>
        <xdr:cNvPr id="9" name="Chart 8">
          <a:extLst>
            <a:ext uri="{FF2B5EF4-FFF2-40B4-BE49-F238E27FC236}">
              <a16:creationId xmlns:a16="http://schemas.microsoft.com/office/drawing/2014/main" id="{83D109FC-0074-4448-B385-279071226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411407</xdr:colOff>
      <xdr:row>45</xdr:row>
      <xdr:rowOff>43913</xdr:rowOff>
    </xdr:from>
    <xdr:to>
      <xdr:col>13</xdr:col>
      <xdr:colOff>282754</xdr:colOff>
      <xdr:row>61</xdr:row>
      <xdr:rowOff>83431</xdr:rowOff>
    </xdr:to>
    <xdr:graphicFrame macro="">
      <xdr:nvGraphicFramePr>
        <xdr:cNvPr id="10" name="Chart 9">
          <a:extLst>
            <a:ext uri="{FF2B5EF4-FFF2-40B4-BE49-F238E27FC236}">
              <a16:creationId xmlns:a16="http://schemas.microsoft.com/office/drawing/2014/main" id="{78BE53D5-2248-436D-A0CE-48DEE76CB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367226</xdr:colOff>
      <xdr:row>45</xdr:row>
      <xdr:rowOff>48361</xdr:rowOff>
    </xdr:from>
    <xdr:to>
      <xdr:col>20</xdr:col>
      <xdr:colOff>407359</xdr:colOff>
      <xdr:row>61</xdr:row>
      <xdr:rowOff>66746</xdr:rowOff>
    </xdr:to>
    <xdr:graphicFrame macro="">
      <xdr:nvGraphicFramePr>
        <xdr:cNvPr id="11" name="Chart 10">
          <a:extLst>
            <a:ext uri="{FF2B5EF4-FFF2-40B4-BE49-F238E27FC236}">
              <a16:creationId xmlns:a16="http://schemas.microsoft.com/office/drawing/2014/main" id="{F01F16CC-C7B9-41C2-96B1-FBCA40DA5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460558</xdr:colOff>
      <xdr:row>45</xdr:row>
      <xdr:rowOff>62088</xdr:rowOff>
    </xdr:from>
    <xdr:to>
      <xdr:col>26</xdr:col>
      <xdr:colOff>558800</xdr:colOff>
      <xdr:row>61</xdr:row>
      <xdr:rowOff>66744</xdr:rowOff>
    </xdr:to>
    <xdr:graphicFrame macro="">
      <xdr:nvGraphicFramePr>
        <xdr:cNvPr id="12" name="Chart 11">
          <a:extLst>
            <a:ext uri="{FF2B5EF4-FFF2-40B4-BE49-F238E27FC236}">
              <a16:creationId xmlns:a16="http://schemas.microsoft.com/office/drawing/2014/main" id="{F38F2254-D853-4E88-8F59-93B6F1F80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458325</xdr:colOff>
      <xdr:row>14</xdr:row>
      <xdr:rowOff>88142</xdr:rowOff>
    </xdr:from>
    <xdr:to>
      <xdr:col>26</xdr:col>
      <xdr:colOff>536357</xdr:colOff>
      <xdr:row>20</xdr:row>
      <xdr:rowOff>95250</xdr:rowOff>
    </xdr:to>
    <mc:AlternateContent xmlns:mc="http://schemas.openxmlformats.org/markup-compatibility/2006" xmlns:a14="http://schemas.microsoft.com/office/drawing/2010/main">
      <mc:Choice Requires="a14">
        <xdr:graphicFrame macro="">
          <xdr:nvGraphicFramePr>
            <xdr:cNvPr id="13" name="Credit Categorical 1">
              <a:extLst>
                <a:ext uri="{FF2B5EF4-FFF2-40B4-BE49-F238E27FC236}">
                  <a16:creationId xmlns:a16="http://schemas.microsoft.com/office/drawing/2014/main" id="{19D74E6E-9C58-4DB5-82E7-5D43EE3A1B41}"/>
                </a:ext>
              </a:extLst>
            </xdr:cNvPr>
            <xdr:cNvGraphicFramePr/>
          </xdr:nvGraphicFramePr>
          <xdr:xfrm>
            <a:off x="0" y="0"/>
            <a:ext cx="0" cy="0"/>
          </xdr:xfrm>
          <a:graphic>
            <a:graphicData uri="http://schemas.microsoft.com/office/drawing/2010/slicer">
              <sle:slicer xmlns:sle="http://schemas.microsoft.com/office/drawing/2010/slicer" name="Credit Categorical 1"/>
            </a:graphicData>
          </a:graphic>
        </xdr:graphicFrame>
      </mc:Choice>
      <mc:Fallback xmlns="">
        <xdr:sp macro="" textlink="">
          <xdr:nvSpPr>
            <xdr:cNvPr id="0" name=""/>
            <xdr:cNvSpPr>
              <a:spLocks noTextEdit="1"/>
            </xdr:cNvSpPr>
          </xdr:nvSpPr>
          <xdr:spPr>
            <a:xfrm>
              <a:off x="12989610" y="2657806"/>
              <a:ext cx="3764221" cy="1229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54023</xdr:colOff>
      <xdr:row>9</xdr:row>
      <xdr:rowOff>36964</xdr:rowOff>
    </xdr:from>
    <xdr:to>
      <xdr:col>22</xdr:col>
      <xdr:colOff>2843</xdr:colOff>
      <xdr:row>13</xdr:row>
      <xdr:rowOff>157656</xdr:rowOff>
    </xdr:to>
    <mc:AlternateContent xmlns:mc="http://schemas.openxmlformats.org/markup-compatibility/2006" xmlns:a14="http://schemas.microsoft.com/office/drawing/2010/main">
      <mc:Choice Requires="a14">
        <xdr:graphicFrame macro="">
          <xdr:nvGraphicFramePr>
            <xdr:cNvPr id="15" name="Loan_Approved 2">
              <a:extLst>
                <a:ext uri="{FF2B5EF4-FFF2-40B4-BE49-F238E27FC236}">
                  <a16:creationId xmlns:a16="http://schemas.microsoft.com/office/drawing/2014/main" id="{550EA72A-0C44-4C13-AACF-E440FE57A8E5}"/>
                </a:ext>
              </a:extLst>
            </xdr:cNvPr>
            <xdr:cNvGraphicFramePr/>
          </xdr:nvGraphicFramePr>
          <xdr:xfrm>
            <a:off x="0" y="0"/>
            <a:ext cx="0" cy="0"/>
          </xdr:xfrm>
          <a:graphic>
            <a:graphicData uri="http://schemas.microsoft.com/office/drawing/2010/slicer">
              <sle:slicer xmlns:sle="http://schemas.microsoft.com/office/drawing/2010/slicer" name="Loan_Approved 2"/>
            </a:graphicData>
          </a:graphic>
        </xdr:graphicFrame>
      </mc:Choice>
      <mc:Fallback xmlns="">
        <xdr:sp macro="" textlink="">
          <xdr:nvSpPr>
            <xdr:cNvPr id="0" name=""/>
            <xdr:cNvSpPr>
              <a:spLocks noTextEdit="1"/>
            </xdr:cNvSpPr>
          </xdr:nvSpPr>
          <xdr:spPr>
            <a:xfrm>
              <a:off x="10749833" y="1688891"/>
              <a:ext cx="3007944" cy="91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453116</xdr:colOff>
      <xdr:row>26</xdr:row>
      <xdr:rowOff>113496</xdr:rowOff>
    </xdr:from>
    <xdr:to>
      <xdr:col>26</xdr:col>
      <xdr:colOff>567690</xdr:colOff>
      <xdr:row>33</xdr:row>
      <xdr:rowOff>35003</xdr:rowOff>
    </xdr:to>
    <mc:AlternateContent xmlns:mc="http://schemas.openxmlformats.org/markup-compatibility/2006" xmlns:a14="http://schemas.microsoft.com/office/drawing/2010/main">
      <mc:Choice Requires="a14">
        <xdr:graphicFrame macro="">
          <xdr:nvGraphicFramePr>
            <xdr:cNvPr id="16" name="Employment_Status 1">
              <a:extLst>
                <a:ext uri="{FF2B5EF4-FFF2-40B4-BE49-F238E27FC236}">
                  <a16:creationId xmlns:a16="http://schemas.microsoft.com/office/drawing/2014/main" id="{79930D1C-8278-491E-90C0-BC5237B7FA67}"/>
                </a:ext>
              </a:extLst>
            </xdr:cNvPr>
            <xdr:cNvGraphicFramePr/>
          </xdr:nvGraphicFramePr>
          <xdr:xfrm>
            <a:off x="0" y="0"/>
            <a:ext cx="0" cy="0"/>
          </xdr:xfrm>
          <a:graphic>
            <a:graphicData uri="http://schemas.microsoft.com/office/drawing/2010/slicer">
              <sle:slicer xmlns:sle="http://schemas.microsoft.com/office/drawing/2010/slicer" name="Employment_Status 1"/>
            </a:graphicData>
          </a:graphic>
        </xdr:graphicFrame>
      </mc:Choice>
      <mc:Fallback xmlns="">
        <xdr:sp macro="" textlink="">
          <xdr:nvSpPr>
            <xdr:cNvPr id="0" name=""/>
            <xdr:cNvSpPr>
              <a:spLocks noTextEdit="1"/>
            </xdr:cNvSpPr>
          </xdr:nvSpPr>
          <xdr:spPr>
            <a:xfrm>
              <a:off x="12984401" y="4885730"/>
              <a:ext cx="3776633" cy="1192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55085</xdr:colOff>
      <xdr:row>9</xdr:row>
      <xdr:rowOff>28757</xdr:rowOff>
    </xdr:from>
    <xdr:to>
      <xdr:col>26</xdr:col>
      <xdr:colOff>536357</xdr:colOff>
      <xdr:row>13</xdr:row>
      <xdr:rowOff>144518</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22B3C38B-5AF3-48DC-AC0C-F8698E8D49F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810019" y="1680684"/>
              <a:ext cx="2943812" cy="920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446546</xdr:colOff>
      <xdr:row>33</xdr:row>
      <xdr:rowOff>104473</xdr:rowOff>
    </xdr:from>
    <xdr:to>
      <xdr:col>26</xdr:col>
      <xdr:colOff>568254</xdr:colOff>
      <xdr:row>40</xdr:row>
      <xdr:rowOff>3887</xdr:rowOff>
    </xdr:to>
    <mc:AlternateContent xmlns:mc="http://schemas.openxmlformats.org/markup-compatibility/2006" xmlns:a14="http://schemas.microsoft.com/office/drawing/2010/main">
      <mc:Choice Requires="a14">
        <xdr:graphicFrame macro="">
          <xdr:nvGraphicFramePr>
            <xdr:cNvPr id="17" name="Age_Group 3">
              <a:extLst>
                <a:ext uri="{FF2B5EF4-FFF2-40B4-BE49-F238E27FC236}">
                  <a16:creationId xmlns:a16="http://schemas.microsoft.com/office/drawing/2014/main" id="{436E5994-A10B-414C-88C6-60E7F9F69A54}"/>
                </a:ext>
              </a:extLst>
            </xdr:cNvPr>
            <xdr:cNvGraphicFramePr/>
          </xdr:nvGraphicFramePr>
          <xdr:xfrm>
            <a:off x="0" y="0"/>
            <a:ext cx="0" cy="0"/>
          </xdr:xfrm>
          <a:graphic>
            <a:graphicData uri="http://schemas.microsoft.com/office/drawing/2010/slicer">
              <sle:slicer xmlns:sle="http://schemas.microsoft.com/office/drawing/2010/slicer" name="Age_Group 3"/>
            </a:graphicData>
          </a:graphic>
        </xdr:graphicFrame>
      </mc:Choice>
      <mc:Fallback xmlns="">
        <xdr:sp macro="" textlink="">
          <xdr:nvSpPr>
            <xdr:cNvPr id="0" name=""/>
            <xdr:cNvSpPr>
              <a:spLocks noTextEdit="1"/>
            </xdr:cNvSpPr>
          </xdr:nvSpPr>
          <xdr:spPr>
            <a:xfrm>
              <a:off x="12977831" y="6161539"/>
              <a:ext cx="3788847" cy="118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451433</xdr:colOff>
      <xdr:row>40</xdr:row>
      <xdr:rowOff>62247</xdr:rowOff>
    </xdr:from>
    <xdr:to>
      <xdr:col>26</xdr:col>
      <xdr:colOff>567690</xdr:colOff>
      <xdr:row>44</xdr:row>
      <xdr:rowOff>148715</xdr:rowOff>
    </xdr:to>
    <mc:AlternateContent xmlns:mc="http://schemas.openxmlformats.org/markup-compatibility/2006" xmlns:a14="http://schemas.microsoft.com/office/drawing/2010/main">
      <mc:Choice Requires="a14">
        <xdr:graphicFrame macro="">
          <xdr:nvGraphicFramePr>
            <xdr:cNvPr id="20" name="Education_Level">
              <a:extLst>
                <a:ext uri="{FF2B5EF4-FFF2-40B4-BE49-F238E27FC236}">
                  <a16:creationId xmlns:a16="http://schemas.microsoft.com/office/drawing/2014/main" id="{0D11FB14-E75B-9F63-F335-7559F1B9189D}"/>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12982718" y="7404145"/>
              <a:ext cx="3778316" cy="815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99700</xdr:colOff>
      <xdr:row>9</xdr:row>
      <xdr:rowOff>47625</xdr:rowOff>
    </xdr:from>
    <xdr:to>
      <xdr:col>16</xdr:col>
      <xdr:colOff>591207</xdr:colOff>
      <xdr:row>13</xdr:row>
      <xdr:rowOff>161925</xdr:rowOff>
    </xdr:to>
    <mc:AlternateContent xmlns:mc="http://schemas.openxmlformats.org/markup-compatibility/2006">
      <mc:Choice xmlns:a14="http://schemas.microsoft.com/office/drawing/2010/main" Requires="a14">
        <xdr:graphicFrame macro="">
          <xdr:nvGraphicFramePr>
            <xdr:cNvPr id="8" name="Has_Existing_Loan 1">
              <a:extLst>
                <a:ext uri="{FF2B5EF4-FFF2-40B4-BE49-F238E27FC236}">
                  <a16:creationId xmlns:a16="http://schemas.microsoft.com/office/drawing/2014/main" id="{12060B33-96F3-46F4-8B30-FDC11B0DF916}"/>
                </a:ext>
              </a:extLst>
            </xdr:cNvPr>
            <xdr:cNvGraphicFramePr/>
          </xdr:nvGraphicFramePr>
          <xdr:xfrm>
            <a:off x="0" y="0"/>
            <a:ext cx="0" cy="0"/>
          </xdr:xfrm>
          <a:graphic>
            <a:graphicData uri="http://schemas.microsoft.com/office/drawing/2010/slicer">
              <sle:slicer xmlns:sle="http://schemas.microsoft.com/office/drawing/2010/slicer" name="Has_Existing_Loan 1"/>
            </a:graphicData>
          </a:graphic>
        </xdr:graphicFrame>
      </mc:Choice>
      <mc:Fallback>
        <xdr:sp macro="" textlink="">
          <xdr:nvSpPr>
            <xdr:cNvPr id="0" name=""/>
            <xdr:cNvSpPr>
              <a:spLocks noTextEdit="1"/>
            </xdr:cNvSpPr>
          </xdr:nvSpPr>
          <xdr:spPr>
            <a:xfrm>
              <a:off x="7791138" y="1762125"/>
              <a:ext cx="2968007"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485774</xdr:colOff>
      <xdr:row>20</xdr:row>
      <xdr:rowOff>190499</xdr:rowOff>
    </xdr:from>
    <xdr:to>
      <xdr:col>26</xdr:col>
      <xdr:colOff>523875</xdr:colOff>
      <xdr:row>26</xdr:row>
      <xdr:rowOff>19050</xdr:rowOff>
    </xdr:to>
    <mc:AlternateContent xmlns:mc="http://schemas.openxmlformats.org/markup-compatibility/2006">
      <mc:Choice xmlns:a14="http://schemas.microsoft.com/office/drawing/2010/main" Requires="a14">
        <xdr:graphicFrame macro="">
          <xdr:nvGraphicFramePr>
            <xdr:cNvPr id="18" name="DTI RISK LEVEL">
              <a:extLst>
                <a:ext uri="{FF2B5EF4-FFF2-40B4-BE49-F238E27FC236}">
                  <a16:creationId xmlns:a16="http://schemas.microsoft.com/office/drawing/2014/main" id="{7126C33A-D8EF-F0F7-EB88-D66C1A915CB8}"/>
                </a:ext>
              </a:extLst>
            </xdr:cNvPr>
            <xdr:cNvGraphicFramePr/>
          </xdr:nvGraphicFramePr>
          <xdr:xfrm>
            <a:off x="0" y="0"/>
            <a:ext cx="0" cy="0"/>
          </xdr:xfrm>
          <a:graphic>
            <a:graphicData uri="http://schemas.microsoft.com/office/drawing/2010/slicer">
              <sle:slicer xmlns:sle="http://schemas.microsoft.com/office/drawing/2010/slicer" name="DTI RISK LEVEL"/>
            </a:graphicData>
          </a:graphic>
        </xdr:graphicFrame>
      </mc:Choice>
      <mc:Fallback>
        <xdr:sp macro="" textlink="">
          <xdr:nvSpPr>
            <xdr:cNvPr id="0" name=""/>
            <xdr:cNvSpPr>
              <a:spLocks noTextEdit="1"/>
            </xdr:cNvSpPr>
          </xdr:nvSpPr>
          <xdr:spPr>
            <a:xfrm>
              <a:off x="13130212" y="4000499"/>
              <a:ext cx="3752851" cy="971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refreshedDate="46050.796857407404" createdVersion="8" refreshedVersion="8" minRefreshableVersion="3" recordCount="950" xr:uid="{9B67B23D-B821-4BB0-93BA-48B2F0A26D59}">
  <cacheSource type="worksheet">
    <worksheetSource name="Table1"/>
  </cacheSource>
  <cacheFields count="29">
    <cacheField name="Applicant_ID" numFmtId="0">
      <sharedItems containsSemiMixedTypes="0" containsString="0" containsNumber="1" containsInteger="1" minValue="1" maxValue="1000" count="950">
        <n v="1"/>
        <n v="2"/>
        <n v="3"/>
        <n v="4"/>
        <n v="5"/>
        <n v="6"/>
        <n v="7"/>
        <n v="8"/>
        <n v="9"/>
        <n v="10"/>
        <n v="11"/>
        <n v="12"/>
        <n v="13"/>
        <n v="14"/>
        <n v="15"/>
        <n v="16"/>
        <n v="17"/>
        <n v="18"/>
        <n v="19"/>
        <n v="20"/>
        <n v="21"/>
        <n v="22"/>
        <n v="23"/>
        <n v="24"/>
        <n v="26"/>
        <n v="27"/>
        <n v="28"/>
        <n v="29"/>
        <n v="30"/>
        <n v="31"/>
        <n v="33"/>
        <n v="34"/>
        <n v="35"/>
        <n v="36"/>
        <n v="37"/>
        <n v="38"/>
        <n v="39"/>
        <n v="41"/>
        <n v="42"/>
        <n v="43"/>
        <n v="44"/>
        <n v="45"/>
        <n v="46"/>
        <n v="47"/>
        <n v="48"/>
        <n v="49"/>
        <n v="50"/>
        <n v="51"/>
        <n v="52"/>
        <n v="53"/>
        <n v="54"/>
        <n v="55"/>
        <n v="56"/>
        <n v="57"/>
        <n v="58"/>
        <n v="59"/>
        <n v="60"/>
        <n v="61"/>
        <n v="62"/>
        <n v="63"/>
        <n v="64"/>
        <n v="65"/>
        <n v="66"/>
        <n v="67"/>
        <n v="68"/>
        <n v="69"/>
        <n v="70"/>
        <n v="71"/>
        <n v="72"/>
        <n v="73"/>
        <n v="74"/>
        <n v="75"/>
        <n v="76"/>
        <n v="77"/>
        <n v="79"/>
        <n v="80"/>
        <n v="81"/>
        <n v="83"/>
        <n v="84"/>
        <n v="85"/>
        <n v="86"/>
        <n v="87"/>
        <n v="88"/>
        <n v="89"/>
        <n v="90"/>
        <n v="91"/>
        <n v="92"/>
        <n v="93"/>
        <n v="94"/>
        <n v="95"/>
        <n v="96"/>
        <n v="97"/>
        <n v="98"/>
        <n v="99"/>
        <n v="100"/>
        <n v="101"/>
        <n v="102"/>
        <n v="103"/>
        <n v="104"/>
        <n v="105"/>
        <n v="106"/>
        <n v="107"/>
        <n v="108"/>
        <n v="110"/>
        <n v="111"/>
        <n v="112"/>
        <n v="113"/>
        <n v="114"/>
        <n v="115"/>
        <n v="116"/>
        <n v="117"/>
        <n v="118"/>
        <n v="119"/>
        <n v="120"/>
        <n v="121"/>
        <n v="123"/>
        <n v="124"/>
        <n v="125"/>
        <n v="126"/>
        <n v="127"/>
        <n v="128"/>
        <n v="129"/>
        <n v="130"/>
        <n v="131"/>
        <n v="132"/>
        <n v="133"/>
        <n v="134"/>
        <n v="136"/>
        <n v="137"/>
        <n v="138"/>
        <n v="139"/>
        <n v="140"/>
        <n v="141"/>
        <n v="142"/>
        <n v="143"/>
        <n v="144"/>
        <n v="145"/>
        <n v="146"/>
        <n v="147"/>
        <n v="148"/>
        <n v="149"/>
        <n v="150"/>
        <n v="151"/>
        <n v="152"/>
        <n v="153"/>
        <n v="154"/>
        <n v="155"/>
        <n v="156"/>
        <n v="157"/>
        <n v="158"/>
        <n v="159"/>
        <n v="160"/>
        <n v="161"/>
        <n v="162"/>
        <n v="163"/>
        <n v="164"/>
        <n v="165"/>
        <n v="166"/>
        <n v="168"/>
        <n v="169"/>
        <n v="170"/>
        <n v="171"/>
        <n v="172"/>
        <n v="173"/>
        <n v="174"/>
        <n v="175"/>
        <n v="176"/>
        <n v="177"/>
        <n v="178"/>
        <n v="179"/>
        <n v="180"/>
        <n v="181"/>
        <n v="182"/>
        <n v="183"/>
        <n v="184"/>
        <n v="185"/>
        <n v="186"/>
        <n v="187"/>
        <n v="188"/>
        <n v="189"/>
        <n v="190"/>
        <n v="191"/>
        <n v="193"/>
        <n v="194"/>
        <n v="195"/>
        <n v="196"/>
        <n v="198"/>
        <n v="199"/>
        <n v="200"/>
        <n v="201"/>
        <n v="202"/>
        <n v="203"/>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4"/>
        <n v="275"/>
        <n v="276"/>
        <n v="277"/>
        <n v="278"/>
        <n v="280"/>
        <n v="281"/>
        <n v="282"/>
        <n v="283"/>
        <n v="284"/>
        <n v="285"/>
        <n v="286"/>
        <n v="287"/>
        <n v="288"/>
        <n v="289"/>
        <n v="290"/>
        <n v="291"/>
        <n v="292"/>
        <n v="293"/>
        <n v="294"/>
        <n v="295"/>
        <n v="296"/>
        <n v="297"/>
        <n v="298"/>
        <n v="299"/>
        <n v="300"/>
        <n v="301"/>
        <n v="302"/>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7"/>
        <n v="358"/>
        <n v="359"/>
        <n v="360"/>
        <n v="361"/>
        <n v="362"/>
        <n v="363"/>
        <n v="364"/>
        <n v="365"/>
        <n v="366"/>
        <n v="367"/>
        <n v="368"/>
        <n v="369"/>
        <n v="370"/>
        <n v="371"/>
        <n v="373"/>
        <n v="374"/>
        <n v="375"/>
        <n v="376"/>
        <n v="377"/>
        <n v="378"/>
        <n v="379"/>
        <n v="380"/>
        <n v="381"/>
        <n v="382"/>
        <n v="383"/>
        <n v="385"/>
        <n v="386"/>
        <n v="387"/>
        <n v="388"/>
        <n v="389"/>
        <n v="390"/>
        <n v="391"/>
        <n v="392"/>
        <n v="393"/>
        <n v="394"/>
        <n v="395"/>
        <n v="396"/>
        <n v="397"/>
        <n v="398"/>
        <n v="399"/>
        <n v="400"/>
        <n v="401"/>
        <n v="402"/>
        <n v="403"/>
        <n v="404"/>
        <n v="405"/>
        <n v="406"/>
        <n v="407"/>
        <n v="408"/>
        <n v="409"/>
        <n v="410"/>
        <n v="411"/>
        <n v="412"/>
        <n v="413"/>
        <n v="414"/>
        <n v="415"/>
        <n v="416"/>
        <n v="417"/>
        <n v="418"/>
        <n v="419"/>
        <n v="421"/>
        <n v="422"/>
        <n v="423"/>
        <n v="424"/>
        <n v="425"/>
        <n v="426"/>
        <n v="427"/>
        <n v="428"/>
        <n v="429"/>
        <n v="430"/>
        <n v="431"/>
        <n v="432"/>
        <n v="433"/>
        <n v="434"/>
        <n v="435"/>
        <n v="437"/>
        <n v="438"/>
        <n v="439"/>
        <n v="440"/>
        <n v="441"/>
        <n v="442"/>
        <n v="443"/>
        <n v="444"/>
        <n v="445"/>
        <n v="446"/>
        <n v="447"/>
        <n v="448"/>
        <n v="449"/>
        <n v="450"/>
        <n v="451"/>
        <n v="452"/>
        <n v="453"/>
        <n v="454"/>
        <n v="455"/>
        <n v="456"/>
        <n v="457"/>
        <n v="458"/>
        <n v="459"/>
        <n v="460"/>
        <n v="461"/>
        <n v="462"/>
        <n v="463"/>
        <n v="464"/>
        <n v="465"/>
        <n v="466"/>
        <n v="467"/>
        <n v="469"/>
        <n v="470"/>
        <n v="471"/>
        <n v="472"/>
        <n v="473"/>
        <n v="475"/>
        <n v="476"/>
        <n v="477"/>
        <n v="478"/>
        <n v="479"/>
        <n v="480"/>
        <n v="481"/>
        <n v="482"/>
        <n v="483"/>
        <n v="484"/>
        <n v="485"/>
        <n v="486"/>
        <n v="487"/>
        <n v="488"/>
        <n v="489"/>
        <n v="490"/>
        <n v="491"/>
        <n v="492"/>
        <n v="493"/>
        <n v="494"/>
        <n v="495"/>
        <n v="497"/>
        <n v="498"/>
        <n v="499"/>
        <n v="500"/>
        <n v="501"/>
        <n v="502"/>
        <n v="503"/>
        <n v="504"/>
        <n v="505"/>
        <n v="506"/>
        <n v="508"/>
        <n v="509"/>
        <n v="510"/>
        <n v="511"/>
        <n v="512"/>
        <n v="513"/>
        <n v="514"/>
        <n v="515"/>
        <n v="516"/>
        <n v="517"/>
        <n v="518"/>
        <n v="519"/>
        <n v="521"/>
        <n v="522"/>
        <n v="523"/>
        <n v="524"/>
        <n v="525"/>
        <n v="526"/>
        <n v="527"/>
        <n v="528"/>
        <n v="530"/>
        <n v="532"/>
        <n v="533"/>
        <n v="534"/>
        <n v="535"/>
        <n v="536"/>
        <n v="537"/>
        <n v="538"/>
        <n v="540"/>
        <n v="541"/>
        <n v="542"/>
        <n v="543"/>
        <n v="544"/>
        <n v="545"/>
        <n v="546"/>
        <n v="547"/>
        <n v="548"/>
        <n v="549"/>
        <n v="550"/>
        <n v="551"/>
        <n v="552"/>
        <n v="553"/>
        <n v="554"/>
        <n v="555"/>
        <n v="556"/>
        <n v="557"/>
        <n v="558"/>
        <n v="559"/>
        <n v="560"/>
        <n v="561"/>
        <n v="562"/>
        <n v="563"/>
        <n v="565"/>
        <n v="566"/>
        <n v="567"/>
        <n v="568"/>
        <n v="570"/>
        <n v="571"/>
        <n v="572"/>
        <n v="573"/>
        <n v="574"/>
        <n v="575"/>
        <n v="576"/>
        <n v="577"/>
        <n v="578"/>
        <n v="579"/>
        <n v="580"/>
        <n v="581"/>
        <n v="582"/>
        <n v="583"/>
        <n v="584"/>
        <n v="585"/>
        <n v="586"/>
        <n v="587"/>
        <n v="588"/>
        <n v="589"/>
        <n v="590"/>
        <n v="591"/>
        <n v="592"/>
        <n v="593"/>
        <n v="594"/>
        <n v="595"/>
        <n v="596"/>
        <n v="597"/>
        <n v="598"/>
        <n v="599"/>
        <n v="600"/>
        <n v="601"/>
        <n v="602"/>
        <n v="603"/>
        <n v="604"/>
        <n v="605"/>
        <n v="606"/>
        <n v="607"/>
        <n v="608"/>
        <n v="610"/>
        <n v="611"/>
        <n v="612"/>
        <n v="613"/>
        <n v="614"/>
        <n v="615"/>
        <n v="616"/>
        <n v="617"/>
        <n v="618"/>
        <n v="619"/>
        <n v="620"/>
        <n v="621"/>
        <n v="622"/>
        <n v="623"/>
        <n v="624"/>
        <n v="625"/>
        <n v="626"/>
        <n v="627"/>
        <n v="628"/>
        <n v="630"/>
        <n v="631"/>
        <n v="633"/>
        <n v="634"/>
        <n v="635"/>
        <n v="636"/>
        <n v="637"/>
        <n v="638"/>
        <n v="639"/>
        <n v="640"/>
        <n v="641"/>
        <n v="642"/>
        <n v="643"/>
        <n v="644"/>
        <n v="645"/>
        <n v="646"/>
        <n v="647"/>
        <n v="648"/>
        <n v="649"/>
        <n v="651"/>
        <n v="652"/>
        <n v="653"/>
        <n v="654"/>
        <n v="655"/>
        <n v="656"/>
        <n v="657"/>
        <n v="658"/>
        <n v="659"/>
        <n v="660"/>
        <n v="661"/>
        <n v="662"/>
        <n v="663"/>
        <n v="664"/>
        <n v="665"/>
        <n v="666"/>
        <n v="668"/>
        <n v="669"/>
        <n v="670"/>
        <n v="671"/>
        <n v="672"/>
        <n v="673"/>
        <n v="674"/>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1"/>
        <n v="743"/>
        <n v="744"/>
        <n v="745"/>
        <n v="746"/>
        <n v="747"/>
        <n v="748"/>
        <n v="749"/>
        <n v="750"/>
        <n v="751"/>
        <n v="752"/>
        <n v="753"/>
        <n v="754"/>
        <n v="755"/>
        <n v="756"/>
        <n v="757"/>
        <n v="758"/>
        <n v="759"/>
        <n v="760"/>
        <n v="761"/>
        <n v="762"/>
        <n v="763"/>
        <n v="764"/>
        <n v="765"/>
        <n v="766"/>
        <n v="767"/>
        <n v="768"/>
        <n v="769"/>
        <n v="770"/>
        <n v="771"/>
        <n v="772"/>
        <n v="774"/>
        <n v="775"/>
        <n v="776"/>
        <n v="777"/>
        <n v="778"/>
        <n v="779"/>
        <n v="780"/>
        <n v="781"/>
        <n v="782"/>
        <n v="783"/>
        <n v="784"/>
        <n v="785"/>
        <n v="786"/>
        <n v="788"/>
        <n v="789"/>
        <n v="790"/>
        <n v="791"/>
        <n v="792"/>
        <n v="793"/>
        <n v="794"/>
        <n v="795"/>
        <n v="796"/>
        <n v="797"/>
        <n v="798"/>
        <n v="799"/>
        <n v="800"/>
        <n v="801"/>
        <n v="802"/>
        <n v="803"/>
        <n v="804"/>
        <n v="805"/>
        <n v="806"/>
        <n v="807"/>
        <n v="808"/>
        <n v="809"/>
        <n v="810"/>
        <n v="811"/>
        <n v="812"/>
        <n v="813"/>
        <n v="814"/>
        <n v="815"/>
        <n v="816"/>
        <n v="817"/>
        <n v="819"/>
        <n v="820"/>
        <n v="821"/>
        <n v="822"/>
        <n v="824"/>
        <n v="825"/>
        <n v="826"/>
        <n v="827"/>
        <n v="828"/>
        <n v="829"/>
        <n v="830"/>
        <n v="831"/>
        <n v="832"/>
        <n v="833"/>
        <n v="834"/>
        <n v="835"/>
        <n v="836"/>
        <n v="837"/>
        <n v="838"/>
        <n v="839"/>
        <n v="840"/>
        <n v="841"/>
        <n v="842"/>
        <n v="843"/>
        <n v="844"/>
        <n v="845"/>
        <n v="846"/>
        <n v="847"/>
        <n v="848"/>
        <n v="849"/>
        <n v="850"/>
        <n v="851"/>
        <n v="853"/>
        <n v="854"/>
        <n v="855"/>
        <n v="856"/>
        <n v="857"/>
        <n v="858"/>
        <n v="859"/>
        <n v="860"/>
        <n v="861"/>
        <n v="862"/>
        <n v="864"/>
        <n v="865"/>
        <n v="866"/>
        <n v="867"/>
        <n v="868"/>
        <n v="869"/>
        <n v="870"/>
        <n v="871"/>
        <n v="872"/>
        <n v="873"/>
        <n v="874"/>
        <n v="875"/>
        <n v="876"/>
        <n v="877"/>
        <n v="878"/>
        <n v="879"/>
        <n v="880"/>
        <n v="881"/>
        <n v="882"/>
        <n v="883"/>
        <n v="884"/>
        <n v="886"/>
        <n v="887"/>
        <n v="888"/>
        <n v="889"/>
        <n v="890"/>
        <n v="891"/>
        <n v="892"/>
        <n v="893"/>
        <n v="894"/>
        <n v="895"/>
        <n v="896"/>
        <n v="897"/>
        <n v="898"/>
        <n v="899"/>
        <n v="900"/>
        <n v="901"/>
        <n v="902"/>
        <n v="903"/>
        <n v="904"/>
        <n v="905"/>
        <n v="906"/>
        <n v="907"/>
        <n v="908"/>
        <n v="909"/>
        <n v="910"/>
        <n v="911"/>
        <n v="912"/>
        <n v="913"/>
        <n v="914"/>
        <n v="915"/>
        <n v="916"/>
        <n v="918"/>
        <n v="919"/>
        <n v="920"/>
        <n v="921"/>
        <n v="922"/>
        <n v="923"/>
        <n v="924"/>
        <n v="925"/>
        <n v="926"/>
        <n v="927"/>
        <n v="928"/>
        <n v="929"/>
        <n v="930"/>
        <n v="931"/>
        <n v="932"/>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6"/>
        <n v="997"/>
        <n v="998"/>
        <n v="999"/>
        <n v="1000"/>
      </sharedItems>
    </cacheField>
    <cacheField name="Applicant_Income" numFmtId="0">
      <sharedItems containsSemiMixedTypes="0" containsString="0" containsNumber="1" containsInteger="1" minValue="0" maxValue="19988"/>
    </cacheField>
    <cacheField name="Coapplicant_Income" numFmtId="0">
      <sharedItems containsSemiMixedTypes="0" containsString="0" containsNumber="1" containsInteger="1" minValue="0" maxValue="9996"/>
    </cacheField>
    <cacheField name="Total_Income" numFmtId="0">
      <sharedItems containsSemiMixedTypes="0" containsString="0" containsNumber="1" containsInteger="1" minValue="0" maxValue="29555"/>
    </cacheField>
    <cacheField name="Employment_Status" numFmtId="0">
      <sharedItems count="5">
        <s v="Salaried"/>
        <s v="Self-employed"/>
        <s v="Contract"/>
        <s v="Unemployed"/>
        <s v="other"/>
      </sharedItems>
    </cacheField>
    <cacheField name="Age" numFmtId="0">
      <sharedItems containsSemiMixedTypes="0" containsString="0" containsNumber="1" containsInteger="1" minValue="21" maxValue="59" count="39">
        <n v="51"/>
        <n v="46"/>
        <n v="25"/>
        <n v="40"/>
        <n v="31"/>
        <n v="53"/>
        <n v="58"/>
        <n v="47"/>
        <n v="54"/>
        <n v="35"/>
        <n v="52"/>
        <n v="41"/>
        <n v="26"/>
        <n v="42"/>
        <n v="38"/>
        <n v="34"/>
        <n v="30"/>
        <n v="33"/>
        <n v="50"/>
        <n v="23"/>
        <n v="49"/>
        <n v="28"/>
        <n v="37"/>
        <n v="48"/>
        <n v="36"/>
        <n v="24"/>
        <n v="55"/>
        <n v="57"/>
        <n v="45"/>
        <n v="39"/>
        <n v="43"/>
        <n v="22"/>
        <n v="56"/>
        <n v="21"/>
        <n v="59"/>
        <n v="44"/>
        <n v="29"/>
        <n v="27"/>
        <n v="32"/>
      </sharedItems>
    </cacheField>
    <cacheField name="Age_Group" numFmtId="0">
      <sharedItems count="5">
        <s v="44-54"/>
        <s v="25-35"/>
        <s v="35-44"/>
        <s v="55+"/>
        <s v="18-24"/>
      </sharedItems>
    </cacheField>
    <cacheField name="Marital_Status" numFmtId="0">
      <sharedItems count="2">
        <s v="Married"/>
        <s v="Single"/>
      </sharedItems>
    </cacheField>
    <cacheField name="Dependents" numFmtId="0">
      <sharedItems containsSemiMixedTypes="0" containsString="0" containsNumber="1" containsInteger="1" minValue="0" maxValue="3" count="4">
        <n v="0"/>
        <n v="3"/>
        <n v="2"/>
        <n v="1"/>
      </sharedItems>
    </cacheField>
    <cacheField name="Dependents Group" numFmtId="0">
      <sharedItems count="4">
        <s v="No Dependents"/>
        <s v="Third"/>
        <s v="Two"/>
        <s v="One"/>
      </sharedItems>
    </cacheField>
    <cacheField name="Credit_Score" numFmtId="0">
      <sharedItems containsSemiMixedTypes="0" containsString="0" containsNumber="1" containsInteger="1" minValue="550" maxValue="799"/>
    </cacheField>
    <cacheField name="Credit Categorical" numFmtId="0">
      <sharedItems count="4">
        <s v="fair"/>
        <s v="Good"/>
        <s v="Poor"/>
        <s v="Very Good"/>
      </sharedItems>
    </cacheField>
    <cacheField name="Existing_Loans" numFmtId="0">
      <sharedItems containsSemiMixedTypes="0" containsString="0" containsNumber="1" containsInteger="1" minValue="0" maxValue="4"/>
    </cacheField>
    <cacheField name="Has_Existing_Loan" numFmtId="0">
      <sharedItems count="2">
        <s v="Yes"/>
        <s v="No"/>
      </sharedItems>
    </cacheField>
    <cacheField name="DTI_Ratio" numFmtId="0">
      <sharedItems containsSemiMixedTypes="0" containsString="0" containsNumber="1" minValue="0.1" maxValue="0.6"/>
    </cacheField>
    <cacheField name="DTI RISK LEVEL" numFmtId="0">
      <sharedItems count="4">
        <s v="Very High Risk"/>
        <s v="Low Risk"/>
        <s v="medium Risk"/>
        <s v="High Risk"/>
      </sharedItems>
    </cacheField>
    <cacheField name="Savings" numFmtId="0">
      <sharedItems containsSemiMixedTypes="0" containsString="0" containsNumber="1" containsInteger="1" minValue="0" maxValue="19996" count="883">
        <n v="19403"/>
        <n v="2580"/>
        <n v="13844"/>
        <n v="9553"/>
        <n v="9386"/>
        <n v="19522"/>
        <n v="14635"/>
        <n v="671"/>
        <n v="777"/>
        <n v="3022"/>
        <n v="18244"/>
        <n v="0"/>
        <n v="13817"/>
        <n v="14260"/>
        <n v="1074"/>
        <n v="9908"/>
        <n v="9475"/>
        <n v="12878"/>
        <n v="15120"/>
        <n v="1986"/>
        <n v="10825"/>
        <n v="9193"/>
        <n v="17430"/>
        <n v="2176"/>
        <n v="10047"/>
        <n v="16884"/>
        <n v="18617"/>
        <n v="4608"/>
        <n v="11906"/>
        <n v="7234"/>
        <n v="10524"/>
        <n v="16984"/>
        <n v="13411"/>
        <n v="9180"/>
        <n v="15225"/>
        <n v="10073"/>
        <n v="4483"/>
        <n v="18138"/>
        <n v="18848"/>
        <n v="10415"/>
        <n v="4482"/>
        <n v="9686"/>
        <n v="7400"/>
        <n v="6806"/>
        <n v="10516"/>
        <n v="7396"/>
        <n v="7338"/>
        <n v="9950"/>
        <n v="12500"/>
        <n v="11545"/>
        <n v="5241"/>
        <n v="4695"/>
        <n v="11530"/>
        <n v="14312"/>
        <n v="18972"/>
        <n v="14318"/>
        <n v="18166"/>
        <n v="19904"/>
        <n v="11324"/>
        <n v="3218"/>
        <n v="4016"/>
        <n v="2837"/>
        <n v="16312"/>
        <n v="7034"/>
        <n v="14379"/>
        <n v="4239"/>
        <n v="12128"/>
        <n v="15856"/>
        <n v="9611"/>
        <n v="4150"/>
        <n v="11109"/>
        <n v="1446"/>
        <n v="11036"/>
        <n v="6468"/>
        <n v="15390"/>
        <n v="5080"/>
        <n v="15471"/>
        <n v="14893"/>
        <n v="17248"/>
        <n v="16009"/>
        <n v="6217"/>
        <n v="5672"/>
        <n v="1502"/>
        <n v="1410"/>
        <n v="3770"/>
        <n v="10097"/>
        <n v="4001"/>
        <n v="19867"/>
        <n v="598"/>
        <n v="19425"/>
        <n v="6391"/>
        <n v="16450"/>
        <n v="14908"/>
        <n v="11590"/>
        <n v="16279"/>
        <n v="2750"/>
        <n v="9916"/>
        <n v="6429"/>
        <n v="18015"/>
        <n v="6452"/>
        <n v="17158"/>
        <n v="15456"/>
        <n v="4019"/>
        <n v="12419"/>
        <n v="929"/>
        <n v="19396"/>
        <n v="6264"/>
        <n v="7973"/>
        <n v="9697"/>
        <n v="11136"/>
        <n v="1184"/>
        <n v="16911"/>
        <n v="916"/>
        <n v="3574"/>
        <n v="3319"/>
        <n v="17790"/>
        <n v="17625"/>
        <n v="5206"/>
        <n v="19517"/>
        <n v="17182"/>
        <n v="17907"/>
        <n v="4928"/>
        <n v="2888"/>
        <n v="2690"/>
        <n v="4091"/>
        <n v="13960"/>
        <n v="690"/>
        <n v="1495"/>
        <n v="11085"/>
        <n v="17276"/>
        <n v="10720"/>
        <n v="5873"/>
        <n v="4503"/>
        <n v="11720"/>
        <n v="13964"/>
        <n v="897"/>
        <n v="17094"/>
        <n v="3695"/>
        <n v="2686"/>
        <n v="5778"/>
        <n v="16799"/>
        <n v="9663"/>
        <n v="4180"/>
        <n v="4262"/>
        <n v="2515"/>
        <n v="11236"/>
        <n v="14104"/>
        <n v="6616"/>
        <n v="17376"/>
        <n v="4370"/>
        <n v="18157"/>
        <n v="19945"/>
        <n v="1756"/>
        <n v="2373"/>
        <n v="2576"/>
        <n v="4184"/>
        <n v="2397"/>
        <n v="12674"/>
        <n v="10326"/>
        <n v="10546"/>
        <n v="4535"/>
        <n v="14599"/>
        <n v="17118"/>
        <n v="632"/>
        <n v="13280"/>
        <n v="14746"/>
        <n v="4268"/>
        <n v="19285"/>
        <n v="18047"/>
        <n v="15321"/>
        <n v="10207"/>
        <n v="5591"/>
        <n v="16226"/>
        <n v="8572"/>
        <n v="19466"/>
        <n v="8007"/>
        <n v="15903"/>
        <n v="4261"/>
        <n v="2389"/>
        <n v="19937"/>
        <n v="13939"/>
        <n v="9399"/>
        <n v="2239"/>
        <n v="10559"/>
        <n v="2627"/>
        <n v="6618"/>
        <n v="12123"/>
        <n v="8015"/>
        <n v="3130"/>
        <n v="16480"/>
        <n v="14831"/>
        <n v="2708"/>
        <n v="5397"/>
        <n v="11528"/>
        <n v="16840"/>
        <n v="4368"/>
        <n v="11179"/>
        <n v="12076"/>
        <n v="18321"/>
        <n v="13948"/>
        <n v="17530"/>
        <n v="13824"/>
        <n v="4299"/>
        <n v="14120"/>
        <n v="8118"/>
        <n v="10756"/>
        <n v="7953"/>
        <n v="4784"/>
        <n v="15185"/>
        <n v="9024"/>
        <n v="14674"/>
        <n v="17845"/>
        <n v="11708"/>
        <n v="1159"/>
        <n v="386"/>
        <n v="7192"/>
        <n v="10745"/>
        <n v="9910"/>
        <n v="3409"/>
        <n v="17073"/>
        <n v="13180"/>
        <n v="17336"/>
        <n v="6142"/>
        <n v="5967"/>
        <n v="7205"/>
        <n v="16006"/>
        <n v="12109"/>
        <n v="13034"/>
        <n v="2484"/>
        <n v="1854"/>
        <n v="11631"/>
        <n v="19615"/>
        <n v="2597"/>
        <n v="7829"/>
        <n v="8186"/>
        <n v="3983"/>
        <n v="6684"/>
        <n v="10383"/>
        <n v="17040"/>
        <n v="12004"/>
        <n v="12103"/>
        <n v="6312"/>
        <n v="7938"/>
        <n v="9954"/>
        <n v="19669"/>
        <n v="9777"/>
        <n v="3563"/>
        <n v="8026"/>
        <n v="13923"/>
        <n v="19628"/>
        <n v="17424"/>
        <n v="18657"/>
        <n v="2114"/>
        <n v="1677"/>
        <n v="3094"/>
        <n v="2284"/>
        <n v="5052"/>
        <n v="17973"/>
        <n v="18904"/>
        <n v="12047"/>
        <n v="694"/>
        <n v="15588"/>
        <n v="13055"/>
        <n v="16080"/>
        <n v="6704"/>
        <n v="7368"/>
        <n v="1971"/>
        <n v="14593"/>
        <n v="8055"/>
        <n v="11441"/>
        <n v="14677"/>
        <n v="1868"/>
        <n v="18055"/>
        <n v="1728"/>
        <n v="7632"/>
        <n v="6403"/>
        <n v="15732"/>
        <n v="18526"/>
        <n v="9340"/>
        <n v="6184"/>
        <n v="253"/>
        <n v="4102"/>
        <n v="3542"/>
        <n v="19159"/>
        <n v="6212"/>
        <n v="4637"/>
        <n v="11525"/>
        <n v="11471"/>
        <n v="15247"/>
        <n v="10532"/>
        <n v="13518"/>
        <n v="6476"/>
        <n v="19532"/>
        <n v="19743"/>
        <n v="1004"/>
        <n v="10286"/>
        <n v="4717"/>
        <n v="3271"/>
        <n v="12714"/>
        <n v="209"/>
        <n v="5539"/>
        <n v="16537"/>
        <n v="19977"/>
        <n v="8606"/>
        <n v="11616"/>
        <n v="1284"/>
        <n v="3148"/>
        <n v="768"/>
        <n v="5607"/>
        <n v="19586"/>
        <n v="19171"/>
        <n v="18594"/>
        <n v="7399"/>
        <n v="358"/>
        <n v="849"/>
        <n v="7498"/>
        <n v="4522"/>
        <n v="18928"/>
        <n v="12773"/>
        <n v="18215"/>
        <n v="9628"/>
        <n v="329"/>
        <n v="5851"/>
        <n v="7032"/>
        <n v="15326"/>
        <n v="4354"/>
        <n v="15082"/>
        <n v="4722"/>
        <n v="17772"/>
        <n v="8911"/>
        <n v="3235"/>
        <n v="1100"/>
        <n v="8864"/>
        <n v="8708"/>
        <n v="18916"/>
        <n v="17165"/>
        <n v="14439"/>
        <n v="19907"/>
        <n v="11750"/>
        <n v="17885"/>
        <n v="11986"/>
        <n v="12510"/>
        <n v="19464"/>
        <n v="9268"/>
        <n v="502"/>
        <n v="9531"/>
        <n v="8009"/>
        <n v="17007"/>
        <n v="11542"/>
        <n v="13435"/>
        <n v="4114"/>
        <n v="13568"/>
        <n v="3367"/>
        <n v="8095"/>
        <n v="5141"/>
        <n v="3951"/>
        <n v="14887"/>
        <n v="1573"/>
        <n v="13359"/>
        <n v="19018"/>
        <n v="2768"/>
        <n v="5302"/>
        <n v="13746"/>
        <n v="1211"/>
        <n v="15445"/>
        <n v="15815"/>
        <n v="1160"/>
        <n v="7041"/>
        <n v="18767"/>
        <n v="10846"/>
        <n v="5876"/>
        <n v="19924"/>
        <n v="12889"/>
        <n v="13882"/>
        <n v="14738"/>
        <n v="1095"/>
        <n v="5901"/>
        <n v="8215"/>
        <n v="12911"/>
        <n v="14123"/>
        <n v="1079"/>
        <n v="19231"/>
        <n v="1473"/>
        <n v="4888"/>
        <n v="4979"/>
        <n v="1212"/>
        <n v="9001"/>
        <n v="13248"/>
        <n v="419"/>
        <n v="15608"/>
        <n v="3659"/>
        <n v="5283"/>
        <n v="10715"/>
        <n v="16165"/>
        <n v="1340"/>
        <n v="14805"/>
        <n v="10584"/>
        <n v="5137"/>
        <n v="17745"/>
        <n v="591"/>
        <n v="526"/>
        <n v="7855"/>
        <n v="10695"/>
        <n v="16571"/>
        <n v="19142"/>
        <n v="8625"/>
        <n v="6431"/>
        <n v="15926"/>
        <n v="11704"/>
        <n v="437"/>
        <n v="10780"/>
        <n v="17216"/>
        <n v="8988"/>
        <n v="5794"/>
        <n v="16301"/>
        <n v="684"/>
        <n v="4233"/>
        <n v="16961"/>
        <n v="12997"/>
        <n v="16611"/>
        <n v="2328"/>
        <n v="19115"/>
        <n v="9019"/>
        <n v="9255"/>
        <n v="5782"/>
        <n v="1234"/>
        <n v="5205"/>
        <n v="17152"/>
        <n v="9596"/>
        <n v="19488"/>
        <n v="19689"/>
        <n v="17922"/>
        <n v="17715"/>
        <n v="8261"/>
        <n v="13765"/>
        <n v="5944"/>
        <n v="7126"/>
        <n v="5263"/>
        <n v="15300"/>
        <n v="2892"/>
        <n v="1198"/>
        <n v="18756"/>
        <n v="18276"/>
        <n v="1883"/>
        <n v="797"/>
        <n v="8235"/>
        <n v="16538"/>
        <n v="15257"/>
        <n v="8050"/>
        <n v="5947"/>
        <n v="9617"/>
        <n v="1892"/>
        <n v="3424"/>
        <n v="13418"/>
        <n v="4833"/>
        <n v="9894"/>
        <n v="15942"/>
        <n v="9065"/>
        <n v="565"/>
        <n v="7412"/>
        <n v="18402"/>
        <n v="10077"/>
        <n v="10315"/>
        <n v="12834"/>
        <n v="2314"/>
        <n v="4412"/>
        <n v="11384"/>
        <n v="10051"/>
        <n v="8216"/>
        <n v="7902"/>
        <n v="13187"/>
        <n v="17573"/>
        <n v="12288"/>
        <n v="6884"/>
        <n v="18125"/>
        <n v="3688"/>
        <n v="14114"/>
        <n v="5369"/>
        <n v="4023"/>
        <n v="17100"/>
        <n v="3967"/>
        <n v="7423"/>
        <n v="6450"/>
        <n v="12213"/>
        <n v="3215"/>
        <n v="390"/>
        <n v="19421"/>
        <n v="232"/>
        <n v="19515"/>
        <n v="7634"/>
        <n v="11498"/>
        <n v="10916"/>
        <n v="233"/>
        <n v="1391"/>
        <n v="11084"/>
        <n v="9447"/>
        <n v="14184"/>
        <n v="11882"/>
        <n v="14838"/>
        <n v="17273"/>
        <n v="12879"/>
        <n v="17129"/>
        <n v="731"/>
        <n v="799"/>
        <n v="7025"/>
        <n v="7624"/>
        <n v="14961"/>
        <n v="8232"/>
        <n v="13262"/>
        <n v="5229"/>
        <n v="18799"/>
        <n v="13747"/>
        <n v="19333"/>
        <n v="3466"/>
        <n v="13785"/>
        <n v="3088"/>
        <n v="13015"/>
        <n v="1115"/>
        <n v="4578"/>
        <n v="2590"/>
        <n v="3573"/>
        <n v="10639"/>
        <n v="9422"/>
        <n v="10858"/>
        <n v="4975"/>
        <n v="4925"/>
        <n v="10786"/>
        <n v="19814"/>
        <n v="14716"/>
        <n v="1995"/>
        <n v="3891"/>
        <n v="15522"/>
        <n v="7145"/>
        <n v="8498"/>
        <n v="9554"/>
        <n v="2102"/>
        <n v="3030"/>
        <n v="8524"/>
        <n v="16626"/>
        <n v="18268"/>
        <n v="14935"/>
        <n v="9624"/>
        <n v="15823"/>
        <n v="7863"/>
        <n v="3109"/>
        <n v="18570"/>
        <n v="12482"/>
        <n v="1550"/>
        <n v="646"/>
        <n v="13407"/>
        <n v="12700"/>
        <n v="537"/>
        <n v="14166"/>
        <n v="6572"/>
        <n v="234"/>
        <n v="14067"/>
        <n v="9696"/>
        <n v="17758"/>
        <n v="1909"/>
        <n v="80"/>
        <n v="2083"/>
        <n v="13378"/>
        <n v="15217"/>
        <n v="18074"/>
        <n v="17140"/>
        <n v="2670"/>
        <n v="3751"/>
        <n v="11744"/>
        <n v="5261"/>
        <n v="14691"/>
        <n v="6852"/>
        <n v="1494"/>
        <n v="17285"/>
        <n v="672"/>
        <n v="8630"/>
        <n v="10268"/>
        <n v="9157"/>
        <n v="11982"/>
        <n v="8655"/>
        <n v="18582"/>
        <n v="11957"/>
        <n v="4008"/>
        <n v="11696"/>
        <n v="9104"/>
        <n v="496"/>
        <n v="1463"/>
        <n v="12459"/>
        <n v="16877"/>
        <n v="17810"/>
        <n v="9884"/>
        <n v="18177"/>
        <n v="17042"/>
        <n v="4761"/>
        <n v="7630"/>
        <n v="16375"/>
        <n v="8741"/>
        <n v="4350"/>
        <n v="207"/>
        <n v="2886"/>
        <n v="16861"/>
        <n v="8953"/>
        <n v="8381"/>
        <n v="13795"/>
        <n v="17139"/>
        <n v="9638"/>
        <n v="4931"/>
        <n v="9855"/>
        <n v="5724"/>
        <n v="12420"/>
        <n v="4060"/>
        <n v="4765"/>
        <n v="19996"/>
        <n v="6553"/>
        <n v="7378"/>
        <n v="18073"/>
        <n v="17700"/>
        <n v="7130"/>
        <n v="3186"/>
        <n v="5789"/>
        <n v="16122"/>
        <n v="17529"/>
        <n v="7942"/>
        <n v="16944"/>
        <n v="18296"/>
        <n v="18248"/>
        <n v="296"/>
        <n v="2409"/>
        <n v="1461"/>
        <n v="2268"/>
        <n v="17378"/>
        <n v="6554"/>
        <n v="16391"/>
        <n v="18899"/>
        <n v="17801"/>
        <n v="18700"/>
        <n v="7358"/>
        <n v="17671"/>
        <n v="17502"/>
        <n v="7637"/>
        <n v="660"/>
        <n v="8907"/>
        <n v="6922"/>
        <n v="11953"/>
        <n v="18913"/>
        <n v="3970"/>
        <n v="3407"/>
        <n v="14547"/>
        <n v="4760"/>
        <n v="18281"/>
        <n v="13465"/>
        <n v="4087"/>
        <n v="7607"/>
        <n v="815"/>
        <n v="12563"/>
        <n v="13292"/>
        <n v="16158"/>
        <n v="922"/>
        <n v="12929"/>
        <n v="2722"/>
        <n v="5355"/>
        <n v="13301"/>
        <n v="2550"/>
        <n v="11141"/>
        <n v="18057"/>
        <n v="11284"/>
        <n v="18050"/>
        <n v="1384"/>
        <n v="8252"/>
        <n v="7238"/>
        <n v="6026"/>
        <n v="10482"/>
        <n v="13801"/>
        <n v="16120"/>
        <n v="15580"/>
        <n v="8664"/>
        <n v="17342"/>
        <n v="493"/>
        <n v="16465"/>
        <n v="6999"/>
        <n v="13833"/>
        <n v="2970"/>
        <n v="15551"/>
        <n v="17145"/>
        <n v="3185"/>
        <n v="16409"/>
        <n v="1806"/>
        <n v="12894"/>
        <n v="5154"/>
        <n v="13767"/>
        <n v="15226"/>
        <n v="1525"/>
        <n v="760"/>
        <n v="16978"/>
        <n v="13880"/>
        <n v="1055"/>
        <n v="10046"/>
        <n v="3083"/>
        <n v="15678"/>
        <n v="12108"/>
        <n v="5957"/>
        <n v="5255"/>
        <n v="16344"/>
        <n v="9691"/>
        <n v="18214"/>
        <n v="3395"/>
        <n v="1203"/>
        <n v="19194"/>
        <n v="19476"/>
        <n v="3044"/>
        <n v="7272"/>
        <n v="3514"/>
        <n v="9990"/>
        <n v="6192"/>
        <n v="10767"/>
        <n v="16528"/>
        <n v="7507"/>
        <n v="4857"/>
        <n v="12118"/>
        <n v="17761"/>
        <n v="3146"/>
        <n v="4414"/>
        <n v="17494"/>
        <n v="3937"/>
        <n v="3963"/>
        <n v="5897"/>
        <n v="17500"/>
        <n v="16056"/>
        <n v="1750"/>
        <n v="4027"/>
        <n v="5745"/>
        <n v="9679"/>
        <n v="5938"/>
        <n v="12150"/>
        <n v="13406"/>
        <n v="17743"/>
        <n v="4853"/>
        <n v="18325"/>
        <n v="16243"/>
        <n v="7933"/>
        <n v="9436"/>
        <n v="17669"/>
        <n v="14679"/>
        <n v="11228"/>
        <n v="770"/>
        <n v="1843"/>
        <n v="73"/>
        <n v="18044"/>
        <n v="16059"/>
        <n v="8000"/>
        <n v="13273"/>
        <n v="16121"/>
        <n v="331"/>
        <n v="17805"/>
        <n v="7512"/>
        <n v="12742"/>
        <n v="13426"/>
        <n v="5113"/>
        <n v="8419"/>
        <n v="2881"/>
        <n v="13145"/>
        <n v="13556"/>
        <n v="19249"/>
        <n v="2575"/>
        <n v="8656"/>
        <n v="5741"/>
        <n v="16661"/>
        <n v="65"/>
        <n v="5704"/>
        <n v="15355"/>
        <n v="8594"/>
        <n v="12175"/>
        <n v="12696"/>
        <n v="6255"/>
        <n v="7441"/>
        <n v="14986"/>
        <n v="13350"/>
        <n v="14440"/>
        <n v="7960"/>
        <n v="17821"/>
        <n v="19762"/>
        <n v="13665"/>
        <n v="6629"/>
        <n v="13828"/>
        <n v="7876"/>
        <n v="13311"/>
        <n v="14588"/>
        <n v="16648"/>
        <n v="12380"/>
        <n v="9877"/>
        <n v="17818"/>
        <n v="5097"/>
        <n v="18738"/>
        <n v="6461"/>
        <n v="7044"/>
        <n v="5497"/>
        <n v="13751"/>
        <n v="9304"/>
        <n v="11058"/>
        <n v="11260"/>
        <n v="18563"/>
        <n v="634"/>
        <n v="10057"/>
        <n v="13345"/>
        <n v="10147"/>
        <n v="18602"/>
        <n v="1389"/>
        <n v="13071"/>
        <n v="11322"/>
        <n v="4276"/>
        <n v="1249"/>
        <n v="17629"/>
        <n v="11102"/>
        <n v="10588"/>
        <n v="6976"/>
        <n v="4675"/>
        <n v="4377"/>
        <n v="10599"/>
        <n v="7058"/>
        <n v="17206"/>
        <n v="11894"/>
        <n v="2939"/>
        <n v="1031"/>
        <n v="562"/>
        <n v="10730"/>
        <n v="16724"/>
        <n v="16152"/>
        <n v="13998"/>
        <n v="18680"/>
        <n v="16618"/>
        <n v="9308"/>
        <n v="9609"/>
        <n v="17675"/>
        <n v="8720"/>
        <n v="10172"/>
        <n v="14457"/>
        <n v="14345"/>
        <n v="5435"/>
        <n v="5392"/>
        <n v="7972"/>
        <n v="19184"/>
        <n v="14799"/>
        <n v="15052"/>
        <n v="6044"/>
        <n v="19871"/>
        <n v="14415"/>
        <n v="17274"/>
        <n v="13858"/>
        <n v="17572"/>
        <n v="5644"/>
        <n v="17124"/>
        <n v="17753"/>
        <n v="18384"/>
        <n v="17855"/>
        <n v="17920"/>
        <n v="16702"/>
        <n v="5153"/>
        <n v="1894"/>
        <n v="7991"/>
        <n v="15439"/>
        <n v="9467"/>
        <n v="5935"/>
        <n v="17107"/>
        <n v="2329"/>
        <n v="9327"/>
        <n v="2770"/>
        <n v="4846"/>
        <n v="16651"/>
        <n v="16276"/>
        <n v="14633"/>
        <n v="13628"/>
        <n v="569"/>
        <n v="1973"/>
        <n v="2822"/>
        <n v="270"/>
        <n v="16320"/>
        <n v="7641"/>
        <n v="8930"/>
        <n v="6680"/>
        <n v="1257"/>
        <n v="5370"/>
        <n v="8581"/>
        <n v="13491"/>
        <n v="12436"/>
      </sharedItems>
    </cacheField>
    <cacheField name="Collateral_Value" numFmtId="0">
      <sharedItems containsSemiMixedTypes="0" containsString="0" containsNumber="1" containsInteger="1" minValue="0" maxValue="49954"/>
    </cacheField>
    <cacheField name="Has Collateral" numFmtId="0">
      <sharedItems count="2">
        <s v="Yes"/>
        <s v="No"/>
      </sharedItems>
    </cacheField>
    <cacheField name="Loan_Amount" numFmtId="0">
      <sharedItems containsSemiMixedTypes="0" containsString="0" containsNumber="1" containsInteger="1" minValue="0" maxValue="39995" count="888">
        <n v="16619"/>
        <n v="38687"/>
        <n v="27943"/>
        <n v="27819"/>
        <n v="12741"/>
        <n v="9798"/>
        <n v="26143"/>
        <n v="33747"/>
        <n v="34651"/>
        <n v="22182"/>
        <n v="10415"/>
        <n v="12085"/>
        <n v="16008"/>
        <n v="23102"/>
        <n v="19452"/>
        <n v="9120"/>
        <n v="8820"/>
        <n v="19170"/>
        <n v="17259"/>
        <n v="23099"/>
        <n v="10649"/>
        <n v="31255"/>
        <n v="12805"/>
        <n v="9744"/>
        <n v="26857"/>
        <n v="11679"/>
        <n v="30829"/>
        <n v="11985"/>
        <n v="29287"/>
        <n v="13391"/>
        <n v="35364"/>
        <n v="17863"/>
        <n v="32499"/>
        <n v="28794"/>
        <n v="8919"/>
        <n v="21282"/>
        <n v="0"/>
        <n v="34706"/>
        <n v="9176"/>
        <n v="34529"/>
        <n v="13941"/>
        <n v="2669"/>
        <n v="21246"/>
        <n v="21323"/>
        <n v="34894"/>
        <n v="7021"/>
        <n v="37903"/>
        <n v="9711"/>
        <n v="8904"/>
        <n v="36051"/>
        <n v="21942"/>
        <n v="25251"/>
        <n v="26058"/>
        <n v="36245"/>
        <n v="4093"/>
        <n v="25918"/>
        <n v="8207"/>
        <n v="27974"/>
        <n v="29172"/>
        <n v="33283"/>
        <n v="39995"/>
        <n v="14280"/>
        <n v="37303"/>
        <n v="28453"/>
        <n v="3913"/>
        <n v="26765"/>
        <n v="3340"/>
        <n v="27179"/>
        <n v="28873"/>
        <n v="39057"/>
        <n v="1597"/>
        <n v="30119"/>
        <n v="16025"/>
        <n v="36670"/>
        <n v="8694"/>
        <n v="5830"/>
        <n v="24752"/>
        <n v="11489"/>
        <n v="33692"/>
        <n v="16768"/>
        <n v="3160"/>
        <n v="21133"/>
        <n v="36690"/>
        <n v="23870"/>
        <n v="25496"/>
        <n v="37572"/>
        <n v="3368"/>
        <n v="37700"/>
        <n v="30203"/>
        <n v="12552"/>
        <n v="6608"/>
        <n v="23485"/>
        <n v="10862"/>
        <n v="39299"/>
        <n v="11412"/>
        <n v="22354"/>
        <n v="7344"/>
        <n v="18993"/>
        <n v="29682"/>
        <n v="29415"/>
        <n v="20323"/>
        <n v="18997"/>
        <n v="30489"/>
        <n v="10488"/>
        <n v="4996"/>
        <n v="6695"/>
        <n v="31204"/>
        <n v="15235"/>
        <n v="3366"/>
        <n v="28467"/>
        <n v="7764"/>
        <n v="32923"/>
        <n v="17292"/>
        <n v="2614"/>
        <n v="21939"/>
        <n v="24246"/>
        <n v="32688"/>
        <n v="28962"/>
        <n v="30764"/>
        <n v="33470"/>
        <n v="39501"/>
        <n v="23072"/>
        <n v="38132"/>
        <n v="18861"/>
        <n v="5960"/>
        <n v="19781"/>
        <n v="32126"/>
        <n v="23578"/>
        <n v="18883"/>
        <n v="30782"/>
        <n v="17979"/>
        <n v="34746"/>
        <n v="1730"/>
        <n v="1056"/>
        <n v="32457"/>
        <n v="2701"/>
        <n v="16100"/>
        <n v="1947"/>
        <n v="21505"/>
        <n v="7553"/>
        <n v="34525"/>
        <n v="15866"/>
        <n v="31472"/>
        <n v="6651"/>
        <n v="8273"/>
        <n v="11033"/>
        <n v="4535"/>
        <n v="19677"/>
        <n v="18488"/>
        <n v="1908"/>
        <n v="5617"/>
        <n v="24453"/>
        <n v="36079"/>
        <n v="17020"/>
        <n v="27562"/>
        <n v="25373"/>
        <n v="31164"/>
        <n v="2885"/>
        <n v="2049"/>
        <n v="2161"/>
        <n v="1815"/>
        <n v="37534"/>
        <n v="28498"/>
        <n v="26037"/>
        <n v="37007"/>
        <n v="14942"/>
        <n v="28278"/>
        <n v="9272"/>
        <n v="34637"/>
        <n v="39294"/>
        <n v="8741"/>
        <n v="5694"/>
        <n v="31306"/>
        <n v="2934"/>
        <n v="22556"/>
        <n v="30158"/>
        <n v="21293"/>
        <n v="34932"/>
        <n v="4066"/>
        <n v="22256"/>
        <n v="36105"/>
        <n v="3460"/>
        <n v="7820"/>
        <n v="17191"/>
        <n v="20095"/>
        <n v="11529"/>
        <n v="33175"/>
        <n v="18675"/>
        <n v="6374"/>
        <n v="26976"/>
        <n v="14142"/>
        <n v="13204"/>
        <n v="8394"/>
        <n v="34593"/>
        <n v="12652"/>
        <n v="34740"/>
        <n v="1443"/>
        <n v="24903"/>
        <n v="34522"/>
        <n v="29180"/>
        <n v="22119"/>
        <n v="11363"/>
        <n v="39164"/>
        <n v="32541"/>
        <n v="4465"/>
        <n v="3711"/>
        <n v="26198"/>
        <n v="23488"/>
        <n v="39515"/>
        <n v="24608"/>
        <n v="28898"/>
        <n v="2919"/>
        <n v="32171"/>
        <n v="21599"/>
        <n v="17965"/>
        <n v="15434"/>
        <n v="37649"/>
        <n v="2999"/>
        <n v="15849"/>
        <n v="11903"/>
        <n v="6445"/>
        <n v="36396"/>
        <n v="19040"/>
        <n v="1246"/>
        <n v="32153"/>
        <n v="6212"/>
        <n v="4339"/>
        <n v="24142"/>
        <n v="20394"/>
        <n v="36136"/>
        <n v="13186"/>
        <n v="39973"/>
        <n v="5395"/>
        <n v="16290"/>
        <n v="23151"/>
        <n v="4691"/>
        <n v="8470"/>
        <n v="4841"/>
        <n v="38116"/>
        <n v="18776"/>
        <n v="7060"/>
        <n v="28584"/>
        <n v="5300"/>
        <n v="4338"/>
        <n v="6487"/>
        <n v="30529"/>
        <n v="31262"/>
        <n v="12280"/>
        <n v="12158"/>
        <n v="9621"/>
        <n v="11547"/>
        <n v="24177"/>
        <n v="3459"/>
        <n v="39041"/>
        <n v="39191"/>
        <n v="18434"/>
        <n v="39247"/>
        <n v="16419"/>
        <n v="36017"/>
        <n v="36577"/>
        <n v="3921"/>
        <n v="5676"/>
        <n v="21425"/>
        <n v="36185"/>
        <n v="26474"/>
        <n v="2469"/>
        <n v="8292"/>
        <n v="26409"/>
        <n v="24526"/>
        <n v="24465"/>
        <n v="31955"/>
        <n v="27785"/>
        <n v="22033"/>
        <n v="7931"/>
        <n v="2091"/>
        <n v="17363"/>
        <n v="29490"/>
        <n v="11456"/>
        <n v="23320"/>
        <n v="14435"/>
        <n v="28025"/>
        <n v="29109"/>
        <n v="21754"/>
        <n v="5301"/>
        <n v="28920"/>
        <n v="23203"/>
        <n v="22545"/>
        <n v="25016"/>
        <n v="32098"/>
        <n v="9556"/>
        <n v="21102"/>
        <n v="39893"/>
        <n v="2924"/>
        <n v="20479"/>
        <n v="19922"/>
        <n v="19660"/>
        <n v="10945"/>
        <n v="1306"/>
        <n v="23959"/>
        <n v="5231"/>
        <n v="39796"/>
        <n v="13207"/>
        <n v="7336"/>
        <n v="10630"/>
        <n v="18256"/>
        <n v="34909"/>
        <n v="34719"/>
        <n v="31013"/>
        <n v="15455"/>
        <n v="5722"/>
        <n v="13812"/>
        <n v="31276"/>
        <n v="37776"/>
        <n v="11060"/>
        <n v="14056"/>
        <n v="7655"/>
        <n v="23574"/>
        <n v="14027"/>
        <n v="5030"/>
        <n v="25243"/>
        <n v="34289"/>
        <n v="20739"/>
        <n v="35168"/>
        <n v="37491"/>
        <n v="19242"/>
        <n v="5781"/>
        <n v="21448"/>
        <n v="12043"/>
        <n v="20853"/>
        <n v="21079"/>
        <n v="18101"/>
        <n v="29016"/>
        <n v="19932"/>
        <n v="8549"/>
        <n v="14397"/>
        <n v="26362"/>
        <n v="24016"/>
        <n v="15732"/>
        <n v="27911"/>
        <n v="18866"/>
        <n v="28621"/>
        <n v="13823"/>
        <n v="30986"/>
        <n v="15690"/>
        <n v="22303"/>
        <n v="37533"/>
        <n v="36595"/>
        <n v="3058"/>
        <n v="12519"/>
        <n v="32115"/>
        <n v="2832"/>
        <n v="23889"/>
        <n v="5179"/>
        <n v="7299"/>
        <n v="8830"/>
        <n v="38570"/>
        <n v="23441"/>
        <n v="7615"/>
        <n v="7762"/>
        <n v="39311"/>
        <n v="25709"/>
        <n v="24434"/>
        <n v="22343"/>
        <n v="16739"/>
        <n v="1666"/>
        <n v="34044"/>
        <n v="28883"/>
        <n v="15063"/>
        <n v="34649"/>
        <n v="35828"/>
        <n v="10429"/>
        <n v="33926"/>
        <n v="38997"/>
        <n v="33269"/>
        <n v="32704"/>
        <n v="25187"/>
        <n v="3526"/>
        <n v="25686"/>
        <n v="33668"/>
        <n v="7574"/>
        <n v="9733"/>
        <n v="8257"/>
        <n v="37051"/>
        <n v="16909"/>
        <n v="25146"/>
        <n v="12802"/>
        <n v="8896"/>
        <n v="29133"/>
        <n v="14526"/>
        <n v="12278"/>
        <n v="26551"/>
        <n v="26298"/>
        <n v="36338"/>
        <n v="34092"/>
        <n v="24871"/>
        <n v="10721"/>
        <n v="39413"/>
        <n v="31279"/>
        <n v="15404"/>
        <n v="5486"/>
        <n v="36198"/>
        <n v="29687"/>
        <n v="14156"/>
        <n v="1567"/>
        <n v="3179"/>
        <n v="3019"/>
        <n v="16919"/>
        <n v="20703"/>
        <n v="19704"/>
        <n v="19030"/>
        <n v="4909"/>
        <n v="9015"/>
        <n v="4420"/>
        <n v="17740"/>
        <n v="20465"/>
        <n v="5131"/>
        <n v="11652"/>
        <n v="22507"/>
        <n v="24806"/>
        <n v="20171"/>
        <n v="21593"/>
        <n v="10470"/>
        <n v="22326"/>
        <n v="38304"/>
        <n v="31788"/>
        <n v="34071"/>
        <n v="6067"/>
        <n v="8715"/>
        <n v="12226"/>
        <n v="36399"/>
        <n v="14412"/>
        <n v="13569"/>
        <n v="3369"/>
        <n v="33021"/>
        <n v="1528"/>
        <n v="31314"/>
        <n v="38443"/>
        <n v="19047"/>
        <n v="20748"/>
        <n v="36109"/>
        <n v="14919"/>
        <n v="16256"/>
        <n v="5905"/>
        <n v="9884"/>
        <n v="29906"/>
        <n v="6950"/>
        <n v="2360"/>
        <n v="22946"/>
        <n v="9730"/>
        <n v="23161"/>
        <n v="28738"/>
        <n v="4925"/>
        <n v="9463"/>
        <n v="18412"/>
        <n v="23402"/>
        <n v="35010"/>
        <n v="26717"/>
        <n v="21594"/>
        <n v="7406"/>
        <n v="14965"/>
        <n v="14733"/>
        <n v="27926"/>
        <n v="29783"/>
        <n v="18824"/>
        <n v="37394"/>
        <n v="17568"/>
        <n v="31436"/>
        <n v="22380"/>
        <n v="9031"/>
        <n v="22947"/>
        <n v="4188"/>
        <n v="26669"/>
        <n v="36713"/>
        <n v="24171"/>
        <n v="11204"/>
        <n v="38367"/>
        <n v="23658"/>
        <n v="38081"/>
        <n v="35986"/>
        <n v="14786"/>
        <n v="30283"/>
        <n v="9559"/>
        <n v="27058"/>
        <n v="23745"/>
        <n v="1615"/>
        <n v="9062"/>
        <n v="29214"/>
        <n v="39745"/>
        <n v="11681"/>
        <n v="7984"/>
        <n v="28579"/>
        <n v="26274"/>
        <n v="38739"/>
        <n v="28399"/>
        <n v="32481"/>
        <n v="1944"/>
        <n v="29457"/>
        <n v="10114"/>
        <n v="19130"/>
        <n v="13312"/>
        <n v="33596"/>
        <n v="39551"/>
        <n v="10751"/>
        <n v="7907"/>
        <n v="29114"/>
        <n v="20310"/>
        <n v="19996"/>
        <n v="7047"/>
        <n v="17347"/>
        <n v="37527"/>
        <n v="25102"/>
        <n v="5263"/>
        <n v="2902"/>
        <n v="31823"/>
        <n v="31540"/>
        <n v="36335"/>
        <n v="11190"/>
        <n v="28690"/>
        <n v="3994"/>
        <n v="3010"/>
        <n v="8377"/>
        <n v="14036"/>
        <n v="27467"/>
        <n v="1048"/>
        <n v="17038"/>
        <n v="33576"/>
        <n v="8878"/>
        <n v="28609"/>
        <n v="25070"/>
        <n v="22996"/>
        <n v="19161"/>
        <n v="3228"/>
        <n v="27365"/>
        <n v="26188"/>
        <n v="9888"/>
        <n v="24130"/>
        <n v="19790"/>
        <n v="25824"/>
        <n v="34405"/>
        <n v="25474"/>
        <n v="18333"/>
        <n v="37355"/>
        <n v="34879"/>
        <n v="9367"/>
        <n v="1722"/>
        <n v="38634"/>
        <n v="11139"/>
        <n v="3128"/>
        <n v="21617"/>
        <n v="29080"/>
        <n v="36285"/>
        <n v="18533"/>
        <n v="33624"/>
        <n v="28956"/>
        <n v="34077"/>
        <n v="4952"/>
        <n v="23796"/>
        <n v="32746"/>
        <n v="22249"/>
        <n v="1015"/>
        <n v="26957"/>
        <n v="17005"/>
        <n v="22292"/>
        <n v="32876"/>
        <n v="26470"/>
        <n v="10759"/>
        <n v="21504"/>
        <n v="9507"/>
        <n v="22050"/>
        <n v="5820"/>
        <n v="8835"/>
        <n v="35617"/>
        <n v="7840"/>
        <n v="38834"/>
        <n v="32440"/>
        <n v="36183"/>
        <n v="31636"/>
        <n v="3389"/>
        <n v="1763"/>
        <n v="24925"/>
        <n v="24457"/>
        <n v="22423"/>
        <n v="11518"/>
        <n v="33360"/>
        <n v="29173"/>
        <n v="10395"/>
        <n v="20207"/>
        <n v="39055"/>
        <n v="27639"/>
        <n v="29924"/>
        <n v="8433"/>
        <n v="31104"/>
        <n v="38594"/>
        <n v="11528"/>
        <n v="29190"/>
        <n v="8641"/>
        <n v="5643"/>
        <n v="6056"/>
        <n v="33899"/>
        <n v="18241"/>
        <n v="9712"/>
        <n v="16660"/>
        <n v="39915"/>
        <n v="38372"/>
        <n v="18942"/>
        <n v="2607"/>
        <n v="4574"/>
        <n v="8274"/>
        <n v="16748"/>
        <n v="21175"/>
        <n v="12826"/>
        <n v="35129"/>
        <n v="5473"/>
        <n v="24490"/>
        <n v="10481"/>
        <n v="9520"/>
        <n v="18570"/>
        <n v="20798"/>
        <n v="4536"/>
        <n v="2773"/>
        <n v="30894"/>
        <n v="36326"/>
        <n v="6079"/>
        <n v="26838"/>
        <n v="22804"/>
        <n v="20675"/>
        <n v="26594"/>
        <n v="37292"/>
        <n v="9998"/>
        <n v="14697"/>
        <n v="14429"/>
        <n v="8140"/>
        <n v="15901"/>
        <n v="24279"/>
        <n v="29525"/>
        <n v="21491"/>
        <n v="4280"/>
        <n v="35980"/>
        <n v="30989"/>
        <n v="9078"/>
        <n v="27118"/>
        <n v="24985"/>
        <n v="17997"/>
        <n v="15274"/>
        <n v="1868"/>
        <n v="27398"/>
        <n v="17042"/>
        <n v="32820"/>
        <n v="22246"/>
        <n v="21561"/>
        <n v="35512"/>
        <n v="36024"/>
        <n v="24996"/>
        <n v="29618"/>
        <n v="12859"/>
        <n v="24580"/>
        <n v="38857"/>
        <n v="5876"/>
        <n v="29006"/>
        <n v="36775"/>
        <n v="31810"/>
        <n v="15325"/>
        <n v="36892"/>
        <n v="2753"/>
        <n v="30531"/>
        <n v="18996"/>
        <n v="4275"/>
        <n v="9747"/>
        <n v="1824"/>
        <n v="14880"/>
        <n v="2081"/>
        <n v="12517"/>
        <n v="22683"/>
        <n v="17876"/>
        <n v="38532"/>
        <n v="9266"/>
        <n v="12183"/>
        <n v="22066"/>
        <n v="13877"/>
        <n v="10982"/>
        <n v="9968"/>
        <n v="27598"/>
        <n v="15639"/>
        <n v="5674"/>
        <n v="5316"/>
        <n v="32094"/>
        <n v="23187"/>
        <n v="24940"/>
        <n v="26685"/>
        <n v="16977"/>
        <n v="36904"/>
        <n v="26538"/>
        <n v="39033"/>
        <n v="8965"/>
        <n v="10597"/>
        <n v="28740"/>
        <n v="7569"/>
        <n v="38981"/>
        <n v="12881"/>
        <n v="37996"/>
        <n v="38177"/>
        <n v="1590"/>
        <n v="27119"/>
        <n v="28915"/>
        <n v="3708"/>
        <n v="39749"/>
        <n v="23106"/>
        <n v="18131"/>
        <n v="18881"/>
        <n v="2379"/>
        <n v="26255"/>
        <n v="4770"/>
        <n v="20726"/>
        <n v="10088"/>
        <n v="35314"/>
        <n v="39976"/>
        <n v="17350"/>
        <n v="35063"/>
        <n v="16861"/>
        <n v="14973"/>
        <n v="18769"/>
        <n v="18326"/>
        <n v="37048"/>
        <n v="3786"/>
        <n v="36001"/>
        <n v="2620"/>
        <n v="20589"/>
        <n v="3882"/>
        <n v="10745"/>
        <n v="37665"/>
        <n v="27171"/>
        <n v="3837"/>
        <n v="9599"/>
        <n v="16911"/>
        <n v="21553"/>
        <n v="24813"/>
        <n v="39255"/>
        <n v="30520"/>
        <n v="1236"/>
        <n v="28350"/>
        <n v="12549"/>
        <n v="36191"/>
        <n v="13906"/>
        <n v="15988"/>
        <n v="28723"/>
        <n v="34800"/>
        <n v="28430"/>
        <n v="33535"/>
        <n v="3940"/>
        <n v="22793"/>
        <n v="13262"/>
        <n v="7961"/>
        <n v="27499"/>
        <n v="32283"/>
        <n v="7822"/>
        <n v="20830"/>
        <n v="6738"/>
        <n v="4098"/>
        <n v="30888"/>
        <n v="9097"/>
        <n v="14136"/>
        <n v="39244"/>
        <n v="9253"/>
        <n v="26208"/>
        <n v="5887"/>
        <n v="36421"/>
        <n v="2454"/>
        <n v="18522"/>
        <n v="39575"/>
        <n v="4192"/>
        <n v="16775"/>
        <n v="11402"/>
        <n v="14074"/>
        <n v="16245"/>
        <n v="26936"/>
        <n v="28002"/>
        <n v="16683"/>
        <n v="13460"/>
        <n v="31482"/>
        <n v="17447"/>
        <n v="18729"/>
        <n v="21545"/>
        <n v="29204"/>
        <n v="10814"/>
        <n v="14890"/>
        <n v="31121"/>
        <n v="12218"/>
        <n v="23705"/>
        <n v="35722"/>
        <n v="31921"/>
        <n v="34729"/>
        <n v="24211"/>
        <n v="31614"/>
        <n v="18601"/>
        <n v="28796"/>
        <n v="7007"/>
        <n v="21514"/>
        <n v="3076"/>
        <n v="26350"/>
        <n v="39964"/>
        <n v="32510"/>
        <n v="29000"/>
        <n v="31383"/>
        <n v="25855"/>
        <n v="25281"/>
        <n v="5841"/>
        <n v="32668"/>
        <n v="27918"/>
        <n v="18443"/>
        <n v="33250"/>
        <n v="2922"/>
        <n v="12991"/>
        <n v="39869"/>
        <n v="23733"/>
        <n v="3473"/>
        <n v="9108"/>
        <n v="29715"/>
        <n v="33210"/>
        <n v="38317"/>
        <n v="34362"/>
        <n v="5889"/>
        <n v="25021"/>
        <n v="9212"/>
        <n v="32971"/>
        <n v="4201"/>
        <n v="25346"/>
        <n v="14715"/>
        <n v="6681"/>
        <n v="37446"/>
        <n v="17720"/>
        <n v="2667"/>
        <n v="29152"/>
        <n v="9204"/>
        <n v="38890"/>
        <n v="25537"/>
        <n v="34741"/>
        <n v="21654"/>
        <n v="2408"/>
        <n v="19672"/>
        <n v="2218"/>
        <n v="37145"/>
        <n v="5098"/>
        <n v="8619"/>
        <n v="12939"/>
        <n v="19226"/>
        <n v="26322"/>
        <n v="17878"/>
        <n v="7560"/>
        <n v="39278"/>
        <n v="37212"/>
        <n v="30299"/>
        <n v="8543"/>
        <n v="24946"/>
        <n v="32740"/>
        <n v="8253"/>
        <n v="33813"/>
        <n v="28632"/>
        <n v="3057"/>
        <n v="34431"/>
        <n v="38436"/>
        <n v="19413"/>
        <n v="31225"/>
        <n v="39485"/>
        <n v="3696"/>
        <n v="17101"/>
        <n v="9831"/>
        <n v="20047"/>
        <n v="6004"/>
        <n v="22509"/>
        <n v="38170"/>
        <n v="15662"/>
        <n v="39680"/>
        <n v="1394"/>
        <n v="37365"/>
        <n v="11524"/>
        <n v="34097"/>
        <n v="27673"/>
        <n v="18156"/>
        <n v="2645"/>
        <n v="30049"/>
        <n v="10815"/>
        <n v="2848"/>
        <n v="35329"/>
        <n v="8311"/>
        <n v="22563"/>
        <n v="16203"/>
        <n v="10290"/>
        <n v="35818"/>
      </sharedItems>
    </cacheField>
    <cacheField name="Loan Size" numFmtId="0">
      <sharedItems count="4">
        <s v="Medium"/>
        <s v="Very Large"/>
        <s v="Large"/>
        <s v="Small"/>
      </sharedItems>
    </cacheField>
    <cacheField name="Loan_Term" numFmtId="0">
      <sharedItems containsSemiMixedTypes="0" containsString="0" containsNumber="1" containsInteger="1" minValue="12" maxValue="84"/>
    </cacheField>
    <cacheField name="Loan_Term_Year" numFmtId="0">
      <sharedItems containsSemiMixedTypes="0" containsString="0" containsNumber="1" containsInteger="1" minValue="1" maxValue="7" count="7">
        <n v="7"/>
        <n v="4"/>
        <n v="6"/>
        <n v="5"/>
        <n v="3"/>
        <n v="2"/>
        <n v="1"/>
      </sharedItems>
    </cacheField>
    <cacheField name="Loan_Purpose" numFmtId="0">
      <sharedItems count="5">
        <s v="Personal"/>
        <s v="Car"/>
        <s v="Business"/>
        <s v="Home"/>
        <s v="Education"/>
      </sharedItems>
    </cacheField>
    <cacheField name="Property_Area" numFmtId="0">
      <sharedItems count="3">
        <s v="Urban"/>
        <s v="Semiurban"/>
        <s v="Rural"/>
      </sharedItems>
    </cacheField>
    <cacheField name="Education_Level" numFmtId="0">
      <sharedItems count="2">
        <s v="Not Graduate"/>
        <s v="Graduate"/>
      </sharedItems>
    </cacheField>
    <cacheField name="Gender" numFmtId="0">
      <sharedItems count="2">
        <s v="Female"/>
        <s v="Male"/>
      </sharedItems>
    </cacheField>
    <cacheField name="Employer_Category" numFmtId="0">
      <sharedItems count="5">
        <s v="Private"/>
        <s v="Government"/>
        <s v="Unemployed"/>
        <s v="MNC"/>
        <s v="Business"/>
      </sharedItems>
    </cacheField>
    <cacheField name="Loan_Approved" numFmtId="0">
      <sharedItems count="2">
        <s v="No"/>
        <s v="Yes"/>
      </sharedItems>
    </cacheField>
  </cacheFields>
  <extLst>
    <ext xmlns:x14="http://schemas.microsoft.com/office/spreadsheetml/2009/9/main" uri="{725AE2AE-9491-48be-B2B4-4EB974FC3084}">
      <x14:pivotCacheDefinition pivotCacheId="670067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0">
  <r>
    <x v="0"/>
    <n v="17795"/>
    <n v="1387"/>
    <n v="19182"/>
    <x v="0"/>
    <x v="0"/>
    <x v="0"/>
    <x v="0"/>
    <x v="0"/>
    <x v="0"/>
    <n v="637"/>
    <x v="0"/>
    <n v="4"/>
    <x v="0"/>
    <n v="0.53"/>
    <x v="0"/>
    <x v="0"/>
    <n v="45638"/>
    <x v="0"/>
    <x v="0"/>
    <x v="0"/>
    <n v="84"/>
    <x v="0"/>
    <x v="0"/>
    <x v="0"/>
    <x v="0"/>
    <x v="0"/>
    <x v="0"/>
    <x v="0"/>
  </r>
  <r>
    <x v="1"/>
    <n v="2860"/>
    <n v="2679"/>
    <n v="5539"/>
    <x v="0"/>
    <x v="1"/>
    <x v="0"/>
    <x v="0"/>
    <x v="1"/>
    <x v="1"/>
    <n v="621"/>
    <x v="0"/>
    <n v="2"/>
    <x v="0"/>
    <n v="0.3"/>
    <x v="1"/>
    <x v="1"/>
    <n v="49272"/>
    <x v="0"/>
    <x v="1"/>
    <x v="1"/>
    <n v="48"/>
    <x v="1"/>
    <x v="1"/>
    <x v="1"/>
    <x v="1"/>
    <x v="1"/>
    <x v="0"/>
    <x v="0"/>
  </r>
  <r>
    <x v="2"/>
    <n v="7390"/>
    <n v="2106"/>
    <n v="9496"/>
    <x v="0"/>
    <x v="2"/>
    <x v="1"/>
    <x v="1"/>
    <x v="2"/>
    <x v="2"/>
    <n v="674"/>
    <x v="1"/>
    <n v="4"/>
    <x v="0"/>
    <n v="0.2"/>
    <x v="1"/>
    <x v="2"/>
    <n v="6908"/>
    <x v="0"/>
    <x v="2"/>
    <x v="2"/>
    <n v="72"/>
    <x v="2"/>
    <x v="2"/>
    <x v="0"/>
    <x v="1"/>
    <x v="0"/>
    <x v="1"/>
    <x v="1"/>
  </r>
  <r>
    <x v="3"/>
    <n v="13964"/>
    <n v="8173"/>
    <n v="22137"/>
    <x v="0"/>
    <x v="3"/>
    <x v="2"/>
    <x v="0"/>
    <x v="2"/>
    <x v="2"/>
    <n v="579"/>
    <x v="2"/>
    <n v="3"/>
    <x v="0"/>
    <n v="0.31"/>
    <x v="2"/>
    <x v="3"/>
    <n v="10844"/>
    <x v="0"/>
    <x v="3"/>
    <x v="2"/>
    <n v="60"/>
    <x v="3"/>
    <x v="2"/>
    <x v="2"/>
    <x v="1"/>
    <x v="0"/>
    <x v="1"/>
    <x v="0"/>
  </r>
  <r>
    <x v="4"/>
    <n v="13284"/>
    <n v="4223"/>
    <n v="17507"/>
    <x v="1"/>
    <x v="4"/>
    <x v="1"/>
    <x v="1"/>
    <x v="2"/>
    <x v="2"/>
    <n v="721"/>
    <x v="1"/>
    <n v="1"/>
    <x v="0"/>
    <n v="0.28999999999999998"/>
    <x v="1"/>
    <x v="4"/>
    <n v="37629"/>
    <x v="0"/>
    <x v="4"/>
    <x v="0"/>
    <n v="72"/>
    <x v="2"/>
    <x v="1"/>
    <x v="0"/>
    <x v="1"/>
    <x v="1"/>
    <x v="0"/>
    <x v="1"/>
  </r>
  <r>
    <x v="5"/>
    <n v="8265"/>
    <n v="4831"/>
    <n v="13096"/>
    <x v="0"/>
    <x v="5"/>
    <x v="0"/>
    <x v="1"/>
    <x v="3"/>
    <x v="3"/>
    <n v="602"/>
    <x v="0"/>
    <n v="1"/>
    <x v="0"/>
    <n v="0.56000000000000005"/>
    <x v="0"/>
    <x v="5"/>
    <n v="2911"/>
    <x v="0"/>
    <x v="5"/>
    <x v="0"/>
    <n v="36"/>
    <x v="4"/>
    <x v="3"/>
    <x v="1"/>
    <x v="1"/>
    <x v="1"/>
    <x v="2"/>
    <x v="0"/>
  </r>
  <r>
    <x v="6"/>
    <n v="18850"/>
    <n v="2768"/>
    <n v="21618"/>
    <x v="0"/>
    <x v="6"/>
    <x v="3"/>
    <x v="0"/>
    <x v="0"/>
    <x v="0"/>
    <n v="687"/>
    <x v="1"/>
    <n v="0"/>
    <x v="1"/>
    <n v="0.48"/>
    <x v="3"/>
    <x v="6"/>
    <n v="8991"/>
    <x v="0"/>
    <x v="6"/>
    <x v="2"/>
    <n v="24"/>
    <x v="5"/>
    <x v="3"/>
    <x v="2"/>
    <x v="1"/>
    <x v="1"/>
    <x v="0"/>
    <x v="0"/>
  </r>
  <r>
    <x v="7"/>
    <n v="6426"/>
    <n v="3186"/>
    <n v="9612"/>
    <x v="0"/>
    <x v="7"/>
    <x v="0"/>
    <x v="0"/>
    <x v="2"/>
    <x v="2"/>
    <n v="636"/>
    <x v="0"/>
    <n v="4"/>
    <x v="0"/>
    <n v="0.35"/>
    <x v="2"/>
    <x v="7"/>
    <n v="11572"/>
    <x v="0"/>
    <x v="7"/>
    <x v="2"/>
    <n v="84"/>
    <x v="0"/>
    <x v="0"/>
    <x v="2"/>
    <x v="1"/>
    <x v="0"/>
    <x v="0"/>
    <x v="0"/>
  </r>
  <r>
    <x v="8"/>
    <n v="16423"/>
    <n v="0"/>
    <n v="16423"/>
    <x v="0"/>
    <x v="8"/>
    <x v="0"/>
    <x v="0"/>
    <x v="3"/>
    <x v="3"/>
    <n v="729"/>
    <x v="1"/>
    <n v="0"/>
    <x v="1"/>
    <n v="0.59"/>
    <x v="0"/>
    <x v="8"/>
    <n v="43066"/>
    <x v="0"/>
    <x v="8"/>
    <x v="2"/>
    <n v="36"/>
    <x v="4"/>
    <x v="3"/>
    <x v="1"/>
    <x v="1"/>
    <x v="1"/>
    <x v="0"/>
    <x v="0"/>
  </r>
  <r>
    <x v="9"/>
    <n v="13363"/>
    <n v="2599"/>
    <n v="15962"/>
    <x v="2"/>
    <x v="9"/>
    <x v="2"/>
    <x v="1"/>
    <x v="1"/>
    <x v="1"/>
    <n v="726"/>
    <x v="1"/>
    <n v="1"/>
    <x v="0"/>
    <n v="0.35"/>
    <x v="2"/>
    <x v="9"/>
    <n v="29693"/>
    <x v="0"/>
    <x v="9"/>
    <x v="2"/>
    <n v="60"/>
    <x v="3"/>
    <x v="0"/>
    <x v="2"/>
    <x v="1"/>
    <x v="0"/>
    <x v="1"/>
    <x v="1"/>
  </r>
  <r>
    <x v="10"/>
    <n v="18023"/>
    <n v="4033"/>
    <n v="22056"/>
    <x v="0"/>
    <x v="10"/>
    <x v="0"/>
    <x v="0"/>
    <x v="2"/>
    <x v="2"/>
    <n v="688"/>
    <x v="1"/>
    <n v="1"/>
    <x v="0"/>
    <n v="0.13"/>
    <x v="1"/>
    <x v="10"/>
    <n v="40004"/>
    <x v="0"/>
    <x v="10"/>
    <x v="0"/>
    <n v="12"/>
    <x v="6"/>
    <x v="4"/>
    <x v="0"/>
    <x v="0"/>
    <x v="0"/>
    <x v="3"/>
    <x v="1"/>
  </r>
  <r>
    <x v="11"/>
    <n v="10322"/>
    <n v="8428"/>
    <n v="18750"/>
    <x v="1"/>
    <x v="11"/>
    <x v="2"/>
    <x v="0"/>
    <x v="3"/>
    <x v="3"/>
    <n v="743"/>
    <x v="3"/>
    <n v="4"/>
    <x v="0"/>
    <n v="0.23"/>
    <x v="1"/>
    <x v="11"/>
    <n v="38333"/>
    <x v="0"/>
    <x v="11"/>
    <x v="0"/>
    <n v="84"/>
    <x v="0"/>
    <x v="1"/>
    <x v="1"/>
    <x v="1"/>
    <x v="1"/>
    <x v="1"/>
    <x v="1"/>
  </r>
  <r>
    <x v="12"/>
    <n v="3685"/>
    <n v="1304"/>
    <n v="4989"/>
    <x v="2"/>
    <x v="2"/>
    <x v="1"/>
    <x v="0"/>
    <x v="2"/>
    <x v="2"/>
    <n v="735"/>
    <x v="1"/>
    <n v="3"/>
    <x v="0"/>
    <n v="0.32"/>
    <x v="2"/>
    <x v="12"/>
    <n v="17493"/>
    <x v="0"/>
    <x v="12"/>
    <x v="0"/>
    <n v="36"/>
    <x v="4"/>
    <x v="2"/>
    <x v="2"/>
    <x v="1"/>
    <x v="1"/>
    <x v="0"/>
    <x v="0"/>
  </r>
  <r>
    <x v="13"/>
    <n v="2769"/>
    <n v="7368"/>
    <n v="10137"/>
    <x v="1"/>
    <x v="12"/>
    <x v="1"/>
    <x v="1"/>
    <x v="0"/>
    <x v="0"/>
    <n v="767"/>
    <x v="3"/>
    <n v="3"/>
    <x v="0"/>
    <n v="0.18"/>
    <x v="1"/>
    <x v="13"/>
    <n v="39697"/>
    <x v="0"/>
    <x v="13"/>
    <x v="2"/>
    <n v="72"/>
    <x v="2"/>
    <x v="0"/>
    <x v="1"/>
    <x v="1"/>
    <x v="1"/>
    <x v="0"/>
    <x v="0"/>
  </r>
  <r>
    <x v="14"/>
    <n v="4433"/>
    <n v="5877"/>
    <n v="10310"/>
    <x v="2"/>
    <x v="6"/>
    <x v="3"/>
    <x v="1"/>
    <x v="0"/>
    <x v="0"/>
    <n v="713"/>
    <x v="1"/>
    <n v="4"/>
    <x v="0"/>
    <n v="0.56999999999999995"/>
    <x v="0"/>
    <x v="14"/>
    <n v="0"/>
    <x v="1"/>
    <x v="14"/>
    <x v="0"/>
    <n v="84"/>
    <x v="0"/>
    <x v="2"/>
    <x v="1"/>
    <x v="1"/>
    <x v="1"/>
    <x v="3"/>
    <x v="0"/>
  </r>
  <r>
    <x v="15"/>
    <n v="7311"/>
    <n v="1301"/>
    <n v="8612"/>
    <x v="0"/>
    <x v="13"/>
    <x v="2"/>
    <x v="0"/>
    <x v="1"/>
    <x v="1"/>
    <n v="710"/>
    <x v="1"/>
    <n v="4"/>
    <x v="0"/>
    <n v="0.48"/>
    <x v="3"/>
    <x v="15"/>
    <n v="24561"/>
    <x v="0"/>
    <x v="15"/>
    <x v="0"/>
    <n v="72"/>
    <x v="2"/>
    <x v="0"/>
    <x v="0"/>
    <x v="0"/>
    <x v="0"/>
    <x v="0"/>
    <x v="0"/>
  </r>
  <r>
    <x v="16"/>
    <n v="7051"/>
    <n v="2541"/>
    <n v="9592"/>
    <x v="3"/>
    <x v="14"/>
    <x v="2"/>
    <x v="0"/>
    <x v="2"/>
    <x v="2"/>
    <n v="724"/>
    <x v="1"/>
    <n v="0"/>
    <x v="1"/>
    <n v="0.23"/>
    <x v="1"/>
    <x v="16"/>
    <n v="18033"/>
    <x v="0"/>
    <x v="16"/>
    <x v="0"/>
    <n v="48"/>
    <x v="1"/>
    <x v="0"/>
    <x v="0"/>
    <x v="1"/>
    <x v="0"/>
    <x v="0"/>
    <x v="1"/>
  </r>
  <r>
    <x v="17"/>
    <n v="8420"/>
    <n v="2051"/>
    <n v="10471"/>
    <x v="0"/>
    <x v="15"/>
    <x v="1"/>
    <x v="0"/>
    <x v="3"/>
    <x v="3"/>
    <n v="562"/>
    <x v="2"/>
    <n v="4"/>
    <x v="0"/>
    <n v="0.4"/>
    <x v="2"/>
    <x v="17"/>
    <n v="7351"/>
    <x v="0"/>
    <x v="17"/>
    <x v="0"/>
    <n v="48"/>
    <x v="1"/>
    <x v="3"/>
    <x v="0"/>
    <x v="1"/>
    <x v="1"/>
    <x v="0"/>
    <x v="0"/>
  </r>
  <r>
    <x v="18"/>
    <n v="19568"/>
    <n v="6809"/>
    <n v="26377"/>
    <x v="0"/>
    <x v="16"/>
    <x v="1"/>
    <x v="0"/>
    <x v="1"/>
    <x v="1"/>
    <n v="589"/>
    <x v="0"/>
    <n v="3"/>
    <x v="0"/>
    <n v="0.46"/>
    <x v="3"/>
    <x v="18"/>
    <n v="25921"/>
    <x v="0"/>
    <x v="18"/>
    <x v="0"/>
    <n v="48"/>
    <x v="1"/>
    <x v="3"/>
    <x v="2"/>
    <x v="0"/>
    <x v="0"/>
    <x v="0"/>
    <x v="0"/>
  </r>
  <r>
    <x v="19"/>
    <n v="8396"/>
    <n v="8633"/>
    <n v="17029"/>
    <x v="4"/>
    <x v="17"/>
    <x v="1"/>
    <x v="1"/>
    <x v="2"/>
    <x v="2"/>
    <n v="638"/>
    <x v="0"/>
    <n v="0"/>
    <x v="1"/>
    <n v="0.56999999999999995"/>
    <x v="0"/>
    <x v="19"/>
    <n v="19340"/>
    <x v="0"/>
    <x v="19"/>
    <x v="2"/>
    <n v="84"/>
    <x v="0"/>
    <x v="1"/>
    <x v="0"/>
    <x v="1"/>
    <x v="1"/>
    <x v="0"/>
    <x v="0"/>
  </r>
  <r>
    <x v="20"/>
    <n v="10666"/>
    <n v="8996"/>
    <n v="19662"/>
    <x v="3"/>
    <x v="0"/>
    <x v="0"/>
    <x v="0"/>
    <x v="1"/>
    <x v="1"/>
    <n v="617"/>
    <x v="0"/>
    <n v="0"/>
    <x v="1"/>
    <n v="0.54"/>
    <x v="0"/>
    <x v="20"/>
    <n v="14901"/>
    <x v="0"/>
    <x v="20"/>
    <x v="0"/>
    <n v="12"/>
    <x v="6"/>
    <x v="2"/>
    <x v="2"/>
    <x v="1"/>
    <x v="1"/>
    <x v="3"/>
    <x v="0"/>
  </r>
  <r>
    <x v="21"/>
    <n v="4747"/>
    <n v="74"/>
    <n v="4821"/>
    <x v="2"/>
    <x v="18"/>
    <x v="0"/>
    <x v="0"/>
    <x v="3"/>
    <x v="3"/>
    <n v="591"/>
    <x v="0"/>
    <n v="0"/>
    <x v="1"/>
    <n v="0.36"/>
    <x v="2"/>
    <x v="21"/>
    <n v="0"/>
    <x v="1"/>
    <x v="21"/>
    <x v="2"/>
    <n v="60"/>
    <x v="3"/>
    <x v="1"/>
    <x v="0"/>
    <x v="1"/>
    <x v="1"/>
    <x v="4"/>
    <x v="0"/>
  </r>
  <r>
    <x v="22"/>
    <n v="2189"/>
    <n v="6981"/>
    <n v="9170"/>
    <x v="0"/>
    <x v="19"/>
    <x v="4"/>
    <x v="0"/>
    <x v="1"/>
    <x v="1"/>
    <n v="696"/>
    <x v="1"/>
    <n v="0"/>
    <x v="1"/>
    <n v="0.49"/>
    <x v="3"/>
    <x v="22"/>
    <n v="38596"/>
    <x v="0"/>
    <x v="22"/>
    <x v="0"/>
    <n v="84"/>
    <x v="0"/>
    <x v="2"/>
    <x v="0"/>
    <x v="1"/>
    <x v="1"/>
    <x v="1"/>
    <x v="0"/>
  </r>
  <r>
    <x v="23"/>
    <n v="5005"/>
    <n v="5475"/>
    <n v="10480"/>
    <x v="0"/>
    <x v="18"/>
    <x v="0"/>
    <x v="1"/>
    <x v="1"/>
    <x v="1"/>
    <n v="759"/>
    <x v="3"/>
    <n v="0"/>
    <x v="1"/>
    <n v="0.38"/>
    <x v="2"/>
    <x v="23"/>
    <n v="21378"/>
    <x v="0"/>
    <x v="23"/>
    <x v="0"/>
    <n v="24"/>
    <x v="5"/>
    <x v="3"/>
    <x v="0"/>
    <x v="1"/>
    <x v="0"/>
    <x v="0"/>
    <x v="1"/>
  </r>
  <r>
    <x v="24"/>
    <n v="3267"/>
    <n v="0"/>
    <n v="3267"/>
    <x v="0"/>
    <x v="20"/>
    <x v="0"/>
    <x v="0"/>
    <x v="2"/>
    <x v="2"/>
    <n v="643"/>
    <x v="0"/>
    <n v="4"/>
    <x v="0"/>
    <n v="0.16"/>
    <x v="1"/>
    <x v="24"/>
    <n v="22820"/>
    <x v="0"/>
    <x v="24"/>
    <x v="2"/>
    <n v="72"/>
    <x v="2"/>
    <x v="2"/>
    <x v="2"/>
    <x v="1"/>
    <x v="1"/>
    <x v="1"/>
    <x v="0"/>
  </r>
  <r>
    <x v="25"/>
    <n v="19912"/>
    <n v="5796"/>
    <n v="25708"/>
    <x v="2"/>
    <x v="21"/>
    <x v="1"/>
    <x v="1"/>
    <x v="3"/>
    <x v="3"/>
    <n v="568"/>
    <x v="2"/>
    <n v="1"/>
    <x v="0"/>
    <n v="0.16"/>
    <x v="1"/>
    <x v="25"/>
    <n v="25060"/>
    <x v="0"/>
    <x v="25"/>
    <x v="0"/>
    <n v="84"/>
    <x v="0"/>
    <x v="0"/>
    <x v="0"/>
    <x v="1"/>
    <x v="1"/>
    <x v="1"/>
    <x v="0"/>
  </r>
  <r>
    <x v="26"/>
    <n v="13394"/>
    <n v="7141"/>
    <n v="20535"/>
    <x v="4"/>
    <x v="5"/>
    <x v="0"/>
    <x v="0"/>
    <x v="0"/>
    <x v="0"/>
    <n v="735"/>
    <x v="1"/>
    <n v="4"/>
    <x v="0"/>
    <n v="0.36"/>
    <x v="2"/>
    <x v="26"/>
    <n v="32642"/>
    <x v="0"/>
    <x v="26"/>
    <x v="2"/>
    <n v="84"/>
    <x v="0"/>
    <x v="1"/>
    <x v="0"/>
    <x v="0"/>
    <x v="1"/>
    <x v="0"/>
    <x v="1"/>
  </r>
  <r>
    <x v="27"/>
    <n v="5556"/>
    <n v="1622"/>
    <n v="7178"/>
    <x v="0"/>
    <x v="22"/>
    <x v="2"/>
    <x v="0"/>
    <x v="0"/>
    <x v="0"/>
    <n v="572"/>
    <x v="2"/>
    <n v="2"/>
    <x v="0"/>
    <n v="0.23"/>
    <x v="1"/>
    <x v="27"/>
    <n v="25378"/>
    <x v="0"/>
    <x v="27"/>
    <x v="0"/>
    <n v="60"/>
    <x v="3"/>
    <x v="2"/>
    <x v="0"/>
    <x v="0"/>
    <x v="1"/>
    <x v="2"/>
    <x v="0"/>
  </r>
  <r>
    <x v="28"/>
    <n v="5890"/>
    <n v="8041"/>
    <n v="13931"/>
    <x v="0"/>
    <x v="4"/>
    <x v="1"/>
    <x v="0"/>
    <x v="0"/>
    <x v="0"/>
    <n v="603"/>
    <x v="0"/>
    <n v="0"/>
    <x v="1"/>
    <n v="0.11"/>
    <x v="1"/>
    <x v="28"/>
    <n v="8150"/>
    <x v="0"/>
    <x v="28"/>
    <x v="2"/>
    <n v="12"/>
    <x v="6"/>
    <x v="1"/>
    <x v="2"/>
    <x v="0"/>
    <x v="0"/>
    <x v="1"/>
    <x v="0"/>
  </r>
  <r>
    <x v="29"/>
    <n v="10838"/>
    <n v="341"/>
    <n v="11179"/>
    <x v="0"/>
    <x v="17"/>
    <x v="1"/>
    <x v="0"/>
    <x v="0"/>
    <x v="0"/>
    <n v="757"/>
    <x v="3"/>
    <n v="2"/>
    <x v="0"/>
    <n v="0.46"/>
    <x v="3"/>
    <x v="29"/>
    <n v="0"/>
    <x v="1"/>
    <x v="29"/>
    <x v="0"/>
    <n v="84"/>
    <x v="0"/>
    <x v="0"/>
    <x v="1"/>
    <x v="1"/>
    <x v="0"/>
    <x v="2"/>
    <x v="0"/>
  </r>
  <r>
    <x v="30"/>
    <n v="12627"/>
    <n v="0"/>
    <n v="12627"/>
    <x v="2"/>
    <x v="0"/>
    <x v="0"/>
    <x v="1"/>
    <x v="2"/>
    <x v="2"/>
    <n v="689"/>
    <x v="1"/>
    <n v="3"/>
    <x v="0"/>
    <n v="0.4"/>
    <x v="2"/>
    <x v="30"/>
    <n v="34525"/>
    <x v="0"/>
    <x v="30"/>
    <x v="1"/>
    <n v="60"/>
    <x v="3"/>
    <x v="4"/>
    <x v="2"/>
    <x v="0"/>
    <x v="1"/>
    <x v="0"/>
    <x v="0"/>
  </r>
  <r>
    <x v="31"/>
    <n v="10792"/>
    <n v="645"/>
    <n v="11437"/>
    <x v="0"/>
    <x v="23"/>
    <x v="0"/>
    <x v="0"/>
    <x v="3"/>
    <x v="3"/>
    <n v="573"/>
    <x v="2"/>
    <n v="4"/>
    <x v="0"/>
    <n v="0.37"/>
    <x v="2"/>
    <x v="31"/>
    <n v="18193"/>
    <x v="0"/>
    <x v="31"/>
    <x v="0"/>
    <n v="24"/>
    <x v="5"/>
    <x v="2"/>
    <x v="0"/>
    <x v="1"/>
    <x v="1"/>
    <x v="0"/>
    <x v="0"/>
  </r>
  <r>
    <x v="32"/>
    <n v="12555"/>
    <n v="4263"/>
    <n v="16818"/>
    <x v="2"/>
    <x v="12"/>
    <x v="1"/>
    <x v="0"/>
    <x v="3"/>
    <x v="3"/>
    <n v="583"/>
    <x v="0"/>
    <n v="4"/>
    <x v="0"/>
    <n v="0.57999999999999996"/>
    <x v="0"/>
    <x v="32"/>
    <n v="43967"/>
    <x v="0"/>
    <x v="32"/>
    <x v="2"/>
    <n v="48"/>
    <x v="1"/>
    <x v="3"/>
    <x v="0"/>
    <x v="0"/>
    <x v="1"/>
    <x v="3"/>
    <x v="0"/>
  </r>
  <r>
    <x v="33"/>
    <n v="12253"/>
    <n v="8801"/>
    <n v="21054"/>
    <x v="0"/>
    <x v="24"/>
    <x v="2"/>
    <x v="0"/>
    <x v="1"/>
    <x v="1"/>
    <n v="602"/>
    <x v="0"/>
    <n v="1"/>
    <x v="0"/>
    <n v="0.34"/>
    <x v="2"/>
    <x v="33"/>
    <n v="27801"/>
    <x v="0"/>
    <x v="33"/>
    <x v="2"/>
    <n v="24"/>
    <x v="5"/>
    <x v="1"/>
    <x v="2"/>
    <x v="1"/>
    <x v="1"/>
    <x v="0"/>
    <x v="0"/>
  </r>
  <r>
    <x v="34"/>
    <n v="10433"/>
    <n v="6136"/>
    <n v="16569"/>
    <x v="3"/>
    <x v="25"/>
    <x v="4"/>
    <x v="0"/>
    <x v="0"/>
    <x v="0"/>
    <n v="798"/>
    <x v="3"/>
    <n v="1"/>
    <x v="0"/>
    <n v="0.13"/>
    <x v="1"/>
    <x v="34"/>
    <n v="49063"/>
    <x v="0"/>
    <x v="34"/>
    <x v="0"/>
    <n v="36"/>
    <x v="4"/>
    <x v="2"/>
    <x v="0"/>
    <x v="1"/>
    <x v="1"/>
    <x v="3"/>
    <x v="1"/>
  </r>
  <r>
    <x v="35"/>
    <n v="12233"/>
    <n v="8646"/>
    <n v="20879"/>
    <x v="0"/>
    <x v="26"/>
    <x v="3"/>
    <x v="1"/>
    <x v="3"/>
    <x v="3"/>
    <n v="685"/>
    <x v="1"/>
    <n v="3"/>
    <x v="0"/>
    <n v="0.38"/>
    <x v="2"/>
    <x v="35"/>
    <n v="26246"/>
    <x v="0"/>
    <x v="35"/>
    <x v="2"/>
    <n v="24"/>
    <x v="5"/>
    <x v="2"/>
    <x v="2"/>
    <x v="1"/>
    <x v="1"/>
    <x v="3"/>
    <x v="1"/>
  </r>
  <r>
    <x v="36"/>
    <n v="13016"/>
    <n v="9900"/>
    <n v="22916"/>
    <x v="0"/>
    <x v="1"/>
    <x v="0"/>
    <x v="0"/>
    <x v="1"/>
    <x v="1"/>
    <n v="567"/>
    <x v="2"/>
    <n v="0"/>
    <x v="1"/>
    <n v="0.52"/>
    <x v="0"/>
    <x v="36"/>
    <n v="12807"/>
    <x v="0"/>
    <x v="36"/>
    <x v="3"/>
    <n v="48"/>
    <x v="1"/>
    <x v="1"/>
    <x v="0"/>
    <x v="0"/>
    <x v="1"/>
    <x v="4"/>
    <x v="0"/>
  </r>
  <r>
    <x v="37"/>
    <n v="17787"/>
    <n v="3028"/>
    <n v="20815"/>
    <x v="2"/>
    <x v="4"/>
    <x v="1"/>
    <x v="1"/>
    <x v="2"/>
    <x v="2"/>
    <n v="661"/>
    <x v="0"/>
    <n v="1"/>
    <x v="0"/>
    <n v="0.32"/>
    <x v="2"/>
    <x v="11"/>
    <n v="5492"/>
    <x v="0"/>
    <x v="37"/>
    <x v="2"/>
    <n v="48"/>
    <x v="1"/>
    <x v="3"/>
    <x v="0"/>
    <x v="1"/>
    <x v="0"/>
    <x v="4"/>
    <x v="1"/>
  </r>
  <r>
    <x v="38"/>
    <n v="19159"/>
    <n v="7643"/>
    <n v="26802"/>
    <x v="1"/>
    <x v="27"/>
    <x v="3"/>
    <x v="0"/>
    <x v="3"/>
    <x v="3"/>
    <n v="554"/>
    <x v="2"/>
    <n v="1"/>
    <x v="0"/>
    <n v="0.26"/>
    <x v="1"/>
    <x v="37"/>
    <n v="31357"/>
    <x v="0"/>
    <x v="38"/>
    <x v="0"/>
    <n v="72"/>
    <x v="2"/>
    <x v="1"/>
    <x v="2"/>
    <x v="1"/>
    <x v="1"/>
    <x v="4"/>
    <x v="0"/>
  </r>
  <r>
    <x v="39"/>
    <n v="14206"/>
    <n v="2681"/>
    <n v="16887"/>
    <x v="2"/>
    <x v="28"/>
    <x v="0"/>
    <x v="0"/>
    <x v="0"/>
    <x v="0"/>
    <n v="703"/>
    <x v="1"/>
    <n v="0"/>
    <x v="1"/>
    <n v="0.55000000000000004"/>
    <x v="0"/>
    <x v="38"/>
    <n v="6302"/>
    <x v="0"/>
    <x v="39"/>
    <x v="2"/>
    <n v="48"/>
    <x v="1"/>
    <x v="2"/>
    <x v="1"/>
    <x v="0"/>
    <x v="0"/>
    <x v="0"/>
    <x v="0"/>
  </r>
  <r>
    <x v="40"/>
    <n v="0"/>
    <n v="3629"/>
    <n v="3629"/>
    <x v="0"/>
    <x v="14"/>
    <x v="2"/>
    <x v="0"/>
    <x v="3"/>
    <x v="3"/>
    <n v="707"/>
    <x v="1"/>
    <n v="0"/>
    <x v="1"/>
    <n v="0.2"/>
    <x v="1"/>
    <x v="39"/>
    <n v="32314"/>
    <x v="0"/>
    <x v="40"/>
    <x v="0"/>
    <n v="36"/>
    <x v="4"/>
    <x v="3"/>
    <x v="0"/>
    <x v="1"/>
    <x v="1"/>
    <x v="4"/>
    <x v="1"/>
  </r>
  <r>
    <x v="41"/>
    <n v="16541"/>
    <n v="4225"/>
    <n v="20766"/>
    <x v="0"/>
    <x v="29"/>
    <x v="2"/>
    <x v="0"/>
    <x v="0"/>
    <x v="0"/>
    <n v="731"/>
    <x v="1"/>
    <n v="4"/>
    <x v="0"/>
    <n v="0.35"/>
    <x v="2"/>
    <x v="40"/>
    <n v="0"/>
    <x v="1"/>
    <x v="41"/>
    <x v="3"/>
    <n v="48"/>
    <x v="1"/>
    <x v="1"/>
    <x v="0"/>
    <x v="0"/>
    <x v="1"/>
    <x v="3"/>
    <x v="0"/>
  </r>
  <r>
    <x v="42"/>
    <n v="5152"/>
    <n v="3067"/>
    <n v="8219"/>
    <x v="1"/>
    <x v="30"/>
    <x v="2"/>
    <x v="1"/>
    <x v="2"/>
    <x v="2"/>
    <n v="562"/>
    <x v="2"/>
    <n v="2"/>
    <x v="0"/>
    <n v="0.35"/>
    <x v="2"/>
    <x v="41"/>
    <n v="4747"/>
    <x v="0"/>
    <x v="42"/>
    <x v="2"/>
    <n v="48"/>
    <x v="1"/>
    <x v="1"/>
    <x v="0"/>
    <x v="1"/>
    <x v="0"/>
    <x v="0"/>
    <x v="0"/>
  </r>
  <r>
    <x v="43"/>
    <n v="3585"/>
    <n v="5941"/>
    <n v="9526"/>
    <x v="0"/>
    <x v="6"/>
    <x v="3"/>
    <x v="1"/>
    <x v="0"/>
    <x v="0"/>
    <n v="632"/>
    <x v="0"/>
    <n v="0"/>
    <x v="1"/>
    <n v="0.12"/>
    <x v="1"/>
    <x v="42"/>
    <n v="47006"/>
    <x v="0"/>
    <x v="43"/>
    <x v="2"/>
    <n v="12"/>
    <x v="6"/>
    <x v="1"/>
    <x v="2"/>
    <x v="1"/>
    <x v="1"/>
    <x v="2"/>
    <x v="0"/>
  </r>
  <r>
    <x v="44"/>
    <n v="5943"/>
    <n v="1386"/>
    <n v="7329"/>
    <x v="0"/>
    <x v="14"/>
    <x v="2"/>
    <x v="0"/>
    <x v="3"/>
    <x v="3"/>
    <n v="578"/>
    <x v="2"/>
    <n v="1"/>
    <x v="0"/>
    <n v="0.27"/>
    <x v="1"/>
    <x v="43"/>
    <n v="41170"/>
    <x v="0"/>
    <x v="44"/>
    <x v="2"/>
    <n v="12"/>
    <x v="6"/>
    <x v="2"/>
    <x v="0"/>
    <x v="1"/>
    <x v="0"/>
    <x v="0"/>
    <x v="0"/>
  </r>
  <r>
    <x v="45"/>
    <n v="3021"/>
    <n v="2866"/>
    <n v="5887"/>
    <x v="3"/>
    <x v="1"/>
    <x v="0"/>
    <x v="1"/>
    <x v="1"/>
    <x v="1"/>
    <n v="552"/>
    <x v="2"/>
    <n v="1"/>
    <x v="0"/>
    <n v="0.23"/>
    <x v="1"/>
    <x v="44"/>
    <n v="10686"/>
    <x v="0"/>
    <x v="45"/>
    <x v="0"/>
    <n v="12"/>
    <x v="6"/>
    <x v="3"/>
    <x v="0"/>
    <x v="1"/>
    <x v="1"/>
    <x v="0"/>
    <x v="0"/>
  </r>
  <r>
    <x v="46"/>
    <n v="13653"/>
    <n v="4788"/>
    <n v="18441"/>
    <x v="3"/>
    <x v="12"/>
    <x v="1"/>
    <x v="0"/>
    <x v="2"/>
    <x v="2"/>
    <n v="639"/>
    <x v="0"/>
    <n v="0"/>
    <x v="1"/>
    <n v="0.44"/>
    <x v="3"/>
    <x v="45"/>
    <n v="37449"/>
    <x v="0"/>
    <x v="46"/>
    <x v="1"/>
    <n v="12"/>
    <x v="6"/>
    <x v="2"/>
    <x v="2"/>
    <x v="1"/>
    <x v="1"/>
    <x v="0"/>
    <x v="0"/>
  </r>
  <r>
    <x v="47"/>
    <n v="12805"/>
    <n v="5490"/>
    <n v="18295"/>
    <x v="3"/>
    <x v="25"/>
    <x v="4"/>
    <x v="0"/>
    <x v="3"/>
    <x v="3"/>
    <n v="653"/>
    <x v="0"/>
    <n v="0"/>
    <x v="1"/>
    <n v="0.56999999999999995"/>
    <x v="0"/>
    <x v="46"/>
    <n v="18891"/>
    <x v="0"/>
    <x v="47"/>
    <x v="0"/>
    <n v="60"/>
    <x v="3"/>
    <x v="4"/>
    <x v="0"/>
    <x v="1"/>
    <x v="1"/>
    <x v="0"/>
    <x v="0"/>
  </r>
  <r>
    <x v="48"/>
    <n v="15417"/>
    <n v="4124"/>
    <n v="19541"/>
    <x v="2"/>
    <x v="20"/>
    <x v="0"/>
    <x v="0"/>
    <x v="2"/>
    <x v="2"/>
    <n v="672"/>
    <x v="1"/>
    <n v="4"/>
    <x v="0"/>
    <n v="0.23"/>
    <x v="1"/>
    <x v="47"/>
    <n v="36196"/>
    <x v="0"/>
    <x v="48"/>
    <x v="0"/>
    <n v="12"/>
    <x v="6"/>
    <x v="3"/>
    <x v="2"/>
    <x v="1"/>
    <x v="0"/>
    <x v="3"/>
    <x v="1"/>
  </r>
  <r>
    <x v="49"/>
    <n v="9989"/>
    <n v="8340"/>
    <n v="18329"/>
    <x v="0"/>
    <x v="8"/>
    <x v="0"/>
    <x v="0"/>
    <x v="2"/>
    <x v="2"/>
    <n v="735"/>
    <x v="1"/>
    <n v="2"/>
    <x v="0"/>
    <n v="0.51"/>
    <x v="0"/>
    <x v="48"/>
    <n v="29928"/>
    <x v="0"/>
    <x v="49"/>
    <x v="1"/>
    <n v="36"/>
    <x v="4"/>
    <x v="2"/>
    <x v="0"/>
    <x v="1"/>
    <x v="0"/>
    <x v="2"/>
    <x v="0"/>
  </r>
  <r>
    <x v="50"/>
    <n v="11692"/>
    <n v="3850"/>
    <n v="15542"/>
    <x v="0"/>
    <x v="22"/>
    <x v="2"/>
    <x v="0"/>
    <x v="3"/>
    <x v="3"/>
    <n v="799"/>
    <x v="3"/>
    <n v="4"/>
    <x v="0"/>
    <n v="0.35"/>
    <x v="2"/>
    <x v="49"/>
    <n v="7494"/>
    <x v="0"/>
    <x v="50"/>
    <x v="2"/>
    <n v="84"/>
    <x v="0"/>
    <x v="3"/>
    <x v="0"/>
    <x v="1"/>
    <x v="0"/>
    <x v="3"/>
    <x v="1"/>
  </r>
  <r>
    <x v="51"/>
    <n v="14990"/>
    <n v="5415"/>
    <n v="20405"/>
    <x v="1"/>
    <x v="24"/>
    <x v="2"/>
    <x v="1"/>
    <x v="3"/>
    <x v="3"/>
    <n v="625"/>
    <x v="0"/>
    <n v="1"/>
    <x v="0"/>
    <n v="0.37"/>
    <x v="2"/>
    <x v="50"/>
    <n v="36723"/>
    <x v="0"/>
    <x v="51"/>
    <x v="2"/>
    <n v="12"/>
    <x v="6"/>
    <x v="4"/>
    <x v="2"/>
    <x v="0"/>
    <x v="0"/>
    <x v="2"/>
    <x v="0"/>
  </r>
  <r>
    <x v="52"/>
    <n v="0"/>
    <n v="7679"/>
    <n v="7679"/>
    <x v="2"/>
    <x v="31"/>
    <x v="4"/>
    <x v="1"/>
    <x v="1"/>
    <x v="1"/>
    <n v="679"/>
    <x v="1"/>
    <n v="4"/>
    <x v="0"/>
    <n v="0.14000000000000001"/>
    <x v="1"/>
    <x v="51"/>
    <n v="29877"/>
    <x v="0"/>
    <x v="52"/>
    <x v="2"/>
    <n v="48"/>
    <x v="1"/>
    <x v="0"/>
    <x v="2"/>
    <x v="1"/>
    <x v="1"/>
    <x v="0"/>
    <x v="1"/>
  </r>
  <r>
    <x v="53"/>
    <n v="7675"/>
    <n v="6819"/>
    <n v="14494"/>
    <x v="0"/>
    <x v="8"/>
    <x v="0"/>
    <x v="0"/>
    <x v="0"/>
    <x v="0"/>
    <n v="752"/>
    <x v="3"/>
    <n v="1"/>
    <x v="0"/>
    <n v="0.56999999999999995"/>
    <x v="0"/>
    <x v="52"/>
    <n v="27981"/>
    <x v="0"/>
    <x v="53"/>
    <x v="1"/>
    <n v="84"/>
    <x v="0"/>
    <x v="1"/>
    <x v="0"/>
    <x v="1"/>
    <x v="1"/>
    <x v="0"/>
    <x v="0"/>
  </r>
  <r>
    <x v="54"/>
    <n v="2161"/>
    <n v="9328"/>
    <n v="11489"/>
    <x v="0"/>
    <x v="3"/>
    <x v="2"/>
    <x v="0"/>
    <x v="2"/>
    <x v="2"/>
    <n v="657"/>
    <x v="0"/>
    <n v="1"/>
    <x v="0"/>
    <n v="0.48"/>
    <x v="3"/>
    <x v="53"/>
    <n v="14026"/>
    <x v="0"/>
    <x v="54"/>
    <x v="3"/>
    <n v="12"/>
    <x v="6"/>
    <x v="2"/>
    <x v="0"/>
    <x v="1"/>
    <x v="0"/>
    <x v="1"/>
    <x v="0"/>
  </r>
  <r>
    <x v="55"/>
    <n v="6297"/>
    <n v="8378"/>
    <n v="14675"/>
    <x v="0"/>
    <x v="17"/>
    <x v="1"/>
    <x v="0"/>
    <x v="3"/>
    <x v="3"/>
    <n v="705"/>
    <x v="1"/>
    <n v="1"/>
    <x v="0"/>
    <n v="0.43"/>
    <x v="3"/>
    <x v="54"/>
    <n v="20422"/>
    <x v="0"/>
    <x v="55"/>
    <x v="2"/>
    <n v="84"/>
    <x v="0"/>
    <x v="4"/>
    <x v="0"/>
    <x v="1"/>
    <x v="1"/>
    <x v="3"/>
    <x v="0"/>
  </r>
  <r>
    <x v="56"/>
    <n v="2995"/>
    <n v="9442"/>
    <n v="12437"/>
    <x v="1"/>
    <x v="21"/>
    <x v="1"/>
    <x v="0"/>
    <x v="0"/>
    <x v="0"/>
    <n v="631"/>
    <x v="0"/>
    <n v="1"/>
    <x v="0"/>
    <n v="0.51"/>
    <x v="0"/>
    <x v="55"/>
    <n v="9244"/>
    <x v="0"/>
    <x v="56"/>
    <x v="0"/>
    <n v="24"/>
    <x v="5"/>
    <x v="4"/>
    <x v="0"/>
    <x v="0"/>
    <x v="0"/>
    <x v="0"/>
    <x v="0"/>
  </r>
  <r>
    <x v="57"/>
    <n v="13534"/>
    <n v="1333"/>
    <n v="14867"/>
    <x v="2"/>
    <x v="18"/>
    <x v="0"/>
    <x v="0"/>
    <x v="3"/>
    <x v="3"/>
    <n v="550"/>
    <x v="2"/>
    <n v="1"/>
    <x v="0"/>
    <n v="0.42"/>
    <x v="3"/>
    <x v="56"/>
    <n v="33481"/>
    <x v="0"/>
    <x v="36"/>
    <x v="3"/>
    <n v="48"/>
    <x v="1"/>
    <x v="3"/>
    <x v="0"/>
    <x v="1"/>
    <x v="1"/>
    <x v="2"/>
    <x v="0"/>
  </r>
  <r>
    <x v="58"/>
    <n v="9629"/>
    <n v="4150"/>
    <n v="13779"/>
    <x v="2"/>
    <x v="10"/>
    <x v="0"/>
    <x v="0"/>
    <x v="2"/>
    <x v="2"/>
    <n v="778"/>
    <x v="3"/>
    <n v="3"/>
    <x v="0"/>
    <n v="0.57999999999999996"/>
    <x v="0"/>
    <x v="57"/>
    <n v="23644"/>
    <x v="0"/>
    <x v="57"/>
    <x v="2"/>
    <n v="36"/>
    <x v="4"/>
    <x v="3"/>
    <x v="0"/>
    <x v="0"/>
    <x v="1"/>
    <x v="4"/>
    <x v="0"/>
  </r>
  <r>
    <x v="59"/>
    <n v="3016"/>
    <n v="6766"/>
    <n v="9782"/>
    <x v="0"/>
    <x v="32"/>
    <x v="3"/>
    <x v="1"/>
    <x v="3"/>
    <x v="3"/>
    <n v="763"/>
    <x v="3"/>
    <n v="4"/>
    <x v="0"/>
    <n v="0.46"/>
    <x v="3"/>
    <x v="58"/>
    <n v="43848"/>
    <x v="0"/>
    <x v="58"/>
    <x v="2"/>
    <n v="84"/>
    <x v="0"/>
    <x v="1"/>
    <x v="2"/>
    <x v="1"/>
    <x v="1"/>
    <x v="0"/>
    <x v="0"/>
  </r>
  <r>
    <x v="60"/>
    <n v="10529"/>
    <n v="2711"/>
    <n v="13240"/>
    <x v="3"/>
    <x v="18"/>
    <x v="0"/>
    <x v="0"/>
    <x v="1"/>
    <x v="1"/>
    <n v="753"/>
    <x v="3"/>
    <n v="3"/>
    <x v="0"/>
    <n v="0.56000000000000005"/>
    <x v="0"/>
    <x v="59"/>
    <n v="8521"/>
    <x v="0"/>
    <x v="59"/>
    <x v="2"/>
    <n v="72"/>
    <x v="2"/>
    <x v="3"/>
    <x v="2"/>
    <x v="1"/>
    <x v="0"/>
    <x v="0"/>
    <x v="0"/>
  </r>
  <r>
    <x v="61"/>
    <n v="19262"/>
    <n v="4853"/>
    <n v="24115"/>
    <x v="4"/>
    <x v="33"/>
    <x v="4"/>
    <x v="0"/>
    <x v="0"/>
    <x v="0"/>
    <n v="551"/>
    <x v="2"/>
    <n v="3"/>
    <x v="0"/>
    <n v="0.36"/>
    <x v="2"/>
    <x v="60"/>
    <n v="1746"/>
    <x v="0"/>
    <x v="60"/>
    <x v="1"/>
    <n v="60"/>
    <x v="3"/>
    <x v="2"/>
    <x v="0"/>
    <x v="1"/>
    <x v="0"/>
    <x v="1"/>
    <x v="0"/>
  </r>
  <r>
    <x v="62"/>
    <n v="11268"/>
    <n v="6212"/>
    <n v="17480"/>
    <x v="0"/>
    <x v="34"/>
    <x v="3"/>
    <x v="0"/>
    <x v="3"/>
    <x v="3"/>
    <n v="676"/>
    <x v="1"/>
    <n v="0"/>
    <x v="1"/>
    <n v="0.16"/>
    <x v="1"/>
    <x v="61"/>
    <n v="17591"/>
    <x v="0"/>
    <x v="61"/>
    <x v="0"/>
    <n v="48"/>
    <x v="1"/>
    <x v="2"/>
    <x v="0"/>
    <x v="0"/>
    <x v="1"/>
    <x v="3"/>
    <x v="1"/>
  </r>
  <r>
    <x v="63"/>
    <n v="14185"/>
    <n v="7479"/>
    <n v="21664"/>
    <x v="0"/>
    <x v="22"/>
    <x v="2"/>
    <x v="0"/>
    <x v="1"/>
    <x v="1"/>
    <n v="778"/>
    <x v="3"/>
    <n v="0"/>
    <x v="1"/>
    <n v="0.36"/>
    <x v="2"/>
    <x v="62"/>
    <n v="26718"/>
    <x v="0"/>
    <x v="62"/>
    <x v="1"/>
    <n v="48"/>
    <x v="1"/>
    <x v="2"/>
    <x v="0"/>
    <x v="0"/>
    <x v="1"/>
    <x v="3"/>
    <x v="1"/>
  </r>
  <r>
    <x v="64"/>
    <n v="8331"/>
    <n v="5408"/>
    <n v="13739"/>
    <x v="0"/>
    <x v="3"/>
    <x v="2"/>
    <x v="0"/>
    <x v="2"/>
    <x v="2"/>
    <n v="684"/>
    <x v="1"/>
    <n v="0"/>
    <x v="1"/>
    <n v="0.16"/>
    <x v="1"/>
    <x v="63"/>
    <n v="49936"/>
    <x v="0"/>
    <x v="63"/>
    <x v="2"/>
    <n v="36"/>
    <x v="4"/>
    <x v="0"/>
    <x v="0"/>
    <x v="1"/>
    <x v="1"/>
    <x v="0"/>
    <x v="1"/>
  </r>
  <r>
    <x v="65"/>
    <n v="10571"/>
    <n v="9977"/>
    <n v="20548"/>
    <x v="0"/>
    <x v="35"/>
    <x v="2"/>
    <x v="1"/>
    <x v="3"/>
    <x v="3"/>
    <n v="575"/>
    <x v="2"/>
    <n v="2"/>
    <x v="0"/>
    <n v="0.4"/>
    <x v="2"/>
    <x v="11"/>
    <n v="2696"/>
    <x v="0"/>
    <x v="64"/>
    <x v="3"/>
    <n v="24"/>
    <x v="5"/>
    <x v="2"/>
    <x v="1"/>
    <x v="0"/>
    <x v="1"/>
    <x v="2"/>
    <x v="0"/>
  </r>
  <r>
    <x v="66"/>
    <n v="9208"/>
    <n v="7715"/>
    <n v="16923"/>
    <x v="3"/>
    <x v="13"/>
    <x v="2"/>
    <x v="0"/>
    <x v="2"/>
    <x v="2"/>
    <n v="767"/>
    <x v="3"/>
    <n v="0"/>
    <x v="1"/>
    <n v="0.34"/>
    <x v="2"/>
    <x v="64"/>
    <n v="12012"/>
    <x v="0"/>
    <x v="65"/>
    <x v="2"/>
    <n v="12"/>
    <x v="6"/>
    <x v="3"/>
    <x v="2"/>
    <x v="1"/>
    <x v="0"/>
    <x v="3"/>
    <x v="1"/>
  </r>
  <r>
    <x v="67"/>
    <n v="7276"/>
    <n v="8942"/>
    <n v="16218"/>
    <x v="0"/>
    <x v="20"/>
    <x v="0"/>
    <x v="1"/>
    <x v="1"/>
    <x v="1"/>
    <n v="637"/>
    <x v="0"/>
    <n v="4"/>
    <x v="0"/>
    <n v="0.41"/>
    <x v="3"/>
    <x v="65"/>
    <n v="14688"/>
    <x v="0"/>
    <x v="66"/>
    <x v="3"/>
    <n v="48"/>
    <x v="1"/>
    <x v="3"/>
    <x v="2"/>
    <x v="0"/>
    <x v="1"/>
    <x v="0"/>
    <x v="0"/>
  </r>
  <r>
    <x v="68"/>
    <n v="18448"/>
    <n v="1762"/>
    <n v="20210"/>
    <x v="2"/>
    <x v="13"/>
    <x v="2"/>
    <x v="0"/>
    <x v="2"/>
    <x v="2"/>
    <n v="753"/>
    <x v="3"/>
    <n v="3"/>
    <x v="0"/>
    <n v="0.11"/>
    <x v="1"/>
    <x v="66"/>
    <n v="23457"/>
    <x v="0"/>
    <x v="67"/>
    <x v="2"/>
    <n v="24"/>
    <x v="5"/>
    <x v="2"/>
    <x v="1"/>
    <x v="1"/>
    <x v="1"/>
    <x v="0"/>
    <x v="1"/>
  </r>
  <r>
    <x v="69"/>
    <n v="18216"/>
    <n v="7101"/>
    <n v="25317"/>
    <x v="0"/>
    <x v="36"/>
    <x v="1"/>
    <x v="0"/>
    <x v="1"/>
    <x v="1"/>
    <n v="565"/>
    <x v="2"/>
    <n v="4"/>
    <x v="0"/>
    <n v="0.2"/>
    <x v="1"/>
    <x v="67"/>
    <n v="0"/>
    <x v="1"/>
    <x v="68"/>
    <x v="2"/>
    <n v="12"/>
    <x v="6"/>
    <x v="4"/>
    <x v="0"/>
    <x v="1"/>
    <x v="1"/>
    <x v="1"/>
    <x v="0"/>
  </r>
  <r>
    <x v="70"/>
    <n v="10006"/>
    <n v="7674"/>
    <n v="17680"/>
    <x v="0"/>
    <x v="3"/>
    <x v="2"/>
    <x v="0"/>
    <x v="1"/>
    <x v="1"/>
    <n v="700"/>
    <x v="1"/>
    <n v="0"/>
    <x v="1"/>
    <n v="0.35"/>
    <x v="2"/>
    <x v="68"/>
    <n v="39895"/>
    <x v="0"/>
    <x v="69"/>
    <x v="1"/>
    <n v="60"/>
    <x v="3"/>
    <x v="4"/>
    <x v="0"/>
    <x v="1"/>
    <x v="1"/>
    <x v="1"/>
    <x v="1"/>
  </r>
  <r>
    <x v="71"/>
    <n v="4568"/>
    <n v="6122"/>
    <n v="10690"/>
    <x v="0"/>
    <x v="16"/>
    <x v="1"/>
    <x v="1"/>
    <x v="1"/>
    <x v="1"/>
    <n v="717"/>
    <x v="1"/>
    <n v="2"/>
    <x v="0"/>
    <n v="0.57999999999999996"/>
    <x v="0"/>
    <x v="69"/>
    <n v="29960"/>
    <x v="0"/>
    <x v="70"/>
    <x v="3"/>
    <n v="36"/>
    <x v="4"/>
    <x v="4"/>
    <x v="2"/>
    <x v="0"/>
    <x v="0"/>
    <x v="4"/>
    <x v="0"/>
  </r>
  <r>
    <x v="72"/>
    <n v="4027"/>
    <n v="481"/>
    <n v="4508"/>
    <x v="0"/>
    <x v="32"/>
    <x v="3"/>
    <x v="0"/>
    <x v="3"/>
    <x v="3"/>
    <n v="737"/>
    <x v="1"/>
    <n v="2"/>
    <x v="0"/>
    <n v="0.28999999999999998"/>
    <x v="1"/>
    <x v="70"/>
    <n v="36486"/>
    <x v="0"/>
    <x v="71"/>
    <x v="2"/>
    <n v="36"/>
    <x v="4"/>
    <x v="2"/>
    <x v="0"/>
    <x v="0"/>
    <x v="1"/>
    <x v="0"/>
    <x v="0"/>
  </r>
  <r>
    <x v="73"/>
    <n v="4695"/>
    <n v="153"/>
    <n v="4848"/>
    <x v="0"/>
    <x v="27"/>
    <x v="3"/>
    <x v="1"/>
    <x v="2"/>
    <x v="2"/>
    <n v="622"/>
    <x v="0"/>
    <n v="3"/>
    <x v="0"/>
    <n v="0.31"/>
    <x v="2"/>
    <x v="71"/>
    <n v="22159"/>
    <x v="0"/>
    <x v="72"/>
    <x v="0"/>
    <n v="84"/>
    <x v="0"/>
    <x v="0"/>
    <x v="2"/>
    <x v="0"/>
    <x v="1"/>
    <x v="4"/>
    <x v="0"/>
  </r>
  <r>
    <x v="74"/>
    <n v="7258"/>
    <n v="1524"/>
    <n v="8782"/>
    <x v="1"/>
    <x v="23"/>
    <x v="0"/>
    <x v="1"/>
    <x v="0"/>
    <x v="0"/>
    <n v="564"/>
    <x v="2"/>
    <n v="1"/>
    <x v="0"/>
    <n v="0.4"/>
    <x v="2"/>
    <x v="72"/>
    <n v="2693"/>
    <x v="0"/>
    <x v="73"/>
    <x v="1"/>
    <n v="24"/>
    <x v="5"/>
    <x v="1"/>
    <x v="2"/>
    <x v="1"/>
    <x v="1"/>
    <x v="0"/>
    <x v="0"/>
  </r>
  <r>
    <x v="75"/>
    <n v="8736"/>
    <n v="2120"/>
    <n v="10856"/>
    <x v="1"/>
    <x v="11"/>
    <x v="2"/>
    <x v="0"/>
    <x v="0"/>
    <x v="0"/>
    <n v="778"/>
    <x v="3"/>
    <n v="4"/>
    <x v="0"/>
    <n v="0.25"/>
    <x v="1"/>
    <x v="73"/>
    <n v="49777"/>
    <x v="0"/>
    <x v="74"/>
    <x v="0"/>
    <n v="72"/>
    <x v="2"/>
    <x v="4"/>
    <x v="0"/>
    <x v="1"/>
    <x v="0"/>
    <x v="1"/>
    <x v="1"/>
  </r>
  <r>
    <x v="76"/>
    <n v="0"/>
    <n v="2343"/>
    <n v="2343"/>
    <x v="0"/>
    <x v="35"/>
    <x v="2"/>
    <x v="1"/>
    <x v="0"/>
    <x v="0"/>
    <n v="690"/>
    <x v="1"/>
    <n v="0"/>
    <x v="1"/>
    <n v="0.31"/>
    <x v="2"/>
    <x v="11"/>
    <n v="15858"/>
    <x v="0"/>
    <x v="75"/>
    <x v="0"/>
    <n v="84"/>
    <x v="0"/>
    <x v="2"/>
    <x v="2"/>
    <x v="0"/>
    <x v="1"/>
    <x v="0"/>
    <x v="0"/>
  </r>
  <r>
    <x v="77"/>
    <n v="14666"/>
    <n v="5760"/>
    <n v="20426"/>
    <x v="0"/>
    <x v="21"/>
    <x v="1"/>
    <x v="1"/>
    <x v="2"/>
    <x v="2"/>
    <n v="752"/>
    <x v="3"/>
    <n v="2"/>
    <x v="0"/>
    <n v="0.57999999999999996"/>
    <x v="0"/>
    <x v="74"/>
    <n v="20092"/>
    <x v="0"/>
    <x v="76"/>
    <x v="2"/>
    <n v="60"/>
    <x v="3"/>
    <x v="3"/>
    <x v="1"/>
    <x v="1"/>
    <x v="1"/>
    <x v="1"/>
    <x v="0"/>
  </r>
  <r>
    <x v="78"/>
    <n v="7892"/>
    <n v="1240"/>
    <n v="9132"/>
    <x v="1"/>
    <x v="7"/>
    <x v="0"/>
    <x v="0"/>
    <x v="1"/>
    <x v="1"/>
    <n v="623"/>
    <x v="0"/>
    <n v="3"/>
    <x v="0"/>
    <n v="0.17"/>
    <x v="1"/>
    <x v="75"/>
    <n v="23243"/>
    <x v="0"/>
    <x v="77"/>
    <x v="0"/>
    <n v="48"/>
    <x v="1"/>
    <x v="4"/>
    <x v="2"/>
    <x v="1"/>
    <x v="1"/>
    <x v="2"/>
    <x v="0"/>
  </r>
  <r>
    <x v="79"/>
    <n v="5561"/>
    <n v="60"/>
    <n v="5621"/>
    <x v="0"/>
    <x v="13"/>
    <x v="2"/>
    <x v="0"/>
    <x v="1"/>
    <x v="1"/>
    <n v="601"/>
    <x v="0"/>
    <n v="3"/>
    <x v="0"/>
    <n v="0.28999999999999998"/>
    <x v="1"/>
    <x v="76"/>
    <n v="48700"/>
    <x v="0"/>
    <x v="78"/>
    <x v="2"/>
    <n v="36"/>
    <x v="4"/>
    <x v="2"/>
    <x v="1"/>
    <x v="0"/>
    <x v="1"/>
    <x v="0"/>
    <x v="0"/>
  </r>
  <r>
    <x v="80"/>
    <n v="8184"/>
    <n v="9130"/>
    <n v="17314"/>
    <x v="4"/>
    <x v="27"/>
    <x v="3"/>
    <x v="0"/>
    <x v="3"/>
    <x v="3"/>
    <n v="626"/>
    <x v="0"/>
    <n v="2"/>
    <x v="0"/>
    <n v="0.11"/>
    <x v="1"/>
    <x v="77"/>
    <n v="0"/>
    <x v="1"/>
    <x v="79"/>
    <x v="0"/>
    <n v="48"/>
    <x v="1"/>
    <x v="3"/>
    <x v="0"/>
    <x v="0"/>
    <x v="1"/>
    <x v="0"/>
    <x v="0"/>
  </r>
  <r>
    <x v="81"/>
    <n v="10392"/>
    <n v="1639"/>
    <n v="12031"/>
    <x v="1"/>
    <x v="7"/>
    <x v="0"/>
    <x v="1"/>
    <x v="1"/>
    <x v="1"/>
    <n v="718"/>
    <x v="1"/>
    <n v="0"/>
    <x v="1"/>
    <n v="0.21"/>
    <x v="1"/>
    <x v="78"/>
    <n v="0"/>
    <x v="1"/>
    <x v="80"/>
    <x v="3"/>
    <n v="12"/>
    <x v="6"/>
    <x v="4"/>
    <x v="0"/>
    <x v="0"/>
    <x v="1"/>
    <x v="0"/>
    <x v="1"/>
  </r>
  <r>
    <x v="82"/>
    <n v="15067"/>
    <n v="6185"/>
    <n v="21252"/>
    <x v="0"/>
    <x v="20"/>
    <x v="0"/>
    <x v="0"/>
    <x v="2"/>
    <x v="2"/>
    <n v="730"/>
    <x v="1"/>
    <n v="2"/>
    <x v="0"/>
    <n v="0.49"/>
    <x v="3"/>
    <x v="79"/>
    <n v="28555"/>
    <x v="0"/>
    <x v="81"/>
    <x v="2"/>
    <n v="60"/>
    <x v="3"/>
    <x v="0"/>
    <x v="0"/>
    <x v="0"/>
    <x v="1"/>
    <x v="0"/>
    <x v="0"/>
  </r>
  <r>
    <x v="83"/>
    <n v="17265"/>
    <n v="7970"/>
    <n v="25235"/>
    <x v="0"/>
    <x v="19"/>
    <x v="4"/>
    <x v="1"/>
    <x v="2"/>
    <x v="2"/>
    <n v="659"/>
    <x v="0"/>
    <n v="0"/>
    <x v="1"/>
    <n v="0.2"/>
    <x v="1"/>
    <x v="80"/>
    <n v="6398"/>
    <x v="0"/>
    <x v="82"/>
    <x v="1"/>
    <n v="48"/>
    <x v="1"/>
    <x v="4"/>
    <x v="0"/>
    <x v="0"/>
    <x v="0"/>
    <x v="1"/>
    <x v="1"/>
  </r>
  <r>
    <x v="84"/>
    <n v="4454"/>
    <n v="0"/>
    <n v="4454"/>
    <x v="0"/>
    <x v="17"/>
    <x v="1"/>
    <x v="0"/>
    <x v="0"/>
    <x v="0"/>
    <n v="727"/>
    <x v="1"/>
    <n v="1"/>
    <x v="0"/>
    <n v="0.14000000000000001"/>
    <x v="1"/>
    <x v="81"/>
    <n v="7252"/>
    <x v="0"/>
    <x v="83"/>
    <x v="2"/>
    <n v="12"/>
    <x v="6"/>
    <x v="0"/>
    <x v="1"/>
    <x v="0"/>
    <x v="0"/>
    <x v="4"/>
    <x v="0"/>
  </r>
  <r>
    <x v="85"/>
    <n v="13837"/>
    <n v="4203"/>
    <n v="18040"/>
    <x v="3"/>
    <x v="16"/>
    <x v="1"/>
    <x v="0"/>
    <x v="3"/>
    <x v="3"/>
    <n v="692"/>
    <x v="1"/>
    <n v="2"/>
    <x v="0"/>
    <n v="0.34"/>
    <x v="2"/>
    <x v="82"/>
    <n v="11721"/>
    <x v="0"/>
    <x v="84"/>
    <x v="2"/>
    <n v="24"/>
    <x v="5"/>
    <x v="2"/>
    <x v="1"/>
    <x v="0"/>
    <x v="1"/>
    <x v="0"/>
    <x v="1"/>
  </r>
  <r>
    <x v="86"/>
    <n v="16039"/>
    <n v="8363"/>
    <n v="24402"/>
    <x v="1"/>
    <x v="32"/>
    <x v="3"/>
    <x v="0"/>
    <x v="0"/>
    <x v="0"/>
    <n v="655"/>
    <x v="0"/>
    <n v="0"/>
    <x v="1"/>
    <n v="0.1"/>
    <x v="1"/>
    <x v="83"/>
    <n v="17939"/>
    <x v="0"/>
    <x v="85"/>
    <x v="1"/>
    <n v="48"/>
    <x v="1"/>
    <x v="0"/>
    <x v="0"/>
    <x v="1"/>
    <x v="1"/>
    <x v="2"/>
    <x v="1"/>
  </r>
  <r>
    <x v="87"/>
    <n v="12965"/>
    <n v="9650"/>
    <n v="22615"/>
    <x v="0"/>
    <x v="36"/>
    <x v="1"/>
    <x v="1"/>
    <x v="1"/>
    <x v="1"/>
    <n v="797"/>
    <x v="3"/>
    <n v="1"/>
    <x v="0"/>
    <n v="0.14000000000000001"/>
    <x v="1"/>
    <x v="84"/>
    <n v="11825"/>
    <x v="0"/>
    <x v="86"/>
    <x v="3"/>
    <n v="60"/>
    <x v="3"/>
    <x v="2"/>
    <x v="0"/>
    <x v="1"/>
    <x v="0"/>
    <x v="0"/>
    <x v="1"/>
  </r>
  <r>
    <x v="88"/>
    <n v="11762"/>
    <n v="3549"/>
    <n v="15311"/>
    <x v="0"/>
    <x v="7"/>
    <x v="0"/>
    <x v="1"/>
    <x v="2"/>
    <x v="2"/>
    <n v="676"/>
    <x v="1"/>
    <n v="2"/>
    <x v="0"/>
    <n v="0.5"/>
    <x v="3"/>
    <x v="85"/>
    <n v="25251"/>
    <x v="0"/>
    <x v="87"/>
    <x v="1"/>
    <n v="12"/>
    <x v="6"/>
    <x v="2"/>
    <x v="0"/>
    <x v="1"/>
    <x v="0"/>
    <x v="3"/>
    <x v="0"/>
  </r>
  <r>
    <x v="89"/>
    <n v="7056"/>
    <n v="4197"/>
    <n v="11253"/>
    <x v="3"/>
    <x v="8"/>
    <x v="0"/>
    <x v="1"/>
    <x v="0"/>
    <x v="0"/>
    <n v="556"/>
    <x v="2"/>
    <n v="3"/>
    <x v="0"/>
    <n v="0.49"/>
    <x v="3"/>
    <x v="86"/>
    <n v="36955"/>
    <x v="0"/>
    <x v="88"/>
    <x v="2"/>
    <n v="48"/>
    <x v="1"/>
    <x v="0"/>
    <x v="1"/>
    <x v="0"/>
    <x v="1"/>
    <x v="3"/>
    <x v="0"/>
  </r>
  <r>
    <x v="90"/>
    <n v="16948"/>
    <n v="7009"/>
    <n v="23957"/>
    <x v="1"/>
    <x v="33"/>
    <x v="4"/>
    <x v="0"/>
    <x v="0"/>
    <x v="0"/>
    <n v="589"/>
    <x v="0"/>
    <n v="2"/>
    <x v="0"/>
    <n v="0.56000000000000005"/>
    <x v="0"/>
    <x v="87"/>
    <n v="0"/>
    <x v="1"/>
    <x v="89"/>
    <x v="0"/>
    <n v="24"/>
    <x v="5"/>
    <x v="3"/>
    <x v="0"/>
    <x v="1"/>
    <x v="1"/>
    <x v="1"/>
    <x v="0"/>
  </r>
  <r>
    <x v="91"/>
    <n v="10110"/>
    <n v="6667"/>
    <n v="16777"/>
    <x v="0"/>
    <x v="10"/>
    <x v="0"/>
    <x v="1"/>
    <x v="2"/>
    <x v="2"/>
    <n v="705"/>
    <x v="1"/>
    <n v="4"/>
    <x v="0"/>
    <n v="0.53"/>
    <x v="0"/>
    <x v="88"/>
    <n v="36"/>
    <x v="1"/>
    <x v="90"/>
    <x v="0"/>
    <n v="48"/>
    <x v="1"/>
    <x v="0"/>
    <x v="0"/>
    <x v="1"/>
    <x v="1"/>
    <x v="0"/>
    <x v="0"/>
  </r>
  <r>
    <x v="92"/>
    <n v="15773"/>
    <n v="2322"/>
    <n v="18095"/>
    <x v="2"/>
    <x v="28"/>
    <x v="0"/>
    <x v="1"/>
    <x v="1"/>
    <x v="1"/>
    <n v="709"/>
    <x v="1"/>
    <n v="2"/>
    <x v="0"/>
    <n v="0.44"/>
    <x v="3"/>
    <x v="11"/>
    <n v="28412"/>
    <x v="0"/>
    <x v="91"/>
    <x v="2"/>
    <n v="12"/>
    <x v="6"/>
    <x v="1"/>
    <x v="0"/>
    <x v="1"/>
    <x v="1"/>
    <x v="1"/>
    <x v="0"/>
  </r>
  <r>
    <x v="93"/>
    <n v="0"/>
    <n v="0"/>
    <n v="0"/>
    <x v="0"/>
    <x v="20"/>
    <x v="0"/>
    <x v="0"/>
    <x v="3"/>
    <x v="3"/>
    <n v="550"/>
    <x v="2"/>
    <n v="4"/>
    <x v="0"/>
    <n v="0.13"/>
    <x v="1"/>
    <x v="89"/>
    <n v="18171"/>
    <x v="0"/>
    <x v="92"/>
    <x v="0"/>
    <n v="48"/>
    <x v="1"/>
    <x v="0"/>
    <x v="0"/>
    <x v="1"/>
    <x v="0"/>
    <x v="4"/>
    <x v="0"/>
  </r>
  <r>
    <x v="94"/>
    <n v="2502"/>
    <n v="4090"/>
    <n v="6592"/>
    <x v="1"/>
    <x v="37"/>
    <x v="1"/>
    <x v="1"/>
    <x v="2"/>
    <x v="2"/>
    <n v="692"/>
    <x v="1"/>
    <n v="1"/>
    <x v="0"/>
    <n v="0.49"/>
    <x v="3"/>
    <x v="90"/>
    <n v="39051"/>
    <x v="0"/>
    <x v="93"/>
    <x v="1"/>
    <n v="60"/>
    <x v="3"/>
    <x v="2"/>
    <x v="1"/>
    <x v="1"/>
    <x v="1"/>
    <x v="3"/>
    <x v="0"/>
  </r>
  <r>
    <x v="95"/>
    <n v="8910"/>
    <n v="6960"/>
    <n v="15870"/>
    <x v="1"/>
    <x v="19"/>
    <x v="4"/>
    <x v="1"/>
    <x v="1"/>
    <x v="1"/>
    <n v="789"/>
    <x v="3"/>
    <n v="2"/>
    <x v="0"/>
    <n v="0.52"/>
    <x v="0"/>
    <x v="91"/>
    <n v="32761"/>
    <x v="0"/>
    <x v="94"/>
    <x v="0"/>
    <n v="36"/>
    <x v="4"/>
    <x v="2"/>
    <x v="0"/>
    <x v="1"/>
    <x v="0"/>
    <x v="1"/>
    <x v="0"/>
  </r>
  <r>
    <x v="96"/>
    <n v="14685"/>
    <n v="3004"/>
    <n v="17689"/>
    <x v="0"/>
    <x v="3"/>
    <x v="2"/>
    <x v="1"/>
    <x v="2"/>
    <x v="2"/>
    <n v="777"/>
    <x v="3"/>
    <n v="1"/>
    <x v="0"/>
    <n v="0.5"/>
    <x v="3"/>
    <x v="92"/>
    <n v="15202"/>
    <x v="0"/>
    <x v="95"/>
    <x v="2"/>
    <n v="12"/>
    <x v="6"/>
    <x v="1"/>
    <x v="0"/>
    <x v="1"/>
    <x v="1"/>
    <x v="1"/>
    <x v="0"/>
  </r>
  <r>
    <x v="97"/>
    <n v="2206"/>
    <n v="5136"/>
    <n v="7342"/>
    <x v="3"/>
    <x v="3"/>
    <x v="2"/>
    <x v="1"/>
    <x v="0"/>
    <x v="0"/>
    <n v="634"/>
    <x v="0"/>
    <n v="1"/>
    <x v="0"/>
    <n v="0.35"/>
    <x v="2"/>
    <x v="93"/>
    <n v="8060"/>
    <x v="0"/>
    <x v="96"/>
    <x v="0"/>
    <n v="12"/>
    <x v="6"/>
    <x v="1"/>
    <x v="0"/>
    <x v="1"/>
    <x v="1"/>
    <x v="3"/>
    <x v="0"/>
  </r>
  <r>
    <x v="98"/>
    <n v="19868"/>
    <n v="329"/>
    <n v="20197"/>
    <x v="2"/>
    <x v="18"/>
    <x v="0"/>
    <x v="0"/>
    <x v="2"/>
    <x v="2"/>
    <n v="747"/>
    <x v="3"/>
    <n v="0"/>
    <x v="1"/>
    <n v="0.22"/>
    <x v="1"/>
    <x v="94"/>
    <n v="8065"/>
    <x v="0"/>
    <x v="97"/>
    <x v="0"/>
    <n v="12"/>
    <x v="6"/>
    <x v="4"/>
    <x v="0"/>
    <x v="1"/>
    <x v="0"/>
    <x v="2"/>
    <x v="1"/>
  </r>
  <r>
    <x v="99"/>
    <n v="17934"/>
    <n v="3640"/>
    <n v="21574"/>
    <x v="1"/>
    <x v="26"/>
    <x v="3"/>
    <x v="0"/>
    <x v="2"/>
    <x v="2"/>
    <n v="614"/>
    <x v="0"/>
    <n v="1"/>
    <x v="0"/>
    <n v="0.52"/>
    <x v="0"/>
    <x v="95"/>
    <n v="29873"/>
    <x v="0"/>
    <x v="98"/>
    <x v="2"/>
    <n v="12"/>
    <x v="6"/>
    <x v="3"/>
    <x v="2"/>
    <x v="1"/>
    <x v="1"/>
    <x v="4"/>
    <x v="0"/>
  </r>
  <r>
    <x v="100"/>
    <n v="19247"/>
    <n v="7982"/>
    <n v="27229"/>
    <x v="0"/>
    <x v="26"/>
    <x v="3"/>
    <x v="1"/>
    <x v="3"/>
    <x v="3"/>
    <n v="681"/>
    <x v="1"/>
    <n v="1"/>
    <x v="0"/>
    <n v="0.46"/>
    <x v="3"/>
    <x v="96"/>
    <n v="36648"/>
    <x v="0"/>
    <x v="99"/>
    <x v="2"/>
    <n v="48"/>
    <x v="1"/>
    <x v="3"/>
    <x v="0"/>
    <x v="1"/>
    <x v="1"/>
    <x v="3"/>
    <x v="0"/>
  </r>
  <r>
    <x v="101"/>
    <n v="10755"/>
    <n v="4107"/>
    <n v="14862"/>
    <x v="0"/>
    <x v="34"/>
    <x v="3"/>
    <x v="0"/>
    <x v="0"/>
    <x v="0"/>
    <n v="560"/>
    <x v="2"/>
    <n v="2"/>
    <x v="0"/>
    <n v="0.35"/>
    <x v="2"/>
    <x v="43"/>
    <n v="5932"/>
    <x v="0"/>
    <x v="100"/>
    <x v="2"/>
    <n v="60"/>
    <x v="3"/>
    <x v="3"/>
    <x v="0"/>
    <x v="1"/>
    <x v="1"/>
    <x v="1"/>
    <x v="0"/>
  </r>
  <r>
    <x v="102"/>
    <n v="14383"/>
    <n v="1341"/>
    <n v="15724"/>
    <x v="0"/>
    <x v="7"/>
    <x v="0"/>
    <x v="1"/>
    <x v="0"/>
    <x v="0"/>
    <n v="657"/>
    <x v="0"/>
    <n v="2"/>
    <x v="0"/>
    <n v="0.18"/>
    <x v="1"/>
    <x v="97"/>
    <n v="26470"/>
    <x v="0"/>
    <x v="101"/>
    <x v="0"/>
    <n v="24"/>
    <x v="5"/>
    <x v="2"/>
    <x v="1"/>
    <x v="1"/>
    <x v="1"/>
    <x v="4"/>
    <x v="1"/>
  </r>
  <r>
    <x v="103"/>
    <n v="9574"/>
    <n v="338"/>
    <n v="9912"/>
    <x v="0"/>
    <x v="15"/>
    <x v="1"/>
    <x v="1"/>
    <x v="2"/>
    <x v="2"/>
    <n v="738"/>
    <x v="1"/>
    <n v="0"/>
    <x v="1"/>
    <n v="0.21"/>
    <x v="1"/>
    <x v="98"/>
    <n v="6333"/>
    <x v="0"/>
    <x v="102"/>
    <x v="2"/>
    <n v="12"/>
    <x v="6"/>
    <x v="4"/>
    <x v="2"/>
    <x v="0"/>
    <x v="1"/>
    <x v="4"/>
    <x v="1"/>
  </r>
  <r>
    <x v="104"/>
    <n v="8374"/>
    <n v="5895"/>
    <n v="14269"/>
    <x v="1"/>
    <x v="22"/>
    <x v="2"/>
    <x v="1"/>
    <x v="1"/>
    <x v="1"/>
    <n v="714"/>
    <x v="1"/>
    <n v="1"/>
    <x v="0"/>
    <n v="0.5"/>
    <x v="3"/>
    <x v="99"/>
    <n v="46638"/>
    <x v="0"/>
    <x v="103"/>
    <x v="0"/>
    <n v="72"/>
    <x v="2"/>
    <x v="4"/>
    <x v="0"/>
    <x v="1"/>
    <x v="0"/>
    <x v="0"/>
    <x v="0"/>
  </r>
  <r>
    <x v="105"/>
    <n v="3678"/>
    <n v="2708"/>
    <n v="6386"/>
    <x v="2"/>
    <x v="14"/>
    <x v="2"/>
    <x v="0"/>
    <x v="0"/>
    <x v="0"/>
    <n v="700"/>
    <x v="1"/>
    <n v="0"/>
    <x v="1"/>
    <n v="0.19"/>
    <x v="1"/>
    <x v="100"/>
    <n v="11268"/>
    <x v="0"/>
    <x v="104"/>
    <x v="3"/>
    <n v="48"/>
    <x v="1"/>
    <x v="3"/>
    <x v="0"/>
    <x v="1"/>
    <x v="0"/>
    <x v="1"/>
    <x v="1"/>
  </r>
  <r>
    <x v="106"/>
    <n v="3059"/>
    <n v="1750"/>
    <n v="4809"/>
    <x v="0"/>
    <x v="20"/>
    <x v="0"/>
    <x v="0"/>
    <x v="0"/>
    <x v="0"/>
    <n v="770"/>
    <x v="3"/>
    <n v="4"/>
    <x v="0"/>
    <n v="0.13"/>
    <x v="1"/>
    <x v="101"/>
    <n v="5067"/>
    <x v="0"/>
    <x v="105"/>
    <x v="0"/>
    <n v="72"/>
    <x v="2"/>
    <x v="1"/>
    <x v="2"/>
    <x v="1"/>
    <x v="1"/>
    <x v="1"/>
    <x v="0"/>
  </r>
  <r>
    <x v="107"/>
    <n v="18198"/>
    <n v="5604"/>
    <n v="23802"/>
    <x v="1"/>
    <x v="3"/>
    <x v="2"/>
    <x v="0"/>
    <x v="2"/>
    <x v="2"/>
    <n v="634"/>
    <x v="0"/>
    <n v="1"/>
    <x v="0"/>
    <n v="0.6"/>
    <x v="0"/>
    <x v="102"/>
    <n v="48384"/>
    <x v="0"/>
    <x v="106"/>
    <x v="2"/>
    <n v="48"/>
    <x v="1"/>
    <x v="4"/>
    <x v="1"/>
    <x v="1"/>
    <x v="0"/>
    <x v="0"/>
    <x v="0"/>
  </r>
  <r>
    <x v="108"/>
    <n v="11914"/>
    <n v="2421"/>
    <n v="14335"/>
    <x v="0"/>
    <x v="7"/>
    <x v="0"/>
    <x v="0"/>
    <x v="0"/>
    <x v="0"/>
    <n v="789"/>
    <x v="3"/>
    <n v="0"/>
    <x v="1"/>
    <n v="0.11"/>
    <x v="1"/>
    <x v="103"/>
    <n v="0"/>
    <x v="1"/>
    <x v="36"/>
    <x v="3"/>
    <n v="12"/>
    <x v="6"/>
    <x v="1"/>
    <x v="2"/>
    <x v="1"/>
    <x v="1"/>
    <x v="0"/>
    <x v="1"/>
  </r>
  <r>
    <x v="109"/>
    <n v="12817"/>
    <n v="7119"/>
    <n v="19936"/>
    <x v="3"/>
    <x v="14"/>
    <x v="2"/>
    <x v="0"/>
    <x v="0"/>
    <x v="0"/>
    <n v="786"/>
    <x v="3"/>
    <n v="3"/>
    <x v="0"/>
    <n v="0.52"/>
    <x v="0"/>
    <x v="104"/>
    <n v="17045"/>
    <x v="0"/>
    <x v="107"/>
    <x v="0"/>
    <n v="48"/>
    <x v="1"/>
    <x v="2"/>
    <x v="0"/>
    <x v="1"/>
    <x v="1"/>
    <x v="3"/>
    <x v="0"/>
  </r>
  <r>
    <x v="110"/>
    <n v="12921"/>
    <n v="8901"/>
    <n v="21822"/>
    <x v="0"/>
    <x v="25"/>
    <x v="4"/>
    <x v="0"/>
    <x v="2"/>
    <x v="2"/>
    <n v="786"/>
    <x v="3"/>
    <n v="3"/>
    <x v="0"/>
    <n v="0.28000000000000003"/>
    <x v="1"/>
    <x v="105"/>
    <n v="0"/>
    <x v="1"/>
    <x v="108"/>
    <x v="3"/>
    <n v="12"/>
    <x v="6"/>
    <x v="4"/>
    <x v="0"/>
    <x v="1"/>
    <x v="0"/>
    <x v="1"/>
    <x v="1"/>
  </r>
  <r>
    <x v="111"/>
    <n v="11789"/>
    <n v="5319"/>
    <n v="17108"/>
    <x v="0"/>
    <x v="33"/>
    <x v="4"/>
    <x v="1"/>
    <x v="1"/>
    <x v="1"/>
    <n v="790"/>
    <x v="3"/>
    <n v="1"/>
    <x v="0"/>
    <n v="0.52"/>
    <x v="0"/>
    <x v="106"/>
    <n v="22770"/>
    <x v="0"/>
    <x v="109"/>
    <x v="2"/>
    <n v="60"/>
    <x v="3"/>
    <x v="1"/>
    <x v="0"/>
    <x v="1"/>
    <x v="1"/>
    <x v="0"/>
    <x v="0"/>
  </r>
  <r>
    <x v="112"/>
    <n v="18312"/>
    <n v="6609"/>
    <n v="24921"/>
    <x v="0"/>
    <x v="33"/>
    <x v="4"/>
    <x v="1"/>
    <x v="0"/>
    <x v="0"/>
    <n v="768"/>
    <x v="3"/>
    <n v="4"/>
    <x v="0"/>
    <n v="0.38"/>
    <x v="2"/>
    <x v="107"/>
    <n v="42770"/>
    <x v="0"/>
    <x v="110"/>
    <x v="0"/>
    <n v="84"/>
    <x v="0"/>
    <x v="3"/>
    <x v="2"/>
    <x v="1"/>
    <x v="1"/>
    <x v="3"/>
    <x v="1"/>
  </r>
  <r>
    <x v="113"/>
    <n v="13252"/>
    <n v="5387"/>
    <n v="18639"/>
    <x v="0"/>
    <x v="1"/>
    <x v="0"/>
    <x v="0"/>
    <x v="1"/>
    <x v="1"/>
    <n v="780"/>
    <x v="3"/>
    <n v="3"/>
    <x v="0"/>
    <n v="0.55000000000000004"/>
    <x v="0"/>
    <x v="108"/>
    <n v="7887"/>
    <x v="0"/>
    <x v="36"/>
    <x v="3"/>
    <n v="36"/>
    <x v="4"/>
    <x v="2"/>
    <x v="2"/>
    <x v="1"/>
    <x v="0"/>
    <x v="3"/>
    <x v="0"/>
  </r>
  <r>
    <x v="114"/>
    <n v="4693"/>
    <n v="3993"/>
    <n v="8686"/>
    <x v="2"/>
    <x v="3"/>
    <x v="2"/>
    <x v="0"/>
    <x v="1"/>
    <x v="1"/>
    <n v="550"/>
    <x v="2"/>
    <n v="3"/>
    <x v="0"/>
    <n v="0.56000000000000005"/>
    <x v="0"/>
    <x v="109"/>
    <n v="33182"/>
    <x v="0"/>
    <x v="111"/>
    <x v="2"/>
    <n v="48"/>
    <x v="1"/>
    <x v="0"/>
    <x v="0"/>
    <x v="1"/>
    <x v="0"/>
    <x v="1"/>
    <x v="0"/>
  </r>
  <r>
    <x v="115"/>
    <n v="5627"/>
    <n v="8044"/>
    <n v="13671"/>
    <x v="1"/>
    <x v="16"/>
    <x v="1"/>
    <x v="0"/>
    <x v="1"/>
    <x v="1"/>
    <n v="700"/>
    <x v="1"/>
    <n v="0"/>
    <x v="1"/>
    <n v="0.14000000000000001"/>
    <x v="1"/>
    <x v="110"/>
    <n v="39618"/>
    <x v="0"/>
    <x v="112"/>
    <x v="0"/>
    <n v="72"/>
    <x v="2"/>
    <x v="3"/>
    <x v="2"/>
    <x v="1"/>
    <x v="1"/>
    <x v="0"/>
    <x v="0"/>
  </r>
  <r>
    <x v="116"/>
    <n v="18157"/>
    <n v="8238"/>
    <n v="26395"/>
    <x v="0"/>
    <x v="4"/>
    <x v="1"/>
    <x v="0"/>
    <x v="2"/>
    <x v="2"/>
    <n v="672"/>
    <x v="1"/>
    <n v="3"/>
    <x v="0"/>
    <n v="0.23"/>
    <x v="1"/>
    <x v="111"/>
    <n v="24918"/>
    <x v="0"/>
    <x v="113"/>
    <x v="3"/>
    <n v="12"/>
    <x v="6"/>
    <x v="2"/>
    <x v="0"/>
    <x v="1"/>
    <x v="1"/>
    <x v="3"/>
    <x v="1"/>
  </r>
  <r>
    <x v="117"/>
    <n v="12173"/>
    <n v="4873"/>
    <n v="17046"/>
    <x v="4"/>
    <x v="2"/>
    <x v="1"/>
    <x v="0"/>
    <x v="3"/>
    <x v="3"/>
    <n v="550"/>
    <x v="2"/>
    <n v="2"/>
    <x v="0"/>
    <n v="0.43"/>
    <x v="3"/>
    <x v="112"/>
    <n v="35497"/>
    <x v="0"/>
    <x v="114"/>
    <x v="2"/>
    <n v="72"/>
    <x v="2"/>
    <x v="2"/>
    <x v="0"/>
    <x v="1"/>
    <x v="1"/>
    <x v="0"/>
    <x v="0"/>
  </r>
  <r>
    <x v="118"/>
    <n v="12230"/>
    <n v="4806"/>
    <n v="17036"/>
    <x v="0"/>
    <x v="33"/>
    <x v="4"/>
    <x v="0"/>
    <x v="2"/>
    <x v="2"/>
    <n v="771"/>
    <x v="3"/>
    <n v="3"/>
    <x v="0"/>
    <n v="0.54"/>
    <x v="0"/>
    <x v="113"/>
    <n v="28026"/>
    <x v="0"/>
    <x v="36"/>
    <x v="3"/>
    <n v="48"/>
    <x v="1"/>
    <x v="2"/>
    <x v="0"/>
    <x v="0"/>
    <x v="1"/>
    <x v="0"/>
    <x v="0"/>
  </r>
  <r>
    <x v="119"/>
    <n v="17707"/>
    <n v="8592"/>
    <n v="26299"/>
    <x v="1"/>
    <x v="3"/>
    <x v="2"/>
    <x v="0"/>
    <x v="1"/>
    <x v="1"/>
    <n v="738"/>
    <x v="1"/>
    <n v="0"/>
    <x v="1"/>
    <n v="0.33"/>
    <x v="2"/>
    <x v="114"/>
    <n v="11929"/>
    <x v="0"/>
    <x v="115"/>
    <x v="2"/>
    <n v="24"/>
    <x v="5"/>
    <x v="2"/>
    <x v="0"/>
    <x v="1"/>
    <x v="1"/>
    <x v="1"/>
    <x v="1"/>
  </r>
  <r>
    <x v="120"/>
    <n v="13494"/>
    <n v="5913"/>
    <n v="19407"/>
    <x v="2"/>
    <x v="13"/>
    <x v="2"/>
    <x v="1"/>
    <x v="3"/>
    <x v="3"/>
    <n v="617"/>
    <x v="0"/>
    <n v="0"/>
    <x v="1"/>
    <n v="0.4"/>
    <x v="2"/>
    <x v="115"/>
    <n v="47756"/>
    <x v="0"/>
    <x v="116"/>
    <x v="2"/>
    <n v="72"/>
    <x v="2"/>
    <x v="0"/>
    <x v="1"/>
    <x v="1"/>
    <x v="0"/>
    <x v="4"/>
    <x v="0"/>
  </r>
  <r>
    <x v="121"/>
    <n v="3306"/>
    <n v="7124"/>
    <n v="10430"/>
    <x v="0"/>
    <x v="8"/>
    <x v="0"/>
    <x v="0"/>
    <x v="2"/>
    <x v="2"/>
    <n v="653"/>
    <x v="0"/>
    <n v="1"/>
    <x v="0"/>
    <n v="0.19"/>
    <x v="1"/>
    <x v="116"/>
    <n v="36665"/>
    <x v="0"/>
    <x v="117"/>
    <x v="2"/>
    <n v="12"/>
    <x v="6"/>
    <x v="2"/>
    <x v="0"/>
    <x v="1"/>
    <x v="1"/>
    <x v="0"/>
    <x v="0"/>
  </r>
  <r>
    <x v="122"/>
    <n v="8776"/>
    <n v="3157"/>
    <n v="11933"/>
    <x v="0"/>
    <x v="20"/>
    <x v="0"/>
    <x v="0"/>
    <x v="1"/>
    <x v="1"/>
    <n v="629"/>
    <x v="0"/>
    <n v="2"/>
    <x v="0"/>
    <n v="0.5"/>
    <x v="3"/>
    <x v="117"/>
    <n v="34937"/>
    <x v="0"/>
    <x v="118"/>
    <x v="2"/>
    <n v="48"/>
    <x v="1"/>
    <x v="2"/>
    <x v="0"/>
    <x v="1"/>
    <x v="1"/>
    <x v="1"/>
    <x v="0"/>
  </r>
  <r>
    <x v="123"/>
    <n v="11474"/>
    <n v="390"/>
    <n v="11864"/>
    <x v="1"/>
    <x v="25"/>
    <x v="4"/>
    <x v="0"/>
    <x v="0"/>
    <x v="0"/>
    <n v="708"/>
    <x v="1"/>
    <n v="0"/>
    <x v="1"/>
    <n v="0.57999999999999996"/>
    <x v="0"/>
    <x v="118"/>
    <n v="13563"/>
    <x v="0"/>
    <x v="119"/>
    <x v="2"/>
    <n v="12"/>
    <x v="6"/>
    <x v="1"/>
    <x v="2"/>
    <x v="0"/>
    <x v="1"/>
    <x v="1"/>
    <x v="0"/>
  </r>
  <r>
    <x v="124"/>
    <n v="9526"/>
    <n v="0"/>
    <n v="9526"/>
    <x v="2"/>
    <x v="2"/>
    <x v="1"/>
    <x v="0"/>
    <x v="0"/>
    <x v="0"/>
    <n v="602"/>
    <x v="0"/>
    <n v="4"/>
    <x v="0"/>
    <n v="0.23"/>
    <x v="1"/>
    <x v="119"/>
    <n v="28546"/>
    <x v="0"/>
    <x v="120"/>
    <x v="1"/>
    <n v="24"/>
    <x v="5"/>
    <x v="2"/>
    <x v="1"/>
    <x v="1"/>
    <x v="1"/>
    <x v="3"/>
    <x v="0"/>
  </r>
  <r>
    <x v="125"/>
    <n v="7530"/>
    <n v="8820"/>
    <n v="16350"/>
    <x v="2"/>
    <x v="4"/>
    <x v="1"/>
    <x v="1"/>
    <x v="2"/>
    <x v="2"/>
    <n v="550"/>
    <x v="2"/>
    <n v="2"/>
    <x v="0"/>
    <n v="0.35"/>
    <x v="2"/>
    <x v="120"/>
    <n v="12888"/>
    <x v="0"/>
    <x v="36"/>
    <x v="3"/>
    <n v="36"/>
    <x v="4"/>
    <x v="4"/>
    <x v="1"/>
    <x v="1"/>
    <x v="0"/>
    <x v="1"/>
    <x v="1"/>
  </r>
  <r>
    <x v="126"/>
    <n v="5748"/>
    <n v="7686"/>
    <n v="13434"/>
    <x v="2"/>
    <x v="11"/>
    <x v="2"/>
    <x v="1"/>
    <x v="2"/>
    <x v="2"/>
    <n v="702"/>
    <x v="1"/>
    <n v="2"/>
    <x v="0"/>
    <n v="0.14000000000000001"/>
    <x v="1"/>
    <x v="121"/>
    <n v="37338"/>
    <x v="0"/>
    <x v="121"/>
    <x v="2"/>
    <n v="48"/>
    <x v="1"/>
    <x v="4"/>
    <x v="2"/>
    <x v="1"/>
    <x v="1"/>
    <x v="1"/>
    <x v="1"/>
  </r>
  <r>
    <x v="127"/>
    <n v="2663"/>
    <n v="8007"/>
    <n v="10670"/>
    <x v="0"/>
    <x v="38"/>
    <x v="1"/>
    <x v="0"/>
    <x v="1"/>
    <x v="1"/>
    <n v="689"/>
    <x v="1"/>
    <n v="3"/>
    <x v="0"/>
    <n v="0.35"/>
    <x v="2"/>
    <x v="122"/>
    <n v="16958"/>
    <x v="0"/>
    <x v="122"/>
    <x v="1"/>
    <n v="24"/>
    <x v="5"/>
    <x v="2"/>
    <x v="1"/>
    <x v="1"/>
    <x v="0"/>
    <x v="0"/>
    <x v="0"/>
  </r>
  <r>
    <x v="128"/>
    <n v="3998"/>
    <n v="1521"/>
    <n v="5519"/>
    <x v="2"/>
    <x v="1"/>
    <x v="0"/>
    <x v="1"/>
    <x v="1"/>
    <x v="1"/>
    <n v="639"/>
    <x v="0"/>
    <n v="4"/>
    <x v="0"/>
    <n v="0.17"/>
    <x v="1"/>
    <x v="123"/>
    <n v="12634"/>
    <x v="0"/>
    <x v="123"/>
    <x v="0"/>
    <n v="60"/>
    <x v="3"/>
    <x v="1"/>
    <x v="2"/>
    <x v="1"/>
    <x v="0"/>
    <x v="0"/>
    <x v="0"/>
  </r>
  <r>
    <x v="129"/>
    <n v="9994"/>
    <n v="9018"/>
    <n v="19012"/>
    <x v="1"/>
    <x v="29"/>
    <x v="2"/>
    <x v="1"/>
    <x v="1"/>
    <x v="1"/>
    <n v="550"/>
    <x v="2"/>
    <n v="4"/>
    <x v="0"/>
    <n v="0.32"/>
    <x v="2"/>
    <x v="124"/>
    <n v="19251"/>
    <x v="0"/>
    <x v="124"/>
    <x v="0"/>
    <n v="48"/>
    <x v="1"/>
    <x v="2"/>
    <x v="0"/>
    <x v="1"/>
    <x v="1"/>
    <x v="3"/>
    <x v="0"/>
  </r>
  <r>
    <x v="130"/>
    <n v="19879"/>
    <n v="1500"/>
    <n v="21379"/>
    <x v="4"/>
    <x v="37"/>
    <x v="1"/>
    <x v="1"/>
    <x v="2"/>
    <x v="2"/>
    <n v="789"/>
    <x v="3"/>
    <n v="3"/>
    <x v="0"/>
    <n v="0.27"/>
    <x v="1"/>
    <x v="125"/>
    <n v="46566"/>
    <x v="0"/>
    <x v="125"/>
    <x v="0"/>
    <n v="24"/>
    <x v="5"/>
    <x v="3"/>
    <x v="1"/>
    <x v="0"/>
    <x v="0"/>
    <x v="0"/>
    <x v="1"/>
  </r>
  <r>
    <x v="131"/>
    <n v="5304"/>
    <n v="6737"/>
    <n v="12041"/>
    <x v="2"/>
    <x v="37"/>
    <x v="1"/>
    <x v="0"/>
    <x v="3"/>
    <x v="3"/>
    <n v="646"/>
    <x v="0"/>
    <n v="3"/>
    <x v="0"/>
    <n v="0.36"/>
    <x v="2"/>
    <x v="126"/>
    <n v="19928"/>
    <x v="0"/>
    <x v="126"/>
    <x v="2"/>
    <n v="36"/>
    <x v="4"/>
    <x v="0"/>
    <x v="0"/>
    <x v="1"/>
    <x v="1"/>
    <x v="3"/>
    <x v="0"/>
  </r>
  <r>
    <x v="132"/>
    <n v="15808"/>
    <n v="3294"/>
    <n v="19102"/>
    <x v="2"/>
    <x v="1"/>
    <x v="0"/>
    <x v="0"/>
    <x v="3"/>
    <x v="3"/>
    <n v="769"/>
    <x v="3"/>
    <n v="3"/>
    <x v="0"/>
    <n v="0.39"/>
    <x v="2"/>
    <x v="127"/>
    <n v="37245"/>
    <x v="0"/>
    <x v="127"/>
    <x v="2"/>
    <n v="12"/>
    <x v="6"/>
    <x v="2"/>
    <x v="0"/>
    <x v="0"/>
    <x v="1"/>
    <x v="0"/>
    <x v="1"/>
  </r>
  <r>
    <x v="133"/>
    <n v="8585"/>
    <n v="0"/>
    <n v="8585"/>
    <x v="4"/>
    <x v="2"/>
    <x v="1"/>
    <x v="0"/>
    <x v="3"/>
    <x v="3"/>
    <n v="558"/>
    <x v="2"/>
    <n v="3"/>
    <x v="0"/>
    <n v="0.1"/>
    <x v="1"/>
    <x v="128"/>
    <n v="16455"/>
    <x v="0"/>
    <x v="128"/>
    <x v="0"/>
    <n v="48"/>
    <x v="1"/>
    <x v="4"/>
    <x v="1"/>
    <x v="1"/>
    <x v="1"/>
    <x v="0"/>
    <x v="0"/>
  </r>
  <r>
    <x v="134"/>
    <n v="19675"/>
    <n v="2419"/>
    <n v="22094"/>
    <x v="1"/>
    <x v="11"/>
    <x v="2"/>
    <x v="1"/>
    <x v="3"/>
    <x v="3"/>
    <n v="561"/>
    <x v="2"/>
    <n v="3"/>
    <x v="0"/>
    <n v="0.48"/>
    <x v="3"/>
    <x v="129"/>
    <n v="27144"/>
    <x v="0"/>
    <x v="129"/>
    <x v="2"/>
    <n v="72"/>
    <x v="2"/>
    <x v="4"/>
    <x v="2"/>
    <x v="1"/>
    <x v="1"/>
    <x v="2"/>
    <x v="0"/>
  </r>
  <r>
    <x v="135"/>
    <n v="13649"/>
    <n v="9126"/>
    <n v="22775"/>
    <x v="0"/>
    <x v="3"/>
    <x v="2"/>
    <x v="0"/>
    <x v="3"/>
    <x v="3"/>
    <n v="618"/>
    <x v="0"/>
    <n v="4"/>
    <x v="0"/>
    <n v="0.46"/>
    <x v="3"/>
    <x v="130"/>
    <n v="28013"/>
    <x v="0"/>
    <x v="130"/>
    <x v="0"/>
    <n v="24"/>
    <x v="5"/>
    <x v="1"/>
    <x v="0"/>
    <x v="1"/>
    <x v="1"/>
    <x v="1"/>
    <x v="0"/>
  </r>
  <r>
    <x v="136"/>
    <n v="3636"/>
    <n v="3042"/>
    <n v="6678"/>
    <x v="1"/>
    <x v="25"/>
    <x v="4"/>
    <x v="0"/>
    <x v="2"/>
    <x v="2"/>
    <n v="731"/>
    <x v="1"/>
    <n v="1"/>
    <x v="0"/>
    <n v="0.28000000000000003"/>
    <x v="1"/>
    <x v="131"/>
    <n v="21876"/>
    <x v="0"/>
    <x v="131"/>
    <x v="2"/>
    <n v="36"/>
    <x v="4"/>
    <x v="2"/>
    <x v="0"/>
    <x v="0"/>
    <x v="1"/>
    <x v="4"/>
    <x v="0"/>
  </r>
  <r>
    <x v="137"/>
    <n v="19082"/>
    <n v="4497"/>
    <n v="23579"/>
    <x v="1"/>
    <x v="30"/>
    <x v="2"/>
    <x v="1"/>
    <x v="2"/>
    <x v="2"/>
    <n v="793"/>
    <x v="3"/>
    <n v="1"/>
    <x v="0"/>
    <n v="0.13"/>
    <x v="1"/>
    <x v="132"/>
    <n v="26962"/>
    <x v="0"/>
    <x v="132"/>
    <x v="3"/>
    <n v="24"/>
    <x v="5"/>
    <x v="0"/>
    <x v="2"/>
    <x v="1"/>
    <x v="1"/>
    <x v="0"/>
    <x v="1"/>
  </r>
  <r>
    <x v="138"/>
    <n v="6737"/>
    <n v="1466"/>
    <n v="8203"/>
    <x v="2"/>
    <x v="3"/>
    <x v="2"/>
    <x v="1"/>
    <x v="3"/>
    <x v="3"/>
    <n v="731"/>
    <x v="1"/>
    <n v="0"/>
    <x v="1"/>
    <n v="0.48"/>
    <x v="3"/>
    <x v="133"/>
    <n v="28084"/>
    <x v="0"/>
    <x v="133"/>
    <x v="3"/>
    <n v="60"/>
    <x v="3"/>
    <x v="2"/>
    <x v="0"/>
    <x v="1"/>
    <x v="0"/>
    <x v="0"/>
    <x v="0"/>
  </r>
  <r>
    <x v="139"/>
    <n v="16555"/>
    <n v="3561"/>
    <n v="20116"/>
    <x v="2"/>
    <x v="9"/>
    <x v="2"/>
    <x v="1"/>
    <x v="2"/>
    <x v="2"/>
    <n v="577"/>
    <x v="2"/>
    <n v="1"/>
    <x v="0"/>
    <n v="0.57999999999999996"/>
    <x v="0"/>
    <x v="134"/>
    <n v="42319"/>
    <x v="0"/>
    <x v="134"/>
    <x v="2"/>
    <n v="84"/>
    <x v="0"/>
    <x v="2"/>
    <x v="0"/>
    <x v="1"/>
    <x v="1"/>
    <x v="3"/>
    <x v="0"/>
  </r>
  <r>
    <x v="140"/>
    <n v="15877"/>
    <n v="0"/>
    <n v="15877"/>
    <x v="2"/>
    <x v="20"/>
    <x v="0"/>
    <x v="0"/>
    <x v="2"/>
    <x v="2"/>
    <n v="605"/>
    <x v="0"/>
    <n v="1"/>
    <x v="0"/>
    <n v="0.22"/>
    <x v="1"/>
    <x v="135"/>
    <n v="21143"/>
    <x v="0"/>
    <x v="36"/>
    <x v="3"/>
    <n v="84"/>
    <x v="0"/>
    <x v="4"/>
    <x v="2"/>
    <x v="0"/>
    <x v="1"/>
    <x v="0"/>
    <x v="0"/>
  </r>
  <r>
    <x v="141"/>
    <n v="2854"/>
    <n v="5392"/>
    <n v="8246"/>
    <x v="0"/>
    <x v="21"/>
    <x v="1"/>
    <x v="1"/>
    <x v="3"/>
    <x v="3"/>
    <n v="648"/>
    <x v="0"/>
    <n v="4"/>
    <x v="0"/>
    <n v="0.26"/>
    <x v="1"/>
    <x v="136"/>
    <n v="26091"/>
    <x v="0"/>
    <x v="135"/>
    <x v="3"/>
    <n v="48"/>
    <x v="1"/>
    <x v="0"/>
    <x v="1"/>
    <x v="1"/>
    <x v="0"/>
    <x v="1"/>
    <x v="0"/>
  </r>
  <r>
    <x v="142"/>
    <n v="7855"/>
    <n v="7693"/>
    <n v="15548"/>
    <x v="2"/>
    <x v="29"/>
    <x v="2"/>
    <x v="0"/>
    <x v="1"/>
    <x v="1"/>
    <n v="746"/>
    <x v="3"/>
    <n v="3"/>
    <x v="0"/>
    <n v="0.19"/>
    <x v="1"/>
    <x v="137"/>
    <n v="14179"/>
    <x v="0"/>
    <x v="36"/>
    <x v="3"/>
    <n v="12"/>
    <x v="6"/>
    <x v="2"/>
    <x v="2"/>
    <x v="1"/>
    <x v="1"/>
    <x v="0"/>
    <x v="1"/>
  </r>
  <r>
    <x v="143"/>
    <n v="9392"/>
    <n v="9374"/>
    <n v="18766"/>
    <x v="2"/>
    <x v="34"/>
    <x v="3"/>
    <x v="0"/>
    <x v="2"/>
    <x v="2"/>
    <n v="550"/>
    <x v="2"/>
    <n v="3"/>
    <x v="0"/>
    <n v="0.35"/>
    <x v="2"/>
    <x v="138"/>
    <n v="32807"/>
    <x v="0"/>
    <x v="136"/>
    <x v="0"/>
    <n v="36"/>
    <x v="4"/>
    <x v="4"/>
    <x v="2"/>
    <x v="1"/>
    <x v="0"/>
    <x v="0"/>
    <x v="1"/>
  </r>
  <r>
    <x v="144"/>
    <n v="15949"/>
    <n v="3223"/>
    <n v="19172"/>
    <x v="1"/>
    <x v="23"/>
    <x v="0"/>
    <x v="0"/>
    <x v="1"/>
    <x v="1"/>
    <n v="659"/>
    <x v="0"/>
    <n v="4"/>
    <x v="0"/>
    <n v="0.18"/>
    <x v="1"/>
    <x v="139"/>
    <n v="10222"/>
    <x v="0"/>
    <x v="137"/>
    <x v="3"/>
    <n v="24"/>
    <x v="5"/>
    <x v="0"/>
    <x v="2"/>
    <x v="0"/>
    <x v="0"/>
    <x v="3"/>
    <x v="1"/>
  </r>
  <r>
    <x v="145"/>
    <n v="7791"/>
    <n v="7138"/>
    <n v="14929"/>
    <x v="2"/>
    <x v="7"/>
    <x v="0"/>
    <x v="0"/>
    <x v="2"/>
    <x v="2"/>
    <n v="775"/>
    <x v="3"/>
    <n v="1"/>
    <x v="0"/>
    <n v="0.28000000000000003"/>
    <x v="1"/>
    <x v="11"/>
    <n v="23949"/>
    <x v="0"/>
    <x v="138"/>
    <x v="2"/>
    <n v="48"/>
    <x v="1"/>
    <x v="2"/>
    <x v="2"/>
    <x v="0"/>
    <x v="1"/>
    <x v="3"/>
    <x v="1"/>
  </r>
  <r>
    <x v="146"/>
    <n v="6931"/>
    <n v="2667"/>
    <n v="9598"/>
    <x v="2"/>
    <x v="25"/>
    <x v="4"/>
    <x v="0"/>
    <x v="2"/>
    <x v="2"/>
    <n v="626"/>
    <x v="0"/>
    <n v="4"/>
    <x v="0"/>
    <n v="0.45"/>
    <x v="3"/>
    <x v="140"/>
    <n v="16116"/>
    <x v="0"/>
    <x v="139"/>
    <x v="0"/>
    <n v="24"/>
    <x v="5"/>
    <x v="4"/>
    <x v="0"/>
    <x v="1"/>
    <x v="1"/>
    <x v="4"/>
    <x v="0"/>
  </r>
  <r>
    <x v="147"/>
    <n v="2202"/>
    <n v="7980"/>
    <n v="10182"/>
    <x v="0"/>
    <x v="9"/>
    <x v="2"/>
    <x v="1"/>
    <x v="3"/>
    <x v="3"/>
    <n v="652"/>
    <x v="0"/>
    <n v="0"/>
    <x v="1"/>
    <n v="0.38"/>
    <x v="2"/>
    <x v="141"/>
    <n v="48817"/>
    <x v="0"/>
    <x v="140"/>
    <x v="2"/>
    <n v="48"/>
    <x v="1"/>
    <x v="1"/>
    <x v="0"/>
    <x v="1"/>
    <x v="0"/>
    <x v="4"/>
    <x v="0"/>
  </r>
  <r>
    <x v="148"/>
    <n v="13447"/>
    <n v="130"/>
    <n v="13577"/>
    <x v="1"/>
    <x v="26"/>
    <x v="3"/>
    <x v="0"/>
    <x v="2"/>
    <x v="2"/>
    <n v="655"/>
    <x v="0"/>
    <n v="3"/>
    <x v="0"/>
    <n v="0.28999999999999998"/>
    <x v="1"/>
    <x v="142"/>
    <n v="37564"/>
    <x v="0"/>
    <x v="141"/>
    <x v="0"/>
    <n v="84"/>
    <x v="0"/>
    <x v="4"/>
    <x v="0"/>
    <x v="0"/>
    <x v="0"/>
    <x v="1"/>
    <x v="1"/>
  </r>
  <r>
    <x v="149"/>
    <n v="14688"/>
    <n v="2983"/>
    <n v="17671"/>
    <x v="0"/>
    <x v="27"/>
    <x v="3"/>
    <x v="1"/>
    <x v="0"/>
    <x v="0"/>
    <n v="658"/>
    <x v="0"/>
    <n v="0"/>
    <x v="1"/>
    <n v="0.31"/>
    <x v="2"/>
    <x v="143"/>
    <n v="37374"/>
    <x v="0"/>
    <x v="142"/>
    <x v="2"/>
    <n v="60"/>
    <x v="3"/>
    <x v="2"/>
    <x v="0"/>
    <x v="0"/>
    <x v="0"/>
    <x v="1"/>
    <x v="1"/>
  </r>
  <r>
    <x v="150"/>
    <n v="6389"/>
    <n v="0"/>
    <n v="6389"/>
    <x v="0"/>
    <x v="3"/>
    <x v="2"/>
    <x v="0"/>
    <x v="0"/>
    <x v="0"/>
    <n v="661"/>
    <x v="0"/>
    <n v="0"/>
    <x v="1"/>
    <n v="0.38"/>
    <x v="2"/>
    <x v="144"/>
    <n v="17667"/>
    <x v="0"/>
    <x v="143"/>
    <x v="0"/>
    <n v="24"/>
    <x v="5"/>
    <x v="0"/>
    <x v="0"/>
    <x v="1"/>
    <x v="1"/>
    <x v="4"/>
    <x v="1"/>
  </r>
  <r>
    <x v="151"/>
    <n v="4327"/>
    <n v="7126"/>
    <n v="11453"/>
    <x v="1"/>
    <x v="19"/>
    <x v="4"/>
    <x v="0"/>
    <x v="3"/>
    <x v="3"/>
    <n v="607"/>
    <x v="0"/>
    <n v="0"/>
    <x v="1"/>
    <n v="0.1"/>
    <x v="1"/>
    <x v="145"/>
    <n v="8775"/>
    <x v="0"/>
    <x v="144"/>
    <x v="0"/>
    <n v="60"/>
    <x v="3"/>
    <x v="1"/>
    <x v="2"/>
    <x v="0"/>
    <x v="0"/>
    <x v="0"/>
    <x v="0"/>
  </r>
  <r>
    <x v="152"/>
    <n v="10004"/>
    <n v="8230"/>
    <n v="18234"/>
    <x v="2"/>
    <x v="35"/>
    <x v="2"/>
    <x v="0"/>
    <x v="1"/>
    <x v="1"/>
    <n v="627"/>
    <x v="0"/>
    <n v="4"/>
    <x v="0"/>
    <n v="0.14000000000000001"/>
    <x v="1"/>
    <x v="146"/>
    <n v="29655"/>
    <x v="0"/>
    <x v="145"/>
    <x v="0"/>
    <n v="72"/>
    <x v="2"/>
    <x v="4"/>
    <x v="0"/>
    <x v="1"/>
    <x v="1"/>
    <x v="0"/>
    <x v="0"/>
  </r>
  <r>
    <x v="153"/>
    <n v="9777"/>
    <n v="7694"/>
    <n v="17471"/>
    <x v="0"/>
    <x v="7"/>
    <x v="0"/>
    <x v="0"/>
    <x v="1"/>
    <x v="1"/>
    <n v="624"/>
    <x v="0"/>
    <n v="1"/>
    <x v="0"/>
    <n v="0.54"/>
    <x v="0"/>
    <x v="147"/>
    <n v="47632"/>
    <x v="0"/>
    <x v="146"/>
    <x v="3"/>
    <n v="72"/>
    <x v="2"/>
    <x v="1"/>
    <x v="0"/>
    <x v="1"/>
    <x v="1"/>
    <x v="2"/>
    <x v="0"/>
  </r>
  <r>
    <x v="154"/>
    <n v="2197"/>
    <n v="6640"/>
    <n v="8837"/>
    <x v="0"/>
    <x v="32"/>
    <x v="3"/>
    <x v="0"/>
    <x v="1"/>
    <x v="1"/>
    <n v="550"/>
    <x v="2"/>
    <n v="0"/>
    <x v="1"/>
    <n v="0.14000000000000001"/>
    <x v="1"/>
    <x v="148"/>
    <n v="14193"/>
    <x v="0"/>
    <x v="147"/>
    <x v="0"/>
    <n v="84"/>
    <x v="0"/>
    <x v="4"/>
    <x v="2"/>
    <x v="0"/>
    <x v="1"/>
    <x v="0"/>
    <x v="0"/>
  </r>
  <r>
    <x v="155"/>
    <n v="3930"/>
    <n v="5468"/>
    <n v="9398"/>
    <x v="1"/>
    <x v="8"/>
    <x v="0"/>
    <x v="0"/>
    <x v="0"/>
    <x v="0"/>
    <n v="715"/>
    <x v="1"/>
    <n v="2"/>
    <x v="0"/>
    <n v="0.45"/>
    <x v="3"/>
    <x v="149"/>
    <n v="14676"/>
    <x v="0"/>
    <x v="148"/>
    <x v="0"/>
    <n v="36"/>
    <x v="4"/>
    <x v="4"/>
    <x v="1"/>
    <x v="1"/>
    <x v="1"/>
    <x v="0"/>
    <x v="0"/>
  </r>
  <r>
    <x v="156"/>
    <n v="13774"/>
    <n v="920"/>
    <n v="14694"/>
    <x v="0"/>
    <x v="20"/>
    <x v="0"/>
    <x v="0"/>
    <x v="1"/>
    <x v="1"/>
    <n v="617"/>
    <x v="0"/>
    <n v="0"/>
    <x v="1"/>
    <n v="0.56000000000000005"/>
    <x v="0"/>
    <x v="150"/>
    <n v="30776"/>
    <x v="0"/>
    <x v="149"/>
    <x v="3"/>
    <n v="60"/>
    <x v="3"/>
    <x v="3"/>
    <x v="2"/>
    <x v="0"/>
    <x v="0"/>
    <x v="1"/>
    <x v="0"/>
  </r>
  <r>
    <x v="157"/>
    <n v="17087"/>
    <n v="7564"/>
    <n v="24651"/>
    <x v="0"/>
    <x v="35"/>
    <x v="2"/>
    <x v="0"/>
    <x v="1"/>
    <x v="1"/>
    <n v="550"/>
    <x v="2"/>
    <n v="2"/>
    <x v="0"/>
    <n v="0.24"/>
    <x v="1"/>
    <x v="151"/>
    <n v="43225"/>
    <x v="0"/>
    <x v="150"/>
    <x v="0"/>
    <n v="48"/>
    <x v="1"/>
    <x v="3"/>
    <x v="0"/>
    <x v="1"/>
    <x v="0"/>
    <x v="4"/>
    <x v="1"/>
  </r>
  <r>
    <x v="158"/>
    <n v="13589"/>
    <n v="9323"/>
    <n v="22912"/>
    <x v="0"/>
    <x v="25"/>
    <x v="4"/>
    <x v="1"/>
    <x v="1"/>
    <x v="1"/>
    <n v="620"/>
    <x v="0"/>
    <n v="1"/>
    <x v="0"/>
    <n v="0.38"/>
    <x v="2"/>
    <x v="152"/>
    <n v="48812"/>
    <x v="0"/>
    <x v="151"/>
    <x v="2"/>
    <n v="24"/>
    <x v="5"/>
    <x v="1"/>
    <x v="2"/>
    <x v="0"/>
    <x v="1"/>
    <x v="0"/>
    <x v="0"/>
  </r>
  <r>
    <x v="159"/>
    <n v="17708"/>
    <n v="8502"/>
    <n v="26210"/>
    <x v="0"/>
    <x v="19"/>
    <x v="4"/>
    <x v="0"/>
    <x v="0"/>
    <x v="0"/>
    <n v="605"/>
    <x v="0"/>
    <n v="2"/>
    <x v="0"/>
    <n v="0.54"/>
    <x v="0"/>
    <x v="153"/>
    <n v="15066"/>
    <x v="0"/>
    <x v="152"/>
    <x v="1"/>
    <n v="24"/>
    <x v="5"/>
    <x v="2"/>
    <x v="0"/>
    <x v="1"/>
    <x v="1"/>
    <x v="2"/>
    <x v="0"/>
  </r>
  <r>
    <x v="160"/>
    <n v="19043"/>
    <n v="8930"/>
    <n v="27973"/>
    <x v="0"/>
    <x v="8"/>
    <x v="0"/>
    <x v="1"/>
    <x v="0"/>
    <x v="0"/>
    <n v="654"/>
    <x v="0"/>
    <n v="3"/>
    <x v="0"/>
    <n v="0.35"/>
    <x v="2"/>
    <x v="154"/>
    <n v="18895"/>
    <x v="0"/>
    <x v="153"/>
    <x v="0"/>
    <n v="48"/>
    <x v="1"/>
    <x v="4"/>
    <x v="2"/>
    <x v="1"/>
    <x v="0"/>
    <x v="4"/>
    <x v="0"/>
  </r>
  <r>
    <x v="161"/>
    <n v="4811"/>
    <n v="3241"/>
    <n v="8052"/>
    <x v="0"/>
    <x v="30"/>
    <x v="2"/>
    <x v="1"/>
    <x v="0"/>
    <x v="0"/>
    <n v="749"/>
    <x v="3"/>
    <n v="1"/>
    <x v="0"/>
    <n v="0.47"/>
    <x v="3"/>
    <x v="155"/>
    <n v="246"/>
    <x v="0"/>
    <x v="154"/>
    <x v="2"/>
    <n v="12"/>
    <x v="6"/>
    <x v="0"/>
    <x v="0"/>
    <x v="0"/>
    <x v="1"/>
    <x v="3"/>
    <x v="0"/>
  </r>
  <r>
    <x v="162"/>
    <n v="16243"/>
    <n v="545"/>
    <n v="16788"/>
    <x v="2"/>
    <x v="30"/>
    <x v="2"/>
    <x v="0"/>
    <x v="3"/>
    <x v="3"/>
    <n v="650"/>
    <x v="0"/>
    <n v="2"/>
    <x v="0"/>
    <n v="0.14000000000000001"/>
    <x v="1"/>
    <x v="156"/>
    <n v="21209"/>
    <x v="0"/>
    <x v="155"/>
    <x v="2"/>
    <n v="12"/>
    <x v="6"/>
    <x v="3"/>
    <x v="1"/>
    <x v="1"/>
    <x v="0"/>
    <x v="0"/>
    <x v="0"/>
  </r>
  <r>
    <x v="163"/>
    <n v="8546"/>
    <n v="4346"/>
    <n v="12892"/>
    <x v="1"/>
    <x v="2"/>
    <x v="1"/>
    <x v="1"/>
    <x v="0"/>
    <x v="0"/>
    <n v="600"/>
    <x v="0"/>
    <n v="0"/>
    <x v="1"/>
    <n v="0.43"/>
    <x v="3"/>
    <x v="157"/>
    <n v="39284"/>
    <x v="0"/>
    <x v="156"/>
    <x v="2"/>
    <n v="24"/>
    <x v="5"/>
    <x v="1"/>
    <x v="0"/>
    <x v="1"/>
    <x v="0"/>
    <x v="0"/>
    <x v="0"/>
  </r>
  <r>
    <x v="164"/>
    <n v="3986"/>
    <n v="9996"/>
    <n v="13982"/>
    <x v="2"/>
    <x v="0"/>
    <x v="0"/>
    <x v="0"/>
    <x v="2"/>
    <x v="2"/>
    <n v="623"/>
    <x v="0"/>
    <n v="2"/>
    <x v="0"/>
    <n v="0.31"/>
    <x v="2"/>
    <x v="158"/>
    <n v="16800"/>
    <x v="0"/>
    <x v="157"/>
    <x v="3"/>
    <n v="84"/>
    <x v="0"/>
    <x v="1"/>
    <x v="0"/>
    <x v="0"/>
    <x v="0"/>
    <x v="0"/>
    <x v="0"/>
  </r>
  <r>
    <x v="165"/>
    <n v="10338"/>
    <n v="3810"/>
    <n v="14148"/>
    <x v="0"/>
    <x v="12"/>
    <x v="1"/>
    <x v="1"/>
    <x v="1"/>
    <x v="1"/>
    <n v="720"/>
    <x v="1"/>
    <n v="2"/>
    <x v="0"/>
    <n v="0.34"/>
    <x v="2"/>
    <x v="159"/>
    <n v="46110"/>
    <x v="0"/>
    <x v="158"/>
    <x v="3"/>
    <n v="84"/>
    <x v="0"/>
    <x v="1"/>
    <x v="1"/>
    <x v="1"/>
    <x v="1"/>
    <x v="0"/>
    <x v="1"/>
  </r>
  <r>
    <x v="166"/>
    <n v="13411"/>
    <n v="7206"/>
    <n v="20617"/>
    <x v="0"/>
    <x v="27"/>
    <x v="3"/>
    <x v="1"/>
    <x v="3"/>
    <x v="3"/>
    <n v="670"/>
    <x v="0"/>
    <n v="4"/>
    <x v="0"/>
    <n v="0.12"/>
    <x v="1"/>
    <x v="160"/>
    <n v="0"/>
    <x v="1"/>
    <x v="159"/>
    <x v="3"/>
    <n v="48"/>
    <x v="1"/>
    <x v="0"/>
    <x v="0"/>
    <x v="0"/>
    <x v="0"/>
    <x v="0"/>
    <x v="1"/>
  </r>
  <r>
    <x v="167"/>
    <n v="4911"/>
    <n v="9005"/>
    <n v="13916"/>
    <x v="2"/>
    <x v="16"/>
    <x v="1"/>
    <x v="0"/>
    <x v="0"/>
    <x v="0"/>
    <n v="692"/>
    <x v="1"/>
    <n v="1"/>
    <x v="0"/>
    <n v="0.2"/>
    <x v="1"/>
    <x v="161"/>
    <n v="20101"/>
    <x v="0"/>
    <x v="160"/>
    <x v="3"/>
    <n v="12"/>
    <x v="6"/>
    <x v="0"/>
    <x v="0"/>
    <x v="0"/>
    <x v="0"/>
    <x v="0"/>
    <x v="1"/>
  </r>
  <r>
    <x v="168"/>
    <n v="3734"/>
    <n v="0"/>
    <n v="3734"/>
    <x v="0"/>
    <x v="37"/>
    <x v="1"/>
    <x v="0"/>
    <x v="0"/>
    <x v="0"/>
    <n v="715"/>
    <x v="1"/>
    <n v="3"/>
    <x v="0"/>
    <n v="0.5"/>
    <x v="3"/>
    <x v="11"/>
    <n v="16491"/>
    <x v="0"/>
    <x v="161"/>
    <x v="1"/>
    <n v="60"/>
    <x v="3"/>
    <x v="3"/>
    <x v="1"/>
    <x v="1"/>
    <x v="1"/>
    <x v="1"/>
    <x v="0"/>
  </r>
  <r>
    <x v="169"/>
    <n v="10680"/>
    <n v="0"/>
    <n v="10680"/>
    <x v="0"/>
    <x v="34"/>
    <x v="3"/>
    <x v="0"/>
    <x v="3"/>
    <x v="3"/>
    <n v="692"/>
    <x v="1"/>
    <n v="3"/>
    <x v="0"/>
    <n v="0.35"/>
    <x v="2"/>
    <x v="162"/>
    <n v="27207"/>
    <x v="0"/>
    <x v="162"/>
    <x v="2"/>
    <n v="24"/>
    <x v="5"/>
    <x v="0"/>
    <x v="0"/>
    <x v="1"/>
    <x v="0"/>
    <x v="4"/>
    <x v="1"/>
  </r>
  <r>
    <x v="170"/>
    <n v="7759"/>
    <n v="271"/>
    <n v="8030"/>
    <x v="1"/>
    <x v="6"/>
    <x v="3"/>
    <x v="1"/>
    <x v="3"/>
    <x v="3"/>
    <n v="554"/>
    <x v="2"/>
    <n v="4"/>
    <x v="0"/>
    <n v="0.25"/>
    <x v="1"/>
    <x v="163"/>
    <n v="41798"/>
    <x v="0"/>
    <x v="163"/>
    <x v="2"/>
    <n v="72"/>
    <x v="2"/>
    <x v="3"/>
    <x v="0"/>
    <x v="0"/>
    <x v="1"/>
    <x v="3"/>
    <x v="0"/>
  </r>
  <r>
    <x v="171"/>
    <n v="4385"/>
    <n v="3511"/>
    <n v="7896"/>
    <x v="1"/>
    <x v="11"/>
    <x v="2"/>
    <x v="1"/>
    <x v="3"/>
    <x v="3"/>
    <n v="770"/>
    <x v="3"/>
    <n v="0"/>
    <x v="1"/>
    <n v="0.28999999999999998"/>
    <x v="1"/>
    <x v="164"/>
    <n v="20897"/>
    <x v="0"/>
    <x v="164"/>
    <x v="1"/>
    <n v="60"/>
    <x v="3"/>
    <x v="0"/>
    <x v="0"/>
    <x v="1"/>
    <x v="1"/>
    <x v="0"/>
    <x v="0"/>
  </r>
  <r>
    <x v="172"/>
    <n v="13111"/>
    <n v="1771"/>
    <n v="14882"/>
    <x v="0"/>
    <x v="3"/>
    <x v="2"/>
    <x v="0"/>
    <x v="0"/>
    <x v="0"/>
    <n v="632"/>
    <x v="0"/>
    <n v="2"/>
    <x v="0"/>
    <n v="0.53"/>
    <x v="0"/>
    <x v="165"/>
    <n v="29492"/>
    <x v="0"/>
    <x v="165"/>
    <x v="0"/>
    <n v="48"/>
    <x v="1"/>
    <x v="0"/>
    <x v="0"/>
    <x v="1"/>
    <x v="0"/>
    <x v="1"/>
    <x v="0"/>
  </r>
  <r>
    <x v="173"/>
    <n v="6736"/>
    <n v="9454"/>
    <n v="16190"/>
    <x v="0"/>
    <x v="3"/>
    <x v="2"/>
    <x v="0"/>
    <x v="0"/>
    <x v="0"/>
    <n v="731"/>
    <x v="1"/>
    <n v="4"/>
    <x v="0"/>
    <n v="0.47"/>
    <x v="3"/>
    <x v="166"/>
    <n v="1421"/>
    <x v="0"/>
    <x v="166"/>
    <x v="2"/>
    <n v="72"/>
    <x v="2"/>
    <x v="0"/>
    <x v="0"/>
    <x v="1"/>
    <x v="0"/>
    <x v="0"/>
    <x v="0"/>
  </r>
  <r>
    <x v="174"/>
    <n v="3802"/>
    <n v="4361"/>
    <n v="8163"/>
    <x v="4"/>
    <x v="13"/>
    <x v="2"/>
    <x v="0"/>
    <x v="2"/>
    <x v="2"/>
    <n v="600"/>
    <x v="0"/>
    <n v="0"/>
    <x v="1"/>
    <n v="0.24"/>
    <x v="1"/>
    <x v="167"/>
    <n v="32015"/>
    <x v="0"/>
    <x v="167"/>
    <x v="0"/>
    <n v="60"/>
    <x v="3"/>
    <x v="3"/>
    <x v="2"/>
    <x v="1"/>
    <x v="0"/>
    <x v="1"/>
    <x v="0"/>
  </r>
  <r>
    <x v="175"/>
    <n v="10155"/>
    <n v="7069"/>
    <n v="17224"/>
    <x v="0"/>
    <x v="3"/>
    <x v="2"/>
    <x v="0"/>
    <x v="2"/>
    <x v="2"/>
    <n v="559"/>
    <x v="2"/>
    <n v="1"/>
    <x v="0"/>
    <n v="0.16"/>
    <x v="1"/>
    <x v="168"/>
    <n v="12970"/>
    <x v="0"/>
    <x v="168"/>
    <x v="2"/>
    <n v="12"/>
    <x v="6"/>
    <x v="4"/>
    <x v="2"/>
    <x v="1"/>
    <x v="1"/>
    <x v="1"/>
    <x v="0"/>
  </r>
  <r>
    <x v="176"/>
    <n v="10120"/>
    <n v="920"/>
    <n v="11040"/>
    <x v="1"/>
    <x v="23"/>
    <x v="0"/>
    <x v="1"/>
    <x v="1"/>
    <x v="1"/>
    <n v="689"/>
    <x v="1"/>
    <n v="1"/>
    <x v="0"/>
    <n v="0.23"/>
    <x v="1"/>
    <x v="169"/>
    <n v="7283"/>
    <x v="0"/>
    <x v="169"/>
    <x v="1"/>
    <n v="84"/>
    <x v="0"/>
    <x v="3"/>
    <x v="0"/>
    <x v="0"/>
    <x v="1"/>
    <x v="1"/>
    <x v="1"/>
  </r>
  <r>
    <x v="177"/>
    <n v="8616"/>
    <n v="8190"/>
    <n v="16806"/>
    <x v="2"/>
    <x v="38"/>
    <x v="1"/>
    <x v="0"/>
    <x v="0"/>
    <x v="0"/>
    <n v="795"/>
    <x v="3"/>
    <n v="1"/>
    <x v="0"/>
    <n v="0.56000000000000005"/>
    <x v="0"/>
    <x v="170"/>
    <n v="28488"/>
    <x v="0"/>
    <x v="170"/>
    <x v="0"/>
    <n v="12"/>
    <x v="6"/>
    <x v="4"/>
    <x v="0"/>
    <x v="0"/>
    <x v="0"/>
    <x v="3"/>
    <x v="0"/>
  </r>
  <r>
    <x v="178"/>
    <n v="16257"/>
    <n v="3430"/>
    <n v="19687"/>
    <x v="4"/>
    <x v="6"/>
    <x v="3"/>
    <x v="0"/>
    <x v="0"/>
    <x v="0"/>
    <n v="550"/>
    <x v="2"/>
    <n v="2"/>
    <x v="0"/>
    <n v="0.39"/>
    <x v="2"/>
    <x v="171"/>
    <n v="15945"/>
    <x v="0"/>
    <x v="171"/>
    <x v="0"/>
    <n v="72"/>
    <x v="2"/>
    <x v="1"/>
    <x v="1"/>
    <x v="1"/>
    <x v="1"/>
    <x v="3"/>
    <x v="0"/>
  </r>
  <r>
    <x v="179"/>
    <n v="16486"/>
    <n v="4435"/>
    <n v="20921"/>
    <x v="0"/>
    <x v="32"/>
    <x v="3"/>
    <x v="0"/>
    <x v="3"/>
    <x v="3"/>
    <n v="644"/>
    <x v="0"/>
    <n v="0"/>
    <x v="1"/>
    <n v="0.37"/>
    <x v="2"/>
    <x v="172"/>
    <n v="255"/>
    <x v="0"/>
    <x v="172"/>
    <x v="2"/>
    <n v="36"/>
    <x v="4"/>
    <x v="1"/>
    <x v="1"/>
    <x v="1"/>
    <x v="1"/>
    <x v="4"/>
    <x v="0"/>
  </r>
  <r>
    <x v="180"/>
    <n v="18646"/>
    <n v="3760"/>
    <n v="22406"/>
    <x v="2"/>
    <x v="2"/>
    <x v="1"/>
    <x v="1"/>
    <x v="3"/>
    <x v="3"/>
    <n v="695"/>
    <x v="1"/>
    <n v="4"/>
    <x v="0"/>
    <n v="0.4"/>
    <x v="2"/>
    <x v="11"/>
    <n v="11019"/>
    <x v="0"/>
    <x v="173"/>
    <x v="3"/>
    <n v="84"/>
    <x v="0"/>
    <x v="2"/>
    <x v="0"/>
    <x v="1"/>
    <x v="1"/>
    <x v="3"/>
    <x v="0"/>
  </r>
  <r>
    <x v="181"/>
    <n v="16075"/>
    <n v="2050"/>
    <n v="18125"/>
    <x v="1"/>
    <x v="17"/>
    <x v="1"/>
    <x v="0"/>
    <x v="1"/>
    <x v="1"/>
    <n v="629"/>
    <x v="0"/>
    <n v="4"/>
    <x v="0"/>
    <n v="0.28000000000000003"/>
    <x v="1"/>
    <x v="173"/>
    <n v="15487"/>
    <x v="0"/>
    <x v="174"/>
    <x v="2"/>
    <n v="24"/>
    <x v="5"/>
    <x v="4"/>
    <x v="1"/>
    <x v="1"/>
    <x v="1"/>
    <x v="4"/>
    <x v="0"/>
  </r>
  <r>
    <x v="182"/>
    <n v="18371"/>
    <n v="8567"/>
    <n v="26938"/>
    <x v="0"/>
    <x v="18"/>
    <x v="0"/>
    <x v="0"/>
    <x v="3"/>
    <x v="3"/>
    <n v="585"/>
    <x v="0"/>
    <n v="0"/>
    <x v="1"/>
    <n v="0.36"/>
    <x v="2"/>
    <x v="174"/>
    <n v="19346"/>
    <x v="0"/>
    <x v="36"/>
    <x v="3"/>
    <n v="48"/>
    <x v="1"/>
    <x v="4"/>
    <x v="0"/>
    <x v="0"/>
    <x v="0"/>
    <x v="1"/>
    <x v="0"/>
  </r>
  <r>
    <x v="183"/>
    <n v="13835"/>
    <n v="2033"/>
    <n v="15868"/>
    <x v="2"/>
    <x v="27"/>
    <x v="3"/>
    <x v="0"/>
    <x v="3"/>
    <x v="3"/>
    <n v="574"/>
    <x v="2"/>
    <n v="0"/>
    <x v="1"/>
    <n v="0.16"/>
    <x v="1"/>
    <x v="11"/>
    <n v="35050"/>
    <x v="0"/>
    <x v="175"/>
    <x v="2"/>
    <n v="24"/>
    <x v="5"/>
    <x v="1"/>
    <x v="0"/>
    <x v="0"/>
    <x v="1"/>
    <x v="1"/>
    <x v="0"/>
  </r>
  <r>
    <x v="184"/>
    <n v="0"/>
    <n v="6467"/>
    <n v="6467"/>
    <x v="0"/>
    <x v="28"/>
    <x v="0"/>
    <x v="0"/>
    <x v="0"/>
    <x v="0"/>
    <n v="764"/>
    <x v="3"/>
    <n v="0"/>
    <x v="1"/>
    <n v="0.16"/>
    <x v="1"/>
    <x v="175"/>
    <n v="8744"/>
    <x v="0"/>
    <x v="176"/>
    <x v="2"/>
    <n v="48"/>
    <x v="1"/>
    <x v="3"/>
    <x v="0"/>
    <x v="1"/>
    <x v="1"/>
    <x v="4"/>
    <x v="1"/>
  </r>
  <r>
    <x v="185"/>
    <n v="4049"/>
    <n v="145"/>
    <n v="4194"/>
    <x v="0"/>
    <x v="7"/>
    <x v="0"/>
    <x v="0"/>
    <x v="0"/>
    <x v="0"/>
    <n v="753"/>
    <x v="3"/>
    <n v="3"/>
    <x v="0"/>
    <n v="0.37"/>
    <x v="2"/>
    <x v="176"/>
    <n v="24756"/>
    <x v="0"/>
    <x v="177"/>
    <x v="2"/>
    <n v="84"/>
    <x v="0"/>
    <x v="2"/>
    <x v="1"/>
    <x v="1"/>
    <x v="1"/>
    <x v="0"/>
    <x v="0"/>
  </r>
  <r>
    <x v="186"/>
    <n v="16589"/>
    <n v="7832"/>
    <n v="24421"/>
    <x v="2"/>
    <x v="32"/>
    <x v="3"/>
    <x v="1"/>
    <x v="0"/>
    <x v="0"/>
    <n v="713"/>
    <x v="1"/>
    <n v="1"/>
    <x v="0"/>
    <n v="0.25"/>
    <x v="1"/>
    <x v="177"/>
    <n v="25146"/>
    <x v="0"/>
    <x v="178"/>
    <x v="3"/>
    <n v="48"/>
    <x v="1"/>
    <x v="4"/>
    <x v="2"/>
    <x v="1"/>
    <x v="1"/>
    <x v="2"/>
    <x v="1"/>
  </r>
  <r>
    <x v="187"/>
    <n v="9158"/>
    <n v="8623"/>
    <n v="17781"/>
    <x v="2"/>
    <x v="34"/>
    <x v="3"/>
    <x v="1"/>
    <x v="1"/>
    <x v="1"/>
    <n v="650"/>
    <x v="0"/>
    <n v="0"/>
    <x v="1"/>
    <n v="0.53"/>
    <x v="0"/>
    <x v="178"/>
    <n v="42687"/>
    <x v="0"/>
    <x v="179"/>
    <x v="2"/>
    <n v="12"/>
    <x v="6"/>
    <x v="2"/>
    <x v="0"/>
    <x v="1"/>
    <x v="1"/>
    <x v="4"/>
    <x v="0"/>
  </r>
  <r>
    <x v="188"/>
    <n v="12248"/>
    <n v="8896"/>
    <n v="21144"/>
    <x v="2"/>
    <x v="24"/>
    <x v="2"/>
    <x v="1"/>
    <x v="3"/>
    <x v="3"/>
    <n v="744"/>
    <x v="3"/>
    <n v="0"/>
    <x v="1"/>
    <n v="0.48"/>
    <x v="3"/>
    <x v="179"/>
    <n v="46103"/>
    <x v="0"/>
    <x v="180"/>
    <x v="1"/>
    <n v="60"/>
    <x v="3"/>
    <x v="3"/>
    <x v="2"/>
    <x v="0"/>
    <x v="0"/>
    <x v="0"/>
    <x v="0"/>
  </r>
  <r>
    <x v="189"/>
    <n v="9400"/>
    <n v="8173"/>
    <n v="17573"/>
    <x v="0"/>
    <x v="13"/>
    <x v="2"/>
    <x v="0"/>
    <x v="0"/>
    <x v="0"/>
    <n v="558"/>
    <x v="2"/>
    <n v="4"/>
    <x v="0"/>
    <n v="0.22"/>
    <x v="1"/>
    <x v="180"/>
    <n v="21976"/>
    <x v="0"/>
    <x v="36"/>
    <x v="3"/>
    <n v="12"/>
    <x v="6"/>
    <x v="4"/>
    <x v="2"/>
    <x v="0"/>
    <x v="0"/>
    <x v="0"/>
    <x v="0"/>
  </r>
  <r>
    <x v="190"/>
    <n v="11874"/>
    <n v="2632"/>
    <n v="14506"/>
    <x v="0"/>
    <x v="11"/>
    <x v="2"/>
    <x v="1"/>
    <x v="1"/>
    <x v="1"/>
    <n v="550"/>
    <x v="2"/>
    <n v="4"/>
    <x v="0"/>
    <n v="0.12"/>
    <x v="1"/>
    <x v="11"/>
    <n v="591"/>
    <x v="0"/>
    <x v="181"/>
    <x v="3"/>
    <n v="12"/>
    <x v="6"/>
    <x v="3"/>
    <x v="1"/>
    <x v="0"/>
    <x v="1"/>
    <x v="3"/>
    <x v="0"/>
  </r>
  <r>
    <x v="191"/>
    <n v="17151"/>
    <n v="4494"/>
    <n v="21645"/>
    <x v="1"/>
    <x v="11"/>
    <x v="2"/>
    <x v="0"/>
    <x v="0"/>
    <x v="0"/>
    <n v="602"/>
    <x v="0"/>
    <n v="1"/>
    <x v="0"/>
    <n v="0.15"/>
    <x v="1"/>
    <x v="181"/>
    <n v="6277"/>
    <x v="0"/>
    <x v="182"/>
    <x v="0"/>
    <n v="84"/>
    <x v="0"/>
    <x v="4"/>
    <x v="0"/>
    <x v="0"/>
    <x v="0"/>
    <x v="2"/>
    <x v="0"/>
  </r>
  <r>
    <x v="192"/>
    <n v="6499"/>
    <n v="7511"/>
    <n v="14010"/>
    <x v="0"/>
    <x v="24"/>
    <x v="2"/>
    <x v="0"/>
    <x v="0"/>
    <x v="0"/>
    <n v="550"/>
    <x v="2"/>
    <n v="1"/>
    <x v="0"/>
    <n v="0.2"/>
    <x v="1"/>
    <x v="182"/>
    <n v="43907"/>
    <x v="0"/>
    <x v="183"/>
    <x v="0"/>
    <n v="12"/>
    <x v="6"/>
    <x v="4"/>
    <x v="0"/>
    <x v="1"/>
    <x v="1"/>
    <x v="3"/>
    <x v="1"/>
  </r>
  <r>
    <x v="193"/>
    <n v="8295"/>
    <n v="9155"/>
    <n v="17450"/>
    <x v="1"/>
    <x v="0"/>
    <x v="0"/>
    <x v="0"/>
    <x v="3"/>
    <x v="3"/>
    <n v="712"/>
    <x v="1"/>
    <n v="4"/>
    <x v="0"/>
    <n v="0.28999999999999998"/>
    <x v="1"/>
    <x v="183"/>
    <n v="347"/>
    <x v="0"/>
    <x v="184"/>
    <x v="2"/>
    <n v="24"/>
    <x v="5"/>
    <x v="0"/>
    <x v="2"/>
    <x v="1"/>
    <x v="1"/>
    <x v="3"/>
    <x v="1"/>
  </r>
  <r>
    <x v="194"/>
    <n v="14183"/>
    <n v="1828"/>
    <n v="16011"/>
    <x v="3"/>
    <x v="16"/>
    <x v="1"/>
    <x v="1"/>
    <x v="2"/>
    <x v="2"/>
    <n v="612"/>
    <x v="0"/>
    <n v="4"/>
    <x v="0"/>
    <n v="0.35"/>
    <x v="2"/>
    <x v="184"/>
    <n v="24741"/>
    <x v="0"/>
    <x v="185"/>
    <x v="0"/>
    <n v="48"/>
    <x v="1"/>
    <x v="3"/>
    <x v="2"/>
    <x v="1"/>
    <x v="1"/>
    <x v="0"/>
    <x v="0"/>
  </r>
  <r>
    <x v="195"/>
    <n v="14874"/>
    <n v="9130"/>
    <n v="24004"/>
    <x v="2"/>
    <x v="3"/>
    <x v="2"/>
    <x v="0"/>
    <x v="0"/>
    <x v="0"/>
    <n v="670"/>
    <x v="0"/>
    <n v="3"/>
    <x v="0"/>
    <n v="0.46"/>
    <x v="3"/>
    <x v="185"/>
    <n v="37211"/>
    <x v="0"/>
    <x v="186"/>
    <x v="2"/>
    <n v="84"/>
    <x v="0"/>
    <x v="4"/>
    <x v="0"/>
    <x v="1"/>
    <x v="1"/>
    <x v="3"/>
    <x v="0"/>
  </r>
  <r>
    <x v="196"/>
    <n v="7539"/>
    <n v="4805"/>
    <n v="12344"/>
    <x v="2"/>
    <x v="8"/>
    <x v="0"/>
    <x v="0"/>
    <x v="1"/>
    <x v="1"/>
    <n v="796"/>
    <x v="3"/>
    <n v="1"/>
    <x v="0"/>
    <n v="0.16"/>
    <x v="1"/>
    <x v="186"/>
    <n v="43856"/>
    <x v="0"/>
    <x v="187"/>
    <x v="0"/>
    <n v="12"/>
    <x v="6"/>
    <x v="1"/>
    <x v="2"/>
    <x v="1"/>
    <x v="0"/>
    <x v="0"/>
    <x v="1"/>
  </r>
  <r>
    <x v="197"/>
    <n v="11637"/>
    <n v="806"/>
    <n v="12443"/>
    <x v="3"/>
    <x v="36"/>
    <x v="1"/>
    <x v="1"/>
    <x v="3"/>
    <x v="3"/>
    <n v="775"/>
    <x v="3"/>
    <n v="1"/>
    <x v="0"/>
    <n v="0.3"/>
    <x v="1"/>
    <x v="11"/>
    <n v="41542"/>
    <x v="0"/>
    <x v="188"/>
    <x v="0"/>
    <n v="72"/>
    <x v="2"/>
    <x v="1"/>
    <x v="0"/>
    <x v="1"/>
    <x v="0"/>
    <x v="1"/>
    <x v="1"/>
  </r>
  <r>
    <x v="198"/>
    <n v="17586"/>
    <n v="9655"/>
    <n v="27241"/>
    <x v="0"/>
    <x v="22"/>
    <x v="2"/>
    <x v="0"/>
    <x v="3"/>
    <x v="3"/>
    <n v="654"/>
    <x v="0"/>
    <n v="0"/>
    <x v="1"/>
    <n v="0.34"/>
    <x v="2"/>
    <x v="187"/>
    <n v="6869"/>
    <x v="0"/>
    <x v="189"/>
    <x v="2"/>
    <n v="48"/>
    <x v="1"/>
    <x v="2"/>
    <x v="1"/>
    <x v="1"/>
    <x v="1"/>
    <x v="1"/>
    <x v="1"/>
  </r>
  <r>
    <x v="199"/>
    <n v="4557"/>
    <n v="7486"/>
    <n v="12043"/>
    <x v="1"/>
    <x v="4"/>
    <x v="1"/>
    <x v="0"/>
    <x v="1"/>
    <x v="1"/>
    <n v="755"/>
    <x v="3"/>
    <n v="0"/>
    <x v="1"/>
    <n v="0.37"/>
    <x v="2"/>
    <x v="188"/>
    <n v="28082"/>
    <x v="0"/>
    <x v="190"/>
    <x v="0"/>
    <n v="60"/>
    <x v="3"/>
    <x v="1"/>
    <x v="0"/>
    <x v="1"/>
    <x v="0"/>
    <x v="4"/>
    <x v="1"/>
  </r>
  <r>
    <x v="200"/>
    <n v="7592"/>
    <n v="8202"/>
    <n v="15794"/>
    <x v="3"/>
    <x v="10"/>
    <x v="0"/>
    <x v="0"/>
    <x v="0"/>
    <x v="0"/>
    <n v="553"/>
    <x v="2"/>
    <n v="3"/>
    <x v="0"/>
    <n v="0.51"/>
    <x v="0"/>
    <x v="189"/>
    <n v="22080"/>
    <x v="0"/>
    <x v="191"/>
    <x v="0"/>
    <n v="48"/>
    <x v="1"/>
    <x v="0"/>
    <x v="2"/>
    <x v="1"/>
    <x v="0"/>
    <x v="0"/>
    <x v="0"/>
  </r>
  <r>
    <x v="201"/>
    <n v="18482"/>
    <n v="1868"/>
    <n v="20350"/>
    <x v="0"/>
    <x v="16"/>
    <x v="1"/>
    <x v="1"/>
    <x v="2"/>
    <x v="2"/>
    <n v="642"/>
    <x v="0"/>
    <n v="2"/>
    <x v="0"/>
    <n v="0.19"/>
    <x v="1"/>
    <x v="190"/>
    <n v="28979"/>
    <x v="0"/>
    <x v="192"/>
    <x v="0"/>
    <n v="84"/>
    <x v="0"/>
    <x v="1"/>
    <x v="1"/>
    <x v="1"/>
    <x v="1"/>
    <x v="1"/>
    <x v="0"/>
  </r>
  <r>
    <x v="202"/>
    <n v="4200"/>
    <n v="7878"/>
    <n v="12078"/>
    <x v="2"/>
    <x v="3"/>
    <x v="2"/>
    <x v="1"/>
    <x v="0"/>
    <x v="0"/>
    <n v="718"/>
    <x v="1"/>
    <n v="2"/>
    <x v="0"/>
    <n v="0.5"/>
    <x v="3"/>
    <x v="191"/>
    <n v="19422"/>
    <x v="0"/>
    <x v="193"/>
    <x v="2"/>
    <n v="72"/>
    <x v="2"/>
    <x v="1"/>
    <x v="0"/>
    <x v="1"/>
    <x v="1"/>
    <x v="3"/>
    <x v="0"/>
  </r>
  <r>
    <x v="203"/>
    <n v="16172"/>
    <n v="5690"/>
    <n v="21862"/>
    <x v="1"/>
    <x v="22"/>
    <x v="2"/>
    <x v="0"/>
    <x v="1"/>
    <x v="1"/>
    <n v="722"/>
    <x v="1"/>
    <n v="2"/>
    <x v="0"/>
    <n v="0.45"/>
    <x v="3"/>
    <x v="192"/>
    <n v="35613"/>
    <x v="0"/>
    <x v="194"/>
    <x v="0"/>
    <n v="84"/>
    <x v="0"/>
    <x v="1"/>
    <x v="2"/>
    <x v="1"/>
    <x v="0"/>
    <x v="3"/>
    <x v="0"/>
  </r>
  <r>
    <x v="204"/>
    <n v="4961"/>
    <n v="7827"/>
    <n v="12788"/>
    <x v="1"/>
    <x v="25"/>
    <x v="4"/>
    <x v="0"/>
    <x v="3"/>
    <x v="3"/>
    <n v="727"/>
    <x v="1"/>
    <n v="1"/>
    <x v="0"/>
    <n v="0.38"/>
    <x v="2"/>
    <x v="193"/>
    <n v="22993"/>
    <x v="0"/>
    <x v="195"/>
    <x v="2"/>
    <n v="84"/>
    <x v="0"/>
    <x v="4"/>
    <x v="0"/>
    <x v="0"/>
    <x v="0"/>
    <x v="0"/>
    <x v="0"/>
  </r>
  <r>
    <x v="205"/>
    <n v="16207"/>
    <n v="0"/>
    <n v="16207"/>
    <x v="1"/>
    <x v="28"/>
    <x v="0"/>
    <x v="0"/>
    <x v="2"/>
    <x v="2"/>
    <n v="550"/>
    <x v="2"/>
    <n v="1"/>
    <x v="0"/>
    <n v="0.45"/>
    <x v="3"/>
    <x v="194"/>
    <n v="12386"/>
    <x v="0"/>
    <x v="196"/>
    <x v="3"/>
    <n v="72"/>
    <x v="2"/>
    <x v="2"/>
    <x v="0"/>
    <x v="1"/>
    <x v="0"/>
    <x v="1"/>
    <x v="0"/>
  </r>
  <r>
    <x v="206"/>
    <n v="13969"/>
    <n v="9076"/>
    <n v="23045"/>
    <x v="3"/>
    <x v="11"/>
    <x v="2"/>
    <x v="1"/>
    <x v="3"/>
    <x v="3"/>
    <n v="577"/>
    <x v="2"/>
    <n v="4"/>
    <x v="0"/>
    <n v="0.31"/>
    <x v="2"/>
    <x v="11"/>
    <n v="34033"/>
    <x v="0"/>
    <x v="197"/>
    <x v="2"/>
    <n v="60"/>
    <x v="3"/>
    <x v="3"/>
    <x v="2"/>
    <x v="1"/>
    <x v="0"/>
    <x v="0"/>
    <x v="0"/>
  </r>
  <r>
    <x v="207"/>
    <n v="4869"/>
    <n v="3564"/>
    <n v="8433"/>
    <x v="2"/>
    <x v="27"/>
    <x v="3"/>
    <x v="0"/>
    <x v="1"/>
    <x v="1"/>
    <n v="719"/>
    <x v="1"/>
    <n v="1"/>
    <x v="0"/>
    <n v="0.17"/>
    <x v="1"/>
    <x v="195"/>
    <n v="45213"/>
    <x v="0"/>
    <x v="198"/>
    <x v="2"/>
    <n v="72"/>
    <x v="2"/>
    <x v="2"/>
    <x v="2"/>
    <x v="1"/>
    <x v="1"/>
    <x v="1"/>
    <x v="0"/>
  </r>
  <r>
    <x v="208"/>
    <n v="19340"/>
    <n v="1389"/>
    <n v="20729"/>
    <x v="0"/>
    <x v="6"/>
    <x v="3"/>
    <x v="0"/>
    <x v="0"/>
    <x v="0"/>
    <n v="629"/>
    <x v="0"/>
    <n v="1"/>
    <x v="0"/>
    <n v="0.43"/>
    <x v="3"/>
    <x v="196"/>
    <n v="12938"/>
    <x v="0"/>
    <x v="199"/>
    <x v="2"/>
    <n v="24"/>
    <x v="5"/>
    <x v="0"/>
    <x v="1"/>
    <x v="0"/>
    <x v="1"/>
    <x v="3"/>
    <x v="0"/>
  </r>
  <r>
    <x v="209"/>
    <n v="15992"/>
    <n v="0"/>
    <n v="15992"/>
    <x v="2"/>
    <x v="33"/>
    <x v="4"/>
    <x v="0"/>
    <x v="2"/>
    <x v="2"/>
    <n v="625"/>
    <x v="0"/>
    <n v="1"/>
    <x v="0"/>
    <n v="0.36"/>
    <x v="2"/>
    <x v="197"/>
    <n v="11159"/>
    <x v="0"/>
    <x v="200"/>
    <x v="2"/>
    <n v="84"/>
    <x v="0"/>
    <x v="4"/>
    <x v="1"/>
    <x v="1"/>
    <x v="1"/>
    <x v="0"/>
    <x v="0"/>
  </r>
  <r>
    <x v="210"/>
    <n v="7699"/>
    <n v="824"/>
    <n v="8523"/>
    <x v="0"/>
    <x v="28"/>
    <x v="0"/>
    <x v="0"/>
    <x v="3"/>
    <x v="3"/>
    <n v="665"/>
    <x v="0"/>
    <n v="3"/>
    <x v="0"/>
    <n v="0.42"/>
    <x v="3"/>
    <x v="198"/>
    <n v="2274"/>
    <x v="0"/>
    <x v="201"/>
    <x v="0"/>
    <n v="48"/>
    <x v="1"/>
    <x v="4"/>
    <x v="2"/>
    <x v="0"/>
    <x v="1"/>
    <x v="2"/>
    <x v="0"/>
  </r>
  <r>
    <x v="211"/>
    <n v="5987"/>
    <n v="0"/>
    <n v="5987"/>
    <x v="0"/>
    <x v="32"/>
    <x v="3"/>
    <x v="0"/>
    <x v="3"/>
    <x v="3"/>
    <n v="618"/>
    <x v="0"/>
    <n v="1"/>
    <x v="0"/>
    <n v="0.27"/>
    <x v="1"/>
    <x v="199"/>
    <n v="18854"/>
    <x v="0"/>
    <x v="202"/>
    <x v="1"/>
    <n v="84"/>
    <x v="0"/>
    <x v="1"/>
    <x v="2"/>
    <x v="0"/>
    <x v="0"/>
    <x v="3"/>
    <x v="0"/>
  </r>
  <r>
    <x v="212"/>
    <n v="15446"/>
    <n v="936"/>
    <n v="16382"/>
    <x v="0"/>
    <x v="22"/>
    <x v="2"/>
    <x v="1"/>
    <x v="3"/>
    <x v="3"/>
    <n v="647"/>
    <x v="0"/>
    <n v="0"/>
    <x v="1"/>
    <n v="0.55000000000000004"/>
    <x v="0"/>
    <x v="200"/>
    <n v="31815"/>
    <x v="0"/>
    <x v="203"/>
    <x v="2"/>
    <n v="72"/>
    <x v="2"/>
    <x v="1"/>
    <x v="1"/>
    <x v="0"/>
    <x v="0"/>
    <x v="4"/>
    <x v="0"/>
  </r>
  <r>
    <x v="213"/>
    <n v="3218"/>
    <n v="6402"/>
    <n v="9620"/>
    <x v="0"/>
    <x v="35"/>
    <x v="2"/>
    <x v="0"/>
    <x v="0"/>
    <x v="0"/>
    <n v="783"/>
    <x v="3"/>
    <n v="0"/>
    <x v="1"/>
    <n v="0.39"/>
    <x v="2"/>
    <x v="201"/>
    <n v="10482"/>
    <x v="0"/>
    <x v="204"/>
    <x v="3"/>
    <n v="60"/>
    <x v="3"/>
    <x v="0"/>
    <x v="0"/>
    <x v="1"/>
    <x v="0"/>
    <x v="4"/>
    <x v="1"/>
  </r>
  <r>
    <x v="214"/>
    <n v="0"/>
    <n v="3845"/>
    <n v="3845"/>
    <x v="0"/>
    <x v="31"/>
    <x v="4"/>
    <x v="0"/>
    <x v="2"/>
    <x v="2"/>
    <n v="550"/>
    <x v="2"/>
    <n v="4"/>
    <x v="0"/>
    <n v="0.14000000000000001"/>
    <x v="1"/>
    <x v="202"/>
    <n v="18961"/>
    <x v="0"/>
    <x v="205"/>
    <x v="3"/>
    <n v="60"/>
    <x v="3"/>
    <x v="4"/>
    <x v="0"/>
    <x v="1"/>
    <x v="1"/>
    <x v="1"/>
    <x v="0"/>
  </r>
  <r>
    <x v="215"/>
    <n v="13296"/>
    <n v="1796"/>
    <n v="15092"/>
    <x v="3"/>
    <x v="3"/>
    <x v="2"/>
    <x v="1"/>
    <x v="0"/>
    <x v="0"/>
    <n v="716"/>
    <x v="1"/>
    <n v="3"/>
    <x v="0"/>
    <n v="0.32"/>
    <x v="2"/>
    <x v="203"/>
    <n v="20044"/>
    <x v="0"/>
    <x v="206"/>
    <x v="2"/>
    <n v="12"/>
    <x v="6"/>
    <x v="3"/>
    <x v="0"/>
    <x v="1"/>
    <x v="1"/>
    <x v="4"/>
    <x v="1"/>
  </r>
  <r>
    <x v="216"/>
    <n v="6555"/>
    <n v="0"/>
    <n v="6555"/>
    <x v="2"/>
    <x v="10"/>
    <x v="0"/>
    <x v="1"/>
    <x v="0"/>
    <x v="0"/>
    <n v="645"/>
    <x v="0"/>
    <n v="0"/>
    <x v="1"/>
    <n v="0.48"/>
    <x v="3"/>
    <x v="204"/>
    <n v="33836"/>
    <x v="0"/>
    <x v="207"/>
    <x v="2"/>
    <n v="12"/>
    <x v="6"/>
    <x v="2"/>
    <x v="1"/>
    <x v="1"/>
    <x v="1"/>
    <x v="1"/>
    <x v="0"/>
  </r>
  <r>
    <x v="217"/>
    <n v="11146"/>
    <n v="7214"/>
    <n v="18360"/>
    <x v="1"/>
    <x v="34"/>
    <x v="3"/>
    <x v="0"/>
    <x v="0"/>
    <x v="0"/>
    <n v="767"/>
    <x v="3"/>
    <n v="3"/>
    <x v="0"/>
    <n v="0.5"/>
    <x v="3"/>
    <x v="205"/>
    <n v="21975"/>
    <x v="0"/>
    <x v="208"/>
    <x v="1"/>
    <n v="12"/>
    <x v="6"/>
    <x v="4"/>
    <x v="2"/>
    <x v="1"/>
    <x v="1"/>
    <x v="3"/>
    <x v="0"/>
  </r>
  <r>
    <x v="218"/>
    <n v="10050"/>
    <n v="726"/>
    <n v="10776"/>
    <x v="0"/>
    <x v="3"/>
    <x v="2"/>
    <x v="0"/>
    <x v="0"/>
    <x v="0"/>
    <n v="566"/>
    <x v="2"/>
    <n v="3"/>
    <x v="0"/>
    <n v="0.35"/>
    <x v="2"/>
    <x v="206"/>
    <n v="14706"/>
    <x v="0"/>
    <x v="209"/>
    <x v="2"/>
    <n v="72"/>
    <x v="2"/>
    <x v="3"/>
    <x v="2"/>
    <x v="0"/>
    <x v="0"/>
    <x v="4"/>
    <x v="0"/>
  </r>
  <r>
    <x v="219"/>
    <n v="14757"/>
    <n v="2736"/>
    <n v="17493"/>
    <x v="3"/>
    <x v="33"/>
    <x v="4"/>
    <x v="0"/>
    <x v="1"/>
    <x v="1"/>
    <n v="661"/>
    <x v="0"/>
    <n v="4"/>
    <x v="0"/>
    <n v="0.55000000000000004"/>
    <x v="0"/>
    <x v="207"/>
    <n v="5974"/>
    <x v="0"/>
    <x v="210"/>
    <x v="2"/>
    <n v="48"/>
    <x v="1"/>
    <x v="3"/>
    <x v="0"/>
    <x v="0"/>
    <x v="1"/>
    <x v="3"/>
    <x v="0"/>
  </r>
  <r>
    <x v="220"/>
    <n v="19429"/>
    <n v="1913"/>
    <n v="21342"/>
    <x v="3"/>
    <x v="30"/>
    <x v="2"/>
    <x v="1"/>
    <x v="1"/>
    <x v="1"/>
    <n v="640"/>
    <x v="0"/>
    <n v="3"/>
    <x v="0"/>
    <n v="0.23"/>
    <x v="1"/>
    <x v="208"/>
    <n v="10928"/>
    <x v="0"/>
    <x v="211"/>
    <x v="3"/>
    <n v="24"/>
    <x v="5"/>
    <x v="2"/>
    <x v="1"/>
    <x v="1"/>
    <x v="0"/>
    <x v="3"/>
    <x v="0"/>
  </r>
  <r>
    <x v="221"/>
    <n v="8893"/>
    <n v="9788"/>
    <n v="18681"/>
    <x v="2"/>
    <x v="34"/>
    <x v="3"/>
    <x v="0"/>
    <x v="0"/>
    <x v="0"/>
    <n v="637"/>
    <x v="0"/>
    <n v="1"/>
    <x v="0"/>
    <n v="0.35"/>
    <x v="2"/>
    <x v="209"/>
    <n v="21213"/>
    <x v="0"/>
    <x v="212"/>
    <x v="2"/>
    <n v="72"/>
    <x v="2"/>
    <x v="3"/>
    <x v="0"/>
    <x v="1"/>
    <x v="0"/>
    <x v="0"/>
    <x v="0"/>
  </r>
  <r>
    <x v="222"/>
    <n v="16373"/>
    <n v="7657"/>
    <n v="24030"/>
    <x v="0"/>
    <x v="22"/>
    <x v="2"/>
    <x v="1"/>
    <x v="0"/>
    <x v="0"/>
    <n v="712"/>
    <x v="1"/>
    <n v="3"/>
    <x v="0"/>
    <n v="0.55000000000000004"/>
    <x v="0"/>
    <x v="210"/>
    <n v="1950"/>
    <x v="0"/>
    <x v="213"/>
    <x v="2"/>
    <n v="84"/>
    <x v="0"/>
    <x v="0"/>
    <x v="2"/>
    <x v="0"/>
    <x v="1"/>
    <x v="0"/>
    <x v="0"/>
  </r>
  <r>
    <x v="223"/>
    <n v="16565"/>
    <n v="2466"/>
    <n v="19031"/>
    <x v="0"/>
    <x v="8"/>
    <x v="0"/>
    <x v="1"/>
    <x v="0"/>
    <x v="0"/>
    <n v="723"/>
    <x v="1"/>
    <n v="4"/>
    <x v="0"/>
    <n v="0.55000000000000004"/>
    <x v="0"/>
    <x v="211"/>
    <n v="19477"/>
    <x v="0"/>
    <x v="214"/>
    <x v="0"/>
    <n v="12"/>
    <x v="6"/>
    <x v="3"/>
    <x v="0"/>
    <x v="1"/>
    <x v="1"/>
    <x v="3"/>
    <x v="0"/>
  </r>
  <r>
    <x v="224"/>
    <n v="5436"/>
    <n v="9041"/>
    <n v="14477"/>
    <x v="0"/>
    <x v="20"/>
    <x v="0"/>
    <x v="0"/>
    <x v="1"/>
    <x v="1"/>
    <n v="719"/>
    <x v="1"/>
    <n v="4"/>
    <x v="0"/>
    <n v="0.44"/>
    <x v="3"/>
    <x v="212"/>
    <n v="10411"/>
    <x v="0"/>
    <x v="215"/>
    <x v="0"/>
    <n v="60"/>
    <x v="3"/>
    <x v="0"/>
    <x v="0"/>
    <x v="1"/>
    <x v="0"/>
    <x v="0"/>
    <x v="0"/>
  </r>
  <r>
    <x v="225"/>
    <n v="10754"/>
    <n v="7312"/>
    <n v="18066"/>
    <x v="0"/>
    <x v="36"/>
    <x v="1"/>
    <x v="0"/>
    <x v="0"/>
    <x v="0"/>
    <n v="795"/>
    <x v="3"/>
    <n v="0"/>
    <x v="1"/>
    <n v="0.53"/>
    <x v="0"/>
    <x v="213"/>
    <n v="21695"/>
    <x v="0"/>
    <x v="216"/>
    <x v="1"/>
    <n v="72"/>
    <x v="2"/>
    <x v="3"/>
    <x v="2"/>
    <x v="1"/>
    <x v="1"/>
    <x v="1"/>
    <x v="0"/>
  </r>
  <r>
    <x v="226"/>
    <n v="12677"/>
    <n v="8194"/>
    <n v="20871"/>
    <x v="0"/>
    <x v="17"/>
    <x v="1"/>
    <x v="0"/>
    <x v="0"/>
    <x v="0"/>
    <n v="716"/>
    <x v="1"/>
    <n v="0"/>
    <x v="1"/>
    <n v="0.14000000000000001"/>
    <x v="1"/>
    <x v="214"/>
    <n v="46156"/>
    <x v="0"/>
    <x v="217"/>
    <x v="3"/>
    <n v="60"/>
    <x v="3"/>
    <x v="1"/>
    <x v="1"/>
    <x v="0"/>
    <x v="0"/>
    <x v="1"/>
    <x v="1"/>
  </r>
  <r>
    <x v="227"/>
    <n v="7895"/>
    <n v="7906"/>
    <n v="15801"/>
    <x v="3"/>
    <x v="12"/>
    <x v="1"/>
    <x v="0"/>
    <x v="3"/>
    <x v="3"/>
    <n v="639"/>
    <x v="0"/>
    <n v="1"/>
    <x v="0"/>
    <n v="0.53"/>
    <x v="0"/>
    <x v="215"/>
    <n v="17771"/>
    <x v="0"/>
    <x v="218"/>
    <x v="0"/>
    <n v="84"/>
    <x v="0"/>
    <x v="2"/>
    <x v="0"/>
    <x v="1"/>
    <x v="1"/>
    <x v="0"/>
    <x v="0"/>
  </r>
  <r>
    <x v="228"/>
    <n v="18609"/>
    <n v="4876"/>
    <n v="23485"/>
    <x v="0"/>
    <x v="12"/>
    <x v="1"/>
    <x v="0"/>
    <x v="0"/>
    <x v="0"/>
    <n v="598"/>
    <x v="0"/>
    <n v="0"/>
    <x v="1"/>
    <n v="0.26"/>
    <x v="1"/>
    <x v="216"/>
    <n v="4274"/>
    <x v="0"/>
    <x v="219"/>
    <x v="0"/>
    <n v="60"/>
    <x v="3"/>
    <x v="0"/>
    <x v="0"/>
    <x v="0"/>
    <x v="1"/>
    <x v="0"/>
    <x v="0"/>
  </r>
  <r>
    <x v="229"/>
    <n v="17636"/>
    <n v="7287"/>
    <n v="24923"/>
    <x v="0"/>
    <x v="3"/>
    <x v="2"/>
    <x v="1"/>
    <x v="3"/>
    <x v="3"/>
    <n v="739"/>
    <x v="1"/>
    <n v="2"/>
    <x v="0"/>
    <n v="0.19"/>
    <x v="1"/>
    <x v="217"/>
    <n v="35053"/>
    <x v="0"/>
    <x v="220"/>
    <x v="0"/>
    <n v="60"/>
    <x v="3"/>
    <x v="3"/>
    <x v="0"/>
    <x v="1"/>
    <x v="1"/>
    <x v="3"/>
    <x v="1"/>
  </r>
  <r>
    <x v="230"/>
    <n v="0"/>
    <n v="892"/>
    <n v="892"/>
    <x v="0"/>
    <x v="19"/>
    <x v="4"/>
    <x v="1"/>
    <x v="0"/>
    <x v="0"/>
    <n v="587"/>
    <x v="0"/>
    <n v="0"/>
    <x v="1"/>
    <n v="0.22"/>
    <x v="1"/>
    <x v="218"/>
    <n v="7045"/>
    <x v="0"/>
    <x v="221"/>
    <x v="1"/>
    <n v="36"/>
    <x v="4"/>
    <x v="3"/>
    <x v="0"/>
    <x v="1"/>
    <x v="1"/>
    <x v="4"/>
    <x v="0"/>
  </r>
  <r>
    <x v="231"/>
    <n v="11151"/>
    <n v="0"/>
    <n v="11151"/>
    <x v="4"/>
    <x v="22"/>
    <x v="2"/>
    <x v="0"/>
    <x v="2"/>
    <x v="2"/>
    <n v="700"/>
    <x v="1"/>
    <n v="3"/>
    <x v="0"/>
    <n v="0.31"/>
    <x v="2"/>
    <x v="219"/>
    <n v="29714"/>
    <x v="0"/>
    <x v="222"/>
    <x v="0"/>
    <n v="48"/>
    <x v="1"/>
    <x v="3"/>
    <x v="0"/>
    <x v="1"/>
    <x v="0"/>
    <x v="1"/>
    <x v="1"/>
  </r>
  <r>
    <x v="232"/>
    <n v="7600"/>
    <n v="1933"/>
    <n v="9533"/>
    <x v="0"/>
    <x v="38"/>
    <x v="1"/>
    <x v="1"/>
    <x v="1"/>
    <x v="1"/>
    <n v="699"/>
    <x v="1"/>
    <n v="4"/>
    <x v="0"/>
    <n v="0.23"/>
    <x v="1"/>
    <x v="220"/>
    <n v="34386"/>
    <x v="0"/>
    <x v="223"/>
    <x v="3"/>
    <n v="24"/>
    <x v="5"/>
    <x v="0"/>
    <x v="2"/>
    <x v="1"/>
    <x v="1"/>
    <x v="2"/>
    <x v="1"/>
  </r>
  <r>
    <x v="233"/>
    <n v="9996"/>
    <n v="1380"/>
    <n v="11376"/>
    <x v="0"/>
    <x v="33"/>
    <x v="4"/>
    <x v="0"/>
    <x v="3"/>
    <x v="3"/>
    <n v="681"/>
    <x v="1"/>
    <n v="2"/>
    <x v="0"/>
    <n v="0.26"/>
    <x v="1"/>
    <x v="221"/>
    <n v="43747"/>
    <x v="0"/>
    <x v="224"/>
    <x v="2"/>
    <n v="48"/>
    <x v="1"/>
    <x v="3"/>
    <x v="1"/>
    <x v="1"/>
    <x v="0"/>
    <x v="0"/>
    <x v="1"/>
  </r>
  <r>
    <x v="234"/>
    <n v="11007"/>
    <n v="1290"/>
    <n v="12297"/>
    <x v="0"/>
    <x v="22"/>
    <x v="2"/>
    <x v="0"/>
    <x v="1"/>
    <x v="1"/>
    <n v="726"/>
    <x v="1"/>
    <n v="1"/>
    <x v="0"/>
    <n v="0.17"/>
    <x v="1"/>
    <x v="222"/>
    <n v="8562"/>
    <x v="0"/>
    <x v="225"/>
    <x v="0"/>
    <n v="12"/>
    <x v="6"/>
    <x v="2"/>
    <x v="0"/>
    <x v="1"/>
    <x v="0"/>
    <x v="0"/>
    <x v="1"/>
  </r>
  <r>
    <x v="235"/>
    <n v="14946"/>
    <n v="1640"/>
    <n v="16586"/>
    <x v="2"/>
    <x v="19"/>
    <x v="4"/>
    <x v="0"/>
    <x v="3"/>
    <x v="3"/>
    <n v="608"/>
    <x v="0"/>
    <n v="0"/>
    <x v="1"/>
    <n v="0.25"/>
    <x v="1"/>
    <x v="223"/>
    <n v="27759"/>
    <x v="0"/>
    <x v="226"/>
    <x v="3"/>
    <n v="36"/>
    <x v="4"/>
    <x v="2"/>
    <x v="2"/>
    <x v="0"/>
    <x v="0"/>
    <x v="3"/>
    <x v="0"/>
  </r>
  <r>
    <x v="236"/>
    <n v="6642"/>
    <n v="7490"/>
    <n v="14132"/>
    <x v="3"/>
    <x v="1"/>
    <x v="0"/>
    <x v="1"/>
    <x v="3"/>
    <x v="3"/>
    <n v="750"/>
    <x v="3"/>
    <n v="4"/>
    <x v="0"/>
    <n v="0.39"/>
    <x v="2"/>
    <x v="224"/>
    <n v="12026"/>
    <x v="0"/>
    <x v="227"/>
    <x v="2"/>
    <n v="72"/>
    <x v="2"/>
    <x v="0"/>
    <x v="0"/>
    <x v="1"/>
    <x v="1"/>
    <x v="3"/>
    <x v="1"/>
  </r>
  <r>
    <x v="237"/>
    <n v="13312"/>
    <n v="9179"/>
    <n v="22491"/>
    <x v="0"/>
    <x v="9"/>
    <x v="2"/>
    <x v="1"/>
    <x v="3"/>
    <x v="3"/>
    <n v="617"/>
    <x v="0"/>
    <n v="0"/>
    <x v="1"/>
    <n v="0.32"/>
    <x v="2"/>
    <x v="225"/>
    <n v="0"/>
    <x v="1"/>
    <x v="228"/>
    <x v="2"/>
    <n v="72"/>
    <x v="2"/>
    <x v="1"/>
    <x v="0"/>
    <x v="0"/>
    <x v="0"/>
    <x v="1"/>
    <x v="0"/>
  </r>
  <r>
    <x v="238"/>
    <n v="9679"/>
    <n v="1218"/>
    <n v="10897"/>
    <x v="0"/>
    <x v="32"/>
    <x v="3"/>
    <x v="1"/>
    <x v="2"/>
    <x v="2"/>
    <n v="748"/>
    <x v="3"/>
    <n v="1"/>
    <x v="0"/>
    <n v="0.27"/>
    <x v="1"/>
    <x v="226"/>
    <n v="31589"/>
    <x v="0"/>
    <x v="229"/>
    <x v="1"/>
    <n v="24"/>
    <x v="5"/>
    <x v="2"/>
    <x v="0"/>
    <x v="0"/>
    <x v="1"/>
    <x v="2"/>
    <x v="1"/>
  </r>
  <r>
    <x v="239"/>
    <n v="10208"/>
    <n v="5016"/>
    <n v="15224"/>
    <x v="2"/>
    <x v="10"/>
    <x v="0"/>
    <x v="0"/>
    <x v="0"/>
    <x v="0"/>
    <n v="764"/>
    <x v="3"/>
    <n v="1"/>
    <x v="0"/>
    <n v="0.47"/>
    <x v="3"/>
    <x v="227"/>
    <n v="42663"/>
    <x v="0"/>
    <x v="230"/>
    <x v="0"/>
    <n v="48"/>
    <x v="1"/>
    <x v="4"/>
    <x v="2"/>
    <x v="0"/>
    <x v="1"/>
    <x v="0"/>
    <x v="0"/>
  </r>
  <r>
    <x v="240"/>
    <n v="12716"/>
    <n v="6881"/>
    <n v="19597"/>
    <x v="0"/>
    <x v="10"/>
    <x v="0"/>
    <x v="0"/>
    <x v="3"/>
    <x v="3"/>
    <n v="679"/>
    <x v="1"/>
    <n v="2"/>
    <x v="0"/>
    <n v="0.55000000000000004"/>
    <x v="0"/>
    <x v="228"/>
    <n v="0"/>
    <x v="1"/>
    <x v="36"/>
    <x v="3"/>
    <n v="60"/>
    <x v="3"/>
    <x v="2"/>
    <x v="0"/>
    <x v="0"/>
    <x v="0"/>
    <x v="0"/>
    <x v="0"/>
  </r>
  <r>
    <x v="241"/>
    <n v="19453"/>
    <n v="9547"/>
    <n v="29000"/>
    <x v="4"/>
    <x v="25"/>
    <x v="4"/>
    <x v="0"/>
    <x v="2"/>
    <x v="2"/>
    <n v="598"/>
    <x v="0"/>
    <n v="3"/>
    <x v="0"/>
    <n v="0.48"/>
    <x v="3"/>
    <x v="229"/>
    <n v="26844"/>
    <x v="0"/>
    <x v="231"/>
    <x v="1"/>
    <n v="84"/>
    <x v="0"/>
    <x v="4"/>
    <x v="0"/>
    <x v="1"/>
    <x v="1"/>
    <x v="0"/>
    <x v="0"/>
  </r>
  <r>
    <x v="242"/>
    <n v="5444"/>
    <n v="9752"/>
    <n v="15196"/>
    <x v="2"/>
    <x v="14"/>
    <x v="2"/>
    <x v="0"/>
    <x v="0"/>
    <x v="0"/>
    <n v="550"/>
    <x v="2"/>
    <n v="0"/>
    <x v="1"/>
    <n v="0.27"/>
    <x v="1"/>
    <x v="230"/>
    <n v="23447"/>
    <x v="0"/>
    <x v="232"/>
    <x v="0"/>
    <n v="12"/>
    <x v="6"/>
    <x v="0"/>
    <x v="0"/>
    <x v="1"/>
    <x v="0"/>
    <x v="3"/>
    <x v="1"/>
  </r>
  <r>
    <x v="243"/>
    <n v="12757"/>
    <n v="9610"/>
    <n v="22367"/>
    <x v="0"/>
    <x v="29"/>
    <x v="2"/>
    <x v="1"/>
    <x v="0"/>
    <x v="0"/>
    <n v="781"/>
    <x v="3"/>
    <n v="2"/>
    <x v="0"/>
    <n v="0.47"/>
    <x v="3"/>
    <x v="231"/>
    <n v="24879"/>
    <x v="0"/>
    <x v="233"/>
    <x v="0"/>
    <n v="48"/>
    <x v="1"/>
    <x v="1"/>
    <x v="0"/>
    <x v="0"/>
    <x v="1"/>
    <x v="0"/>
    <x v="0"/>
  </r>
  <r>
    <x v="244"/>
    <n v="16434"/>
    <n v="954"/>
    <n v="17388"/>
    <x v="1"/>
    <x v="26"/>
    <x v="3"/>
    <x v="1"/>
    <x v="3"/>
    <x v="3"/>
    <n v="796"/>
    <x v="3"/>
    <n v="4"/>
    <x v="0"/>
    <n v="0.18"/>
    <x v="1"/>
    <x v="232"/>
    <n v="11966"/>
    <x v="0"/>
    <x v="234"/>
    <x v="2"/>
    <n v="24"/>
    <x v="5"/>
    <x v="4"/>
    <x v="0"/>
    <x v="0"/>
    <x v="0"/>
    <x v="0"/>
    <x v="1"/>
  </r>
  <r>
    <x v="245"/>
    <n v="3060"/>
    <n v="9175"/>
    <n v="12235"/>
    <x v="1"/>
    <x v="15"/>
    <x v="1"/>
    <x v="1"/>
    <x v="2"/>
    <x v="2"/>
    <n v="675"/>
    <x v="1"/>
    <n v="3"/>
    <x v="0"/>
    <n v="0.17"/>
    <x v="1"/>
    <x v="233"/>
    <n v="17732"/>
    <x v="0"/>
    <x v="235"/>
    <x v="3"/>
    <n v="36"/>
    <x v="4"/>
    <x v="4"/>
    <x v="1"/>
    <x v="0"/>
    <x v="1"/>
    <x v="3"/>
    <x v="1"/>
  </r>
  <r>
    <x v="246"/>
    <n v="5420"/>
    <n v="7291"/>
    <n v="12711"/>
    <x v="0"/>
    <x v="5"/>
    <x v="0"/>
    <x v="0"/>
    <x v="0"/>
    <x v="0"/>
    <n v="550"/>
    <x v="2"/>
    <n v="2"/>
    <x v="0"/>
    <n v="0.27"/>
    <x v="1"/>
    <x v="234"/>
    <n v="5289"/>
    <x v="0"/>
    <x v="236"/>
    <x v="0"/>
    <n v="12"/>
    <x v="6"/>
    <x v="2"/>
    <x v="2"/>
    <x v="1"/>
    <x v="0"/>
    <x v="1"/>
    <x v="1"/>
  </r>
  <r>
    <x v="247"/>
    <n v="2301"/>
    <n v="974"/>
    <n v="3275"/>
    <x v="0"/>
    <x v="15"/>
    <x v="1"/>
    <x v="0"/>
    <x v="2"/>
    <x v="2"/>
    <n v="788"/>
    <x v="3"/>
    <n v="0"/>
    <x v="1"/>
    <n v="0.5"/>
    <x v="3"/>
    <x v="235"/>
    <n v="20012"/>
    <x v="0"/>
    <x v="237"/>
    <x v="3"/>
    <n v="24"/>
    <x v="5"/>
    <x v="4"/>
    <x v="0"/>
    <x v="1"/>
    <x v="0"/>
    <x v="1"/>
    <x v="0"/>
  </r>
  <r>
    <x v="248"/>
    <n v="14468"/>
    <n v="4133"/>
    <n v="18601"/>
    <x v="2"/>
    <x v="8"/>
    <x v="0"/>
    <x v="0"/>
    <x v="0"/>
    <x v="0"/>
    <n v="708"/>
    <x v="1"/>
    <n v="1"/>
    <x v="0"/>
    <n v="0.22"/>
    <x v="1"/>
    <x v="236"/>
    <n v="18812"/>
    <x v="0"/>
    <x v="238"/>
    <x v="1"/>
    <n v="72"/>
    <x v="2"/>
    <x v="0"/>
    <x v="0"/>
    <x v="1"/>
    <x v="1"/>
    <x v="0"/>
    <x v="1"/>
  </r>
  <r>
    <x v="249"/>
    <n v="18990"/>
    <n v="5370"/>
    <n v="24360"/>
    <x v="0"/>
    <x v="25"/>
    <x v="4"/>
    <x v="0"/>
    <x v="0"/>
    <x v="0"/>
    <n v="660"/>
    <x v="0"/>
    <n v="4"/>
    <x v="0"/>
    <n v="0.13"/>
    <x v="1"/>
    <x v="237"/>
    <n v="35801"/>
    <x v="0"/>
    <x v="239"/>
    <x v="0"/>
    <n v="12"/>
    <x v="6"/>
    <x v="0"/>
    <x v="0"/>
    <x v="0"/>
    <x v="1"/>
    <x v="4"/>
    <x v="1"/>
  </r>
  <r>
    <x v="250"/>
    <n v="0"/>
    <n v="3972"/>
    <n v="3972"/>
    <x v="0"/>
    <x v="35"/>
    <x v="2"/>
    <x v="0"/>
    <x v="1"/>
    <x v="1"/>
    <n v="717"/>
    <x v="1"/>
    <n v="0"/>
    <x v="1"/>
    <n v="0.17"/>
    <x v="1"/>
    <x v="238"/>
    <n v="41628"/>
    <x v="0"/>
    <x v="240"/>
    <x v="0"/>
    <n v="24"/>
    <x v="5"/>
    <x v="0"/>
    <x v="0"/>
    <x v="1"/>
    <x v="0"/>
    <x v="1"/>
    <x v="1"/>
  </r>
  <r>
    <x v="251"/>
    <n v="2190"/>
    <n v="5295"/>
    <n v="7485"/>
    <x v="2"/>
    <x v="20"/>
    <x v="0"/>
    <x v="1"/>
    <x v="1"/>
    <x v="1"/>
    <n v="597"/>
    <x v="0"/>
    <n v="3"/>
    <x v="0"/>
    <n v="0.53"/>
    <x v="0"/>
    <x v="239"/>
    <n v="40581"/>
    <x v="0"/>
    <x v="241"/>
    <x v="2"/>
    <n v="72"/>
    <x v="2"/>
    <x v="2"/>
    <x v="0"/>
    <x v="1"/>
    <x v="1"/>
    <x v="0"/>
    <x v="0"/>
  </r>
  <r>
    <x v="252"/>
    <n v="12492"/>
    <n v="9105"/>
    <n v="21597"/>
    <x v="1"/>
    <x v="29"/>
    <x v="2"/>
    <x v="0"/>
    <x v="1"/>
    <x v="1"/>
    <n v="600"/>
    <x v="0"/>
    <n v="0"/>
    <x v="1"/>
    <n v="0.42"/>
    <x v="3"/>
    <x v="240"/>
    <n v="46628"/>
    <x v="0"/>
    <x v="242"/>
    <x v="0"/>
    <n v="84"/>
    <x v="0"/>
    <x v="1"/>
    <x v="2"/>
    <x v="1"/>
    <x v="1"/>
    <x v="0"/>
    <x v="0"/>
  </r>
  <r>
    <x v="253"/>
    <n v="19364"/>
    <n v="8228"/>
    <n v="27592"/>
    <x v="0"/>
    <x v="12"/>
    <x v="1"/>
    <x v="0"/>
    <x v="0"/>
    <x v="0"/>
    <n v="592"/>
    <x v="0"/>
    <n v="1"/>
    <x v="0"/>
    <n v="0.23"/>
    <x v="1"/>
    <x v="241"/>
    <n v="23092"/>
    <x v="0"/>
    <x v="243"/>
    <x v="3"/>
    <n v="72"/>
    <x v="2"/>
    <x v="2"/>
    <x v="0"/>
    <x v="1"/>
    <x v="1"/>
    <x v="1"/>
    <x v="0"/>
  </r>
  <r>
    <x v="254"/>
    <n v="4975"/>
    <n v="9903"/>
    <n v="14878"/>
    <x v="2"/>
    <x v="5"/>
    <x v="0"/>
    <x v="0"/>
    <x v="0"/>
    <x v="0"/>
    <n v="647"/>
    <x v="0"/>
    <n v="1"/>
    <x v="0"/>
    <n v="0.38"/>
    <x v="2"/>
    <x v="242"/>
    <n v="25105"/>
    <x v="0"/>
    <x v="244"/>
    <x v="0"/>
    <n v="48"/>
    <x v="1"/>
    <x v="0"/>
    <x v="0"/>
    <x v="1"/>
    <x v="0"/>
    <x v="2"/>
    <x v="0"/>
  </r>
  <r>
    <x v="255"/>
    <n v="8102"/>
    <n v="3020"/>
    <n v="11122"/>
    <x v="0"/>
    <x v="29"/>
    <x v="2"/>
    <x v="0"/>
    <x v="2"/>
    <x v="2"/>
    <n v="732"/>
    <x v="1"/>
    <n v="4"/>
    <x v="0"/>
    <n v="0.36"/>
    <x v="2"/>
    <x v="243"/>
    <n v="14294"/>
    <x v="0"/>
    <x v="36"/>
    <x v="3"/>
    <n v="36"/>
    <x v="4"/>
    <x v="2"/>
    <x v="2"/>
    <x v="0"/>
    <x v="1"/>
    <x v="2"/>
    <x v="1"/>
  </r>
  <r>
    <x v="256"/>
    <n v="19568"/>
    <n v="8987"/>
    <n v="28555"/>
    <x v="4"/>
    <x v="33"/>
    <x v="4"/>
    <x v="0"/>
    <x v="2"/>
    <x v="2"/>
    <n v="765"/>
    <x v="3"/>
    <n v="4"/>
    <x v="0"/>
    <n v="0.43"/>
    <x v="3"/>
    <x v="244"/>
    <n v="3621"/>
    <x v="0"/>
    <x v="245"/>
    <x v="2"/>
    <n v="60"/>
    <x v="3"/>
    <x v="0"/>
    <x v="0"/>
    <x v="0"/>
    <x v="0"/>
    <x v="0"/>
    <x v="0"/>
  </r>
  <r>
    <x v="257"/>
    <n v="3816"/>
    <n v="4036"/>
    <n v="7852"/>
    <x v="2"/>
    <x v="2"/>
    <x v="1"/>
    <x v="1"/>
    <x v="0"/>
    <x v="0"/>
    <n v="726"/>
    <x v="1"/>
    <n v="1"/>
    <x v="0"/>
    <n v="0.22"/>
    <x v="1"/>
    <x v="245"/>
    <n v="32442"/>
    <x v="0"/>
    <x v="246"/>
    <x v="2"/>
    <n v="24"/>
    <x v="5"/>
    <x v="3"/>
    <x v="0"/>
    <x v="1"/>
    <x v="0"/>
    <x v="4"/>
    <x v="0"/>
  </r>
  <r>
    <x v="258"/>
    <n v="2569"/>
    <n v="5068"/>
    <n v="7637"/>
    <x v="1"/>
    <x v="3"/>
    <x v="2"/>
    <x v="0"/>
    <x v="0"/>
    <x v="0"/>
    <n v="673"/>
    <x v="1"/>
    <n v="1"/>
    <x v="0"/>
    <n v="0.53"/>
    <x v="0"/>
    <x v="246"/>
    <n v="21699"/>
    <x v="0"/>
    <x v="247"/>
    <x v="0"/>
    <n v="84"/>
    <x v="0"/>
    <x v="3"/>
    <x v="0"/>
    <x v="1"/>
    <x v="0"/>
    <x v="3"/>
    <x v="0"/>
  </r>
  <r>
    <x v="259"/>
    <n v="5863"/>
    <n v="317"/>
    <n v="6180"/>
    <x v="0"/>
    <x v="17"/>
    <x v="1"/>
    <x v="1"/>
    <x v="3"/>
    <x v="3"/>
    <n v="734"/>
    <x v="1"/>
    <n v="2"/>
    <x v="0"/>
    <n v="0.11"/>
    <x v="1"/>
    <x v="247"/>
    <n v="29486"/>
    <x v="0"/>
    <x v="248"/>
    <x v="0"/>
    <n v="84"/>
    <x v="0"/>
    <x v="3"/>
    <x v="1"/>
    <x v="0"/>
    <x v="1"/>
    <x v="0"/>
    <x v="1"/>
  </r>
  <r>
    <x v="260"/>
    <n v="14913"/>
    <n v="2396"/>
    <n v="17309"/>
    <x v="2"/>
    <x v="26"/>
    <x v="3"/>
    <x v="0"/>
    <x v="0"/>
    <x v="0"/>
    <n v="660"/>
    <x v="0"/>
    <n v="0"/>
    <x v="1"/>
    <n v="0.28999999999999998"/>
    <x v="1"/>
    <x v="248"/>
    <n v="47650"/>
    <x v="0"/>
    <x v="249"/>
    <x v="0"/>
    <n v="84"/>
    <x v="0"/>
    <x v="0"/>
    <x v="0"/>
    <x v="1"/>
    <x v="0"/>
    <x v="3"/>
    <x v="1"/>
  </r>
  <r>
    <x v="261"/>
    <n v="9455"/>
    <n v="0"/>
    <n v="9455"/>
    <x v="0"/>
    <x v="29"/>
    <x v="2"/>
    <x v="0"/>
    <x v="2"/>
    <x v="2"/>
    <n v="754"/>
    <x v="3"/>
    <n v="1"/>
    <x v="0"/>
    <n v="0.28000000000000003"/>
    <x v="1"/>
    <x v="249"/>
    <n v="17110"/>
    <x v="0"/>
    <x v="250"/>
    <x v="0"/>
    <n v="48"/>
    <x v="1"/>
    <x v="2"/>
    <x v="2"/>
    <x v="1"/>
    <x v="0"/>
    <x v="0"/>
    <x v="1"/>
  </r>
  <r>
    <x v="262"/>
    <n v="6014"/>
    <n v="2745"/>
    <n v="8759"/>
    <x v="0"/>
    <x v="38"/>
    <x v="1"/>
    <x v="0"/>
    <x v="1"/>
    <x v="1"/>
    <n v="692"/>
    <x v="1"/>
    <n v="4"/>
    <x v="0"/>
    <n v="0.37"/>
    <x v="2"/>
    <x v="250"/>
    <n v="4923"/>
    <x v="0"/>
    <x v="251"/>
    <x v="2"/>
    <n v="48"/>
    <x v="1"/>
    <x v="2"/>
    <x v="0"/>
    <x v="1"/>
    <x v="1"/>
    <x v="0"/>
    <x v="1"/>
  </r>
  <r>
    <x v="263"/>
    <n v="13093"/>
    <n v="1591"/>
    <n v="14684"/>
    <x v="0"/>
    <x v="24"/>
    <x v="2"/>
    <x v="1"/>
    <x v="1"/>
    <x v="1"/>
    <n v="576"/>
    <x v="2"/>
    <n v="2"/>
    <x v="0"/>
    <n v="0.14000000000000001"/>
    <x v="1"/>
    <x v="251"/>
    <n v="15611"/>
    <x v="0"/>
    <x v="252"/>
    <x v="3"/>
    <n v="72"/>
    <x v="2"/>
    <x v="4"/>
    <x v="2"/>
    <x v="0"/>
    <x v="0"/>
    <x v="4"/>
    <x v="0"/>
  </r>
  <r>
    <x v="264"/>
    <n v="18538"/>
    <n v="3930"/>
    <n v="22468"/>
    <x v="3"/>
    <x v="28"/>
    <x v="0"/>
    <x v="0"/>
    <x v="3"/>
    <x v="3"/>
    <n v="757"/>
    <x v="3"/>
    <n v="2"/>
    <x v="0"/>
    <n v="0.21"/>
    <x v="1"/>
    <x v="252"/>
    <n v="19199"/>
    <x v="0"/>
    <x v="253"/>
    <x v="1"/>
    <n v="48"/>
    <x v="1"/>
    <x v="3"/>
    <x v="0"/>
    <x v="1"/>
    <x v="1"/>
    <x v="0"/>
    <x v="1"/>
  </r>
  <r>
    <x v="265"/>
    <n v="12729"/>
    <n v="1312"/>
    <n v="14041"/>
    <x v="0"/>
    <x v="3"/>
    <x v="2"/>
    <x v="1"/>
    <x v="1"/>
    <x v="1"/>
    <n v="741"/>
    <x v="3"/>
    <n v="1"/>
    <x v="0"/>
    <n v="0.44"/>
    <x v="3"/>
    <x v="253"/>
    <n v="9066"/>
    <x v="0"/>
    <x v="254"/>
    <x v="1"/>
    <n v="48"/>
    <x v="1"/>
    <x v="2"/>
    <x v="1"/>
    <x v="1"/>
    <x v="1"/>
    <x v="4"/>
    <x v="0"/>
  </r>
  <r>
    <x v="266"/>
    <n v="3409"/>
    <n v="9477"/>
    <n v="12886"/>
    <x v="0"/>
    <x v="0"/>
    <x v="0"/>
    <x v="1"/>
    <x v="3"/>
    <x v="3"/>
    <n v="771"/>
    <x v="3"/>
    <n v="0"/>
    <x v="1"/>
    <n v="0.5"/>
    <x v="3"/>
    <x v="254"/>
    <n v="36047"/>
    <x v="0"/>
    <x v="255"/>
    <x v="0"/>
    <n v="24"/>
    <x v="5"/>
    <x v="3"/>
    <x v="1"/>
    <x v="1"/>
    <x v="1"/>
    <x v="0"/>
    <x v="0"/>
  </r>
  <r>
    <x v="267"/>
    <n v="14249"/>
    <n v="4311"/>
    <n v="18560"/>
    <x v="2"/>
    <x v="25"/>
    <x v="4"/>
    <x v="1"/>
    <x v="2"/>
    <x v="2"/>
    <n v="785"/>
    <x v="3"/>
    <n v="4"/>
    <x v="0"/>
    <n v="0.38"/>
    <x v="2"/>
    <x v="255"/>
    <n v="26754"/>
    <x v="0"/>
    <x v="256"/>
    <x v="1"/>
    <n v="48"/>
    <x v="1"/>
    <x v="3"/>
    <x v="0"/>
    <x v="1"/>
    <x v="0"/>
    <x v="3"/>
    <x v="1"/>
  </r>
  <r>
    <x v="268"/>
    <n v="0"/>
    <n v="7314"/>
    <n v="7314"/>
    <x v="0"/>
    <x v="30"/>
    <x v="2"/>
    <x v="1"/>
    <x v="3"/>
    <x v="3"/>
    <n v="707"/>
    <x v="1"/>
    <n v="2"/>
    <x v="0"/>
    <n v="0.47"/>
    <x v="3"/>
    <x v="256"/>
    <n v="36575"/>
    <x v="0"/>
    <x v="257"/>
    <x v="0"/>
    <n v="60"/>
    <x v="3"/>
    <x v="1"/>
    <x v="1"/>
    <x v="1"/>
    <x v="0"/>
    <x v="1"/>
    <x v="0"/>
  </r>
  <r>
    <x v="269"/>
    <n v="10096"/>
    <n v="2383"/>
    <n v="12479"/>
    <x v="0"/>
    <x v="31"/>
    <x v="4"/>
    <x v="1"/>
    <x v="3"/>
    <x v="3"/>
    <n v="713"/>
    <x v="1"/>
    <n v="3"/>
    <x v="0"/>
    <n v="0.43"/>
    <x v="3"/>
    <x v="257"/>
    <n v="24260"/>
    <x v="0"/>
    <x v="258"/>
    <x v="1"/>
    <n v="24"/>
    <x v="5"/>
    <x v="4"/>
    <x v="0"/>
    <x v="1"/>
    <x v="1"/>
    <x v="0"/>
    <x v="0"/>
  </r>
  <r>
    <x v="270"/>
    <n v="9560"/>
    <n v="0"/>
    <n v="9560"/>
    <x v="4"/>
    <x v="13"/>
    <x v="2"/>
    <x v="0"/>
    <x v="1"/>
    <x v="1"/>
    <n v="744"/>
    <x v="3"/>
    <n v="1"/>
    <x v="0"/>
    <n v="0.28000000000000003"/>
    <x v="1"/>
    <x v="258"/>
    <n v="46733"/>
    <x v="0"/>
    <x v="259"/>
    <x v="1"/>
    <n v="60"/>
    <x v="3"/>
    <x v="0"/>
    <x v="1"/>
    <x v="1"/>
    <x v="1"/>
    <x v="0"/>
    <x v="1"/>
  </r>
  <r>
    <x v="271"/>
    <n v="14533"/>
    <n v="2139"/>
    <n v="16672"/>
    <x v="1"/>
    <x v="27"/>
    <x v="3"/>
    <x v="1"/>
    <x v="1"/>
    <x v="1"/>
    <n v="763"/>
    <x v="3"/>
    <n v="0"/>
    <x v="1"/>
    <n v="0.5"/>
    <x v="3"/>
    <x v="259"/>
    <n v="48891"/>
    <x v="0"/>
    <x v="260"/>
    <x v="3"/>
    <n v="12"/>
    <x v="6"/>
    <x v="3"/>
    <x v="2"/>
    <x v="1"/>
    <x v="1"/>
    <x v="1"/>
    <x v="0"/>
  </r>
  <r>
    <x v="272"/>
    <n v="9343"/>
    <n v="1704"/>
    <n v="11047"/>
    <x v="3"/>
    <x v="21"/>
    <x v="1"/>
    <x v="0"/>
    <x v="0"/>
    <x v="0"/>
    <n v="662"/>
    <x v="0"/>
    <n v="1"/>
    <x v="0"/>
    <n v="0.25"/>
    <x v="1"/>
    <x v="260"/>
    <n v="16991"/>
    <x v="0"/>
    <x v="261"/>
    <x v="0"/>
    <n v="24"/>
    <x v="5"/>
    <x v="4"/>
    <x v="0"/>
    <x v="1"/>
    <x v="0"/>
    <x v="0"/>
    <x v="1"/>
  </r>
  <r>
    <x v="273"/>
    <n v="9206"/>
    <n v="6924"/>
    <n v="16130"/>
    <x v="0"/>
    <x v="37"/>
    <x v="1"/>
    <x v="1"/>
    <x v="0"/>
    <x v="0"/>
    <n v="635"/>
    <x v="0"/>
    <n v="3"/>
    <x v="0"/>
    <n v="0.39"/>
    <x v="2"/>
    <x v="261"/>
    <n v="22553"/>
    <x v="0"/>
    <x v="262"/>
    <x v="2"/>
    <n v="48"/>
    <x v="1"/>
    <x v="0"/>
    <x v="1"/>
    <x v="1"/>
    <x v="0"/>
    <x v="0"/>
    <x v="0"/>
  </r>
  <r>
    <x v="274"/>
    <n v="7801"/>
    <n v="362"/>
    <n v="8163"/>
    <x v="0"/>
    <x v="15"/>
    <x v="1"/>
    <x v="0"/>
    <x v="1"/>
    <x v="1"/>
    <n v="663"/>
    <x v="0"/>
    <n v="0"/>
    <x v="1"/>
    <n v="0.47"/>
    <x v="3"/>
    <x v="262"/>
    <n v="24174"/>
    <x v="0"/>
    <x v="263"/>
    <x v="1"/>
    <n v="48"/>
    <x v="1"/>
    <x v="2"/>
    <x v="0"/>
    <x v="1"/>
    <x v="1"/>
    <x v="4"/>
    <x v="0"/>
  </r>
  <r>
    <x v="275"/>
    <n v="18921"/>
    <n v="2604"/>
    <n v="21525"/>
    <x v="1"/>
    <x v="19"/>
    <x v="4"/>
    <x v="1"/>
    <x v="3"/>
    <x v="3"/>
    <n v="798"/>
    <x v="3"/>
    <n v="3"/>
    <x v="0"/>
    <n v="0.28999999999999998"/>
    <x v="1"/>
    <x v="263"/>
    <n v="21957"/>
    <x v="0"/>
    <x v="36"/>
    <x v="3"/>
    <n v="60"/>
    <x v="3"/>
    <x v="4"/>
    <x v="0"/>
    <x v="1"/>
    <x v="0"/>
    <x v="1"/>
    <x v="0"/>
  </r>
  <r>
    <x v="276"/>
    <n v="7986"/>
    <n v="9908"/>
    <n v="17894"/>
    <x v="2"/>
    <x v="24"/>
    <x v="2"/>
    <x v="1"/>
    <x v="3"/>
    <x v="3"/>
    <n v="791"/>
    <x v="3"/>
    <n v="1"/>
    <x v="0"/>
    <n v="0.25"/>
    <x v="1"/>
    <x v="264"/>
    <n v="634"/>
    <x v="0"/>
    <x v="264"/>
    <x v="2"/>
    <n v="48"/>
    <x v="1"/>
    <x v="4"/>
    <x v="2"/>
    <x v="1"/>
    <x v="0"/>
    <x v="4"/>
    <x v="1"/>
  </r>
  <r>
    <x v="277"/>
    <n v="12647"/>
    <n v="4286"/>
    <n v="16933"/>
    <x v="1"/>
    <x v="29"/>
    <x v="2"/>
    <x v="0"/>
    <x v="0"/>
    <x v="0"/>
    <n v="796"/>
    <x v="3"/>
    <n v="2"/>
    <x v="0"/>
    <n v="0.33"/>
    <x v="2"/>
    <x v="265"/>
    <n v="29881"/>
    <x v="0"/>
    <x v="265"/>
    <x v="3"/>
    <n v="48"/>
    <x v="1"/>
    <x v="4"/>
    <x v="0"/>
    <x v="1"/>
    <x v="0"/>
    <x v="0"/>
    <x v="1"/>
  </r>
  <r>
    <x v="278"/>
    <n v="10716"/>
    <n v="3738"/>
    <n v="14454"/>
    <x v="1"/>
    <x v="14"/>
    <x v="2"/>
    <x v="1"/>
    <x v="0"/>
    <x v="0"/>
    <n v="673"/>
    <x v="1"/>
    <n v="1"/>
    <x v="0"/>
    <n v="0.51"/>
    <x v="0"/>
    <x v="266"/>
    <n v="12771"/>
    <x v="0"/>
    <x v="266"/>
    <x v="0"/>
    <n v="48"/>
    <x v="1"/>
    <x v="2"/>
    <x v="1"/>
    <x v="1"/>
    <x v="0"/>
    <x v="4"/>
    <x v="0"/>
  </r>
  <r>
    <x v="279"/>
    <n v="14323"/>
    <n v="2469"/>
    <n v="16792"/>
    <x v="0"/>
    <x v="24"/>
    <x v="2"/>
    <x v="0"/>
    <x v="0"/>
    <x v="0"/>
    <n v="598"/>
    <x v="0"/>
    <n v="1"/>
    <x v="0"/>
    <n v="0.56000000000000005"/>
    <x v="0"/>
    <x v="267"/>
    <n v="18298"/>
    <x v="0"/>
    <x v="267"/>
    <x v="2"/>
    <n v="84"/>
    <x v="0"/>
    <x v="2"/>
    <x v="2"/>
    <x v="1"/>
    <x v="1"/>
    <x v="0"/>
    <x v="0"/>
  </r>
  <r>
    <x v="280"/>
    <n v="6780"/>
    <n v="4795"/>
    <n v="11575"/>
    <x v="2"/>
    <x v="21"/>
    <x v="1"/>
    <x v="1"/>
    <x v="2"/>
    <x v="2"/>
    <n v="625"/>
    <x v="0"/>
    <n v="1"/>
    <x v="0"/>
    <n v="0.37"/>
    <x v="2"/>
    <x v="268"/>
    <n v="14340"/>
    <x v="0"/>
    <x v="268"/>
    <x v="2"/>
    <n v="72"/>
    <x v="2"/>
    <x v="4"/>
    <x v="0"/>
    <x v="1"/>
    <x v="1"/>
    <x v="0"/>
    <x v="0"/>
  </r>
  <r>
    <x v="281"/>
    <n v="4368"/>
    <n v="6150"/>
    <n v="10518"/>
    <x v="0"/>
    <x v="5"/>
    <x v="0"/>
    <x v="0"/>
    <x v="2"/>
    <x v="2"/>
    <n v="604"/>
    <x v="0"/>
    <n v="4"/>
    <x v="0"/>
    <n v="0.43"/>
    <x v="3"/>
    <x v="269"/>
    <n v="33356"/>
    <x v="0"/>
    <x v="269"/>
    <x v="2"/>
    <n v="36"/>
    <x v="4"/>
    <x v="1"/>
    <x v="2"/>
    <x v="1"/>
    <x v="0"/>
    <x v="1"/>
    <x v="0"/>
  </r>
  <r>
    <x v="282"/>
    <n v="14039"/>
    <n v="556"/>
    <n v="14595"/>
    <x v="0"/>
    <x v="3"/>
    <x v="2"/>
    <x v="0"/>
    <x v="0"/>
    <x v="0"/>
    <n v="762"/>
    <x v="3"/>
    <n v="3"/>
    <x v="0"/>
    <n v="0.55000000000000004"/>
    <x v="0"/>
    <x v="270"/>
    <n v="35999"/>
    <x v="0"/>
    <x v="270"/>
    <x v="2"/>
    <n v="48"/>
    <x v="1"/>
    <x v="3"/>
    <x v="2"/>
    <x v="0"/>
    <x v="1"/>
    <x v="0"/>
    <x v="0"/>
  </r>
  <r>
    <x v="283"/>
    <n v="8655"/>
    <n v="0"/>
    <n v="8655"/>
    <x v="4"/>
    <x v="4"/>
    <x v="1"/>
    <x v="1"/>
    <x v="3"/>
    <x v="3"/>
    <n v="605"/>
    <x v="0"/>
    <n v="3"/>
    <x v="0"/>
    <n v="0.15"/>
    <x v="1"/>
    <x v="271"/>
    <n v="6351"/>
    <x v="0"/>
    <x v="271"/>
    <x v="2"/>
    <n v="60"/>
    <x v="3"/>
    <x v="2"/>
    <x v="2"/>
    <x v="0"/>
    <x v="0"/>
    <x v="3"/>
    <x v="0"/>
  </r>
  <r>
    <x v="284"/>
    <n v="10173"/>
    <n v="2808"/>
    <n v="12981"/>
    <x v="0"/>
    <x v="2"/>
    <x v="1"/>
    <x v="0"/>
    <x v="0"/>
    <x v="0"/>
    <n v="745"/>
    <x v="3"/>
    <n v="3"/>
    <x v="0"/>
    <n v="0.22"/>
    <x v="1"/>
    <x v="272"/>
    <n v="3838"/>
    <x v="0"/>
    <x v="272"/>
    <x v="2"/>
    <n v="24"/>
    <x v="5"/>
    <x v="1"/>
    <x v="0"/>
    <x v="1"/>
    <x v="1"/>
    <x v="4"/>
    <x v="1"/>
  </r>
  <r>
    <x v="285"/>
    <n v="6495"/>
    <n v="5150"/>
    <n v="11645"/>
    <x v="0"/>
    <x v="7"/>
    <x v="0"/>
    <x v="1"/>
    <x v="2"/>
    <x v="2"/>
    <n v="644"/>
    <x v="0"/>
    <n v="4"/>
    <x v="0"/>
    <n v="0.45"/>
    <x v="3"/>
    <x v="273"/>
    <n v="1973"/>
    <x v="0"/>
    <x v="273"/>
    <x v="0"/>
    <n v="12"/>
    <x v="6"/>
    <x v="2"/>
    <x v="0"/>
    <x v="1"/>
    <x v="1"/>
    <x v="1"/>
    <x v="0"/>
  </r>
  <r>
    <x v="286"/>
    <n v="12893"/>
    <n v="7561"/>
    <n v="20454"/>
    <x v="2"/>
    <x v="38"/>
    <x v="1"/>
    <x v="0"/>
    <x v="3"/>
    <x v="3"/>
    <n v="593"/>
    <x v="0"/>
    <n v="2"/>
    <x v="0"/>
    <n v="0.51"/>
    <x v="0"/>
    <x v="274"/>
    <n v="47114"/>
    <x v="0"/>
    <x v="274"/>
    <x v="3"/>
    <n v="72"/>
    <x v="2"/>
    <x v="4"/>
    <x v="2"/>
    <x v="0"/>
    <x v="1"/>
    <x v="0"/>
    <x v="0"/>
  </r>
  <r>
    <x v="287"/>
    <n v="15121"/>
    <n v="6506"/>
    <n v="21627"/>
    <x v="2"/>
    <x v="12"/>
    <x v="1"/>
    <x v="0"/>
    <x v="3"/>
    <x v="3"/>
    <n v="735"/>
    <x v="1"/>
    <n v="2"/>
    <x v="0"/>
    <n v="0.31"/>
    <x v="2"/>
    <x v="275"/>
    <n v="10247"/>
    <x v="0"/>
    <x v="275"/>
    <x v="0"/>
    <n v="24"/>
    <x v="5"/>
    <x v="0"/>
    <x v="0"/>
    <x v="1"/>
    <x v="1"/>
    <x v="1"/>
    <x v="1"/>
  </r>
  <r>
    <x v="288"/>
    <n v="12966"/>
    <n v="3741"/>
    <n v="16707"/>
    <x v="0"/>
    <x v="5"/>
    <x v="0"/>
    <x v="0"/>
    <x v="2"/>
    <x v="2"/>
    <n v="636"/>
    <x v="0"/>
    <n v="4"/>
    <x v="0"/>
    <n v="0.14000000000000001"/>
    <x v="1"/>
    <x v="276"/>
    <n v="44440"/>
    <x v="0"/>
    <x v="276"/>
    <x v="2"/>
    <n v="48"/>
    <x v="1"/>
    <x v="3"/>
    <x v="2"/>
    <x v="1"/>
    <x v="0"/>
    <x v="4"/>
    <x v="0"/>
  </r>
  <r>
    <x v="289"/>
    <n v="2853"/>
    <n v="9766"/>
    <n v="12619"/>
    <x v="2"/>
    <x v="2"/>
    <x v="1"/>
    <x v="0"/>
    <x v="3"/>
    <x v="3"/>
    <n v="795"/>
    <x v="3"/>
    <n v="3"/>
    <x v="0"/>
    <n v="0.32"/>
    <x v="2"/>
    <x v="277"/>
    <n v="31655"/>
    <x v="0"/>
    <x v="36"/>
    <x v="3"/>
    <n v="72"/>
    <x v="2"/>
    <x v="3"/>
    <x v="0"/>
    <x v="1"/>
    <x v="1"/>
    <x v="0"/>
    <x v="1"/>
  </r>
  <r>
    <x v="290"/>
    <n v="0"/>
    <n v="3998"/>
    <n v="3998"/>
    <x v="0"/>
    <x v="23"/>
    <x v="0"/>
    <x v="0"/>
    <x v="3"/>
    <x v="3"/>
    <n v="730"/>
    <x v="1"/>
    <n v="1"/>
    <x v="0"/>
    <n v="0.22"/>
    <x v="1"/>
    <x v="278"/>
    <n v="43039"/>
    <x v="0"/>
    <x v="277"/>
    <x v="0"/>
    <n v="48"/>
    <x v="1"/>
    <x v="2"/>
    <x v="2"/>
    <x v="1"/>
    <x v="0"/>
    <x v="0"/>
    <x v="1"/>
  </r>
  <r>
    <x v="291"/>
    <n v="19532"/>
    <n v="2403"/>
    <n v="21935"/>
    <x v="0"/>
    <x v="15"/>
    <x v="1"/>
    <x v="0"/>
    <x v="3"/>
    <x v="3"/>
    <n v="633"/>
    <x v="0"/>
    <n v="0"/>
    <x v="1"/>
    <n v="0.25"/>
    <x v="1"/>
    <x v="279"/>
    <n v="6683"/>
    <x v="0"/>
    <x v="278"/>
    <x v="2"/>
    <n v="72"/>
    <x v="2"/>
    <x v="3"/>
    <x v="2"/>
    <x v="1"/>
    <x v="1"/>
    <x v="0"/>
    <x v="0"/>
  </r>
  <r>
    <x v="292"/>
    <n v="11907"/>
    <n v="8780"/>
    <n v="20687"/>
    <x v="3"/>
    <x v="2"/>
    <x v="1"/>
    <x v="0"/>
    <x v="3"/>
    <x v="3"/>
    <n v="756"/>
    <x v="3"/>
    <n v="0"/>
    <x v="1"/>
    <n v="0.49"/>
    <x v="3"/>
    <x v="280"/>
    <n v="11244"/>
    <x v="0"/>
    <x v="279"/>
    <x v="0"/>
    <n v="48"/>
    <x v="1"/>
    <x v="0"/>
    <x v="2"/>
    <x v="1"/>
    <x v="1"/>
    <x v="1"/>
    <x v="0"/>
  </r>
  <r>
    <x v="293"/>
    <n v="6777"/>
    <n v="9739"/>
    <n v="16516"/>
    <x v="2"/>
    <x v="5"/>
    <x v="0"/>
    <x v="1"/>
    <x v="1"/>
    <x v="1"/>
    <n v="700"/>
    <x v="1"/>
    <n v="2"/>
    <x v="0"/>
    <n v="0.14000000000000001"/>
    <x v="1"/>
    <x v="281"/>
    <n v="29058"/>
    <x v="0"/>
    <x v="280"/>
    <x v="2"/>
    <n v="84"/>
    <x v="0"/>
    <x v="1"/>
    <x v="0"/>
    <x v="0"/>
    <x v="0"/>
    <x v="0"/>
    <x v="1"/>
  </r>
  <r>
    <x v="294"/>
    <n v="0"/>
    <n v="294"/>
    <n v="294"/>
    <x v="0"/>
    <x v="29"/>
    <x v="2"/>
    <x v="1"/>
    <x v="2"/>
    <x v="2"/>
    <n v="705"/>
    <x v="1"/>
    <n v="3"/>
    <x v="0"/>
    <n v="0.35"/>
    <x v="2"/>
    <x v="282"/>
    <n v="39551"/>
    <x v="0"/>
    <x v="281"/>
    <x v="2"/>
    <n v="12"/>
    <x v="6"/>
    <x v="1"/>
    <x v="0"/>
    <x v="1"/>
    <x v="1"/>
    <x v="1"/>
    <x v="0"/>
  </r>
  <r>
    <x v="295"/>
    <n v="4491"/>
    <n v="0"/>
    <n v="4491"/>
    <x v="0"/>
    <x v="3"/>
    <x v="2"/>
    <x v="0"/>
    <x v="2"/>
    <x v="2"/>
    <n v="565"/>
    <x v="2"/>
    <n v="0"/>
    <x v="1"/>
    <n v="0.31"/>
    <x v="2"/>
    <x v="283"/>
    <n v="38362"/>
    <x v="0"/>
    <x v="282"/>
    <x v="2"/>
    <n v="72"/>
    <x v="2"/>
    <x v="4"/>
    <x v="0"/>
    <x v="1"/>
    <x v="1"/>
    <x v="0"/>
    <x v="0"/>
  </r>
  <r>
    <x v="296"/>
    <n v="0"/>
    <n v="9882"/>
    <n v="9882"/>
    <x v="2"/>
    <x v="2"/>
    <x v="1"/>
    <x v="1"/>
    <x v="0"/>
    <x v="0"/>
    <n v="714"/>
    <x v="1"/>
    <n v="2"/>
    <x v="0"/>
    <n v="0.4"/>
    <x v="2"/>
    <x v="284"/>
    <n v="28371"/>
    <x v="0"/>
    <x v="283"/>
    <x v="0"/>
    <n v="36"/>
    <x v="4"/>
    <x v="1"/>
    <x v="1"/>
    <x v="1"/>
    <x v="0"/>
    <x v="1"/>
    <x v="0"/>
  </r>
  <r>
    <x v="297"/>
    <n v="16599"/>
    <n v="1136"/>
    <n v="17735"/>
    <x v="1"/>
    <x v="31"/>
    <x v="4"/>
    <x v="0"/>
    <x v="3"/>
    <x v="3"/>
    <n v="698"/>
    <x v="1"/>
    <n v="4"/>
    <x v="0"/>
    <n v="0.14000000000000001"/>
    <x v="1"/>
    <x v="285"/>
    <n v="3822"/>
    <x v="0"/>
    <x v="56"/>
    <x v="0"/>
    <n v="72"/>
    <x v="2"/>
    <x v="2"/>
    <x v="0"/>
    <x v="1"/>
    <x v="1"/>
    <x v="0"/>
    <x v="1"/>
  </r>
  <r>
    <x v="298"/>
    <n v="5051"/>
    <n v="2064"/>
    <n v="7115"/>
    <x v="2"/>
    <x v="18"/>
    <x v="0"/>
    <x v="1"/>
    <x v="3"/>
    <x v="3"/>
    <n v="756"/>
    <x v="3"/>
    <n v="2"/>
    <x v="0"/>
    <n v="0.35"/>
    <x v="2"/>
    <x v="286"/>
    <n v="28878"/>
    <x v="0"/>
    <x v="284"/>
    <x v="2"/>
    <n v="12"/>
    <x v="6"/>
    <x v="0"/>
    <x v="1"/>
    <x v="1"/>
    <x v="1"/>
    <x v="4"/>
    <x v="0"/>
  </r>
  <r>
    <x v="299"/>
    <n v="17979"/>
    <n v="7009"/>
    <n v="24988"/>
    <x v="2"/>
    <x v="34"/>
    <x v="3"/>
    <x v="1"/>
    <x v="2"/>
    <x v="2"/>
    <n v="694"/>
    <x v="1"/>
    <n v="2"/>
    <x v="0"/>
    <n v="0.14000000000000001"/>
    <x v="1"/>
    <x v="287"/>
    <n v="36157"/>
    <x v="0"/>
    <x v="285"/>
    <x v="2"/>
    <n v="24"/>
    <x v="5"/>
    <x v="4"/>
    <x v="2"/>
    <x v="1"/>
    <x v="1"/>
    <x v="0"/>
    <x v="1"/>
  </r>
  <r>
    <x v="300"/>
    <n v="18388"/>
    <n v="4543"/>
    <n v="22931"/>
    <x v="0"/>
    <x v="25"/>
    <x v="4"/>
    <x v="1"/>
    <x v="1"/>
    <x v="1"/>
    <n v="791"/>
    <x v="3"/>
    <n v="2"/>
    <x v="0"/>
    <n v="0.57999999999999996"/>
    <x v="0"/>
    <x v="48"/>
    <n v="5914"/>
    <x v="0"/>
    <x v="286"/>
    <x v="2"/>
    <n v="24"/>
    <x v="5"/>
    <x v="2"/>
    <x v="1"/>
    <x v="1"/>
    <x v="1"/>
    <x v="0"/>
    <x v="0"/>
  </r>
  <r>
    <x v="301"/>
    <n v="2876"/>
    <n v="1007"/>
    <n v="3883"/>
    <x v="0"/>
    <x v="5"/>
    <x v="0"/>
    <x v="0"/>
    <x v="3"/>
    <x v="3"/>
    <n v="586"/>
    <x v="0"/>
    <n v="1"/>
    <x v="0"/>
    <n v="0.5"/>
    <x v="3"/>
    <x v="288"/>
    <n v="18164"/>
    <x v="0"/>
    <x v="287"/>
    <x v="2"/>
    <n v="72"/>
    <x v="2"/>
    <x v="2"/>
    <x v="0"/>
    <x v="1"/>
    <x v="1"/>
    <x v="1"/>
    <x v="0"/>
  </r>
  <r>
    <x v="302"/>
    <n v="6142"/>
    <n v="5445"/>
    <n v="11587"/>
    <x v="1"/>
    <x v="17"/>
    <x v="1"/>
    <x v="1"/>
    <x v="3"/>
    <x v="3"/>
    <n v="550"/>
    <x v="2"/>
    <n v="2"/>
    <x v="0"/>
    <n v="0.33"/>
    <x v="2"/>
    <x v="289"/>
    <n v="27180"/>
    <x v="0"/>
    <x v="288"/>
    <x v="2"/>
    <n v="72"/>
    <x v="2"/>
    <x v="2"/>
    <x v="0"/>
    <x v="0"/>
    <x v="1"/>
    <x v="0"/>
    <x v="0"/>
  </r>
  <r>
    <x v="303"/>
    <n v="17202"/>
    <n v="5352"/>
    <n v="22554"/>
    <x v="0"/>
    <x v="3"/>
    <x v="2"/>
    <x v="0"/>
    <x v="0"/>
    <x v="0"/>
    <n v="696"/>
    <x v="1"/>
    <n v="2"/>
    <x v="0"/>
    <n v="0.21"/>
    <x v="1"/>
    <x v="290"/>
    <n v="3688"/>
    <x v="0"/>
    <x v="289"/>
    <x v="0"/>
    <n v="48"/>
    <x v="1"/>
    <x v="3"/>
    <x v="1"/>
    <x v="1"/>
    <x v="0"/>
    <x v="0"/>
    <x v="1"/>
  </r>
  <r>
    <x v="304"/>
    <n v="0"/>
    <n v="9439"/>
    <n v="9439"/>
    <x v="0"/>
    <x v="37"/>
    <x v="1"/>
    <x v="1"/>
    <x v="0"/>
    <x v="0"/>
    <n v="707"/>
    <x v="1"/>
    <n v="1"/>
    <x v="0"/>
    <n v="0.56999999999999995"/>
    <x v="0"/>
    <x v="291"/>
    <n v="14683"/>
    <x v="0"/>
    <x v="290"/>
    <x v="2"/>
    <n v="12"/>
    <x v="6"/>
    <x v="2"/>
    <x v="0"/>
    <x v="1"/>
    <x v="1"/>
    <x v="3"/>
    <x v="0"/>
  </r>
  <r>
    <x v="305"/>
    <n v="9079"/>
    <n v="1435"/>
    <n v="10514"/>
    <x v="3"/>
    <x v="9"/>
    <x v="2"/>
    <x v="0"/>
    <x v="1"/>
    <x v="1"/>
    <n v="594"/>
    <x v="0"/>
    <n v="1"/>
    <x v="0"/>
    <n v="0.27"/>
    <x v="1"/>
    <x v="292"/>
    <n v="13080"/>
    <x v="0"/>
    <x v="291"/>
    <x v="1"/>
    <n v="48"/>
    <x v="1"/>
    <x v="3"/>
    <x v="0"/>
    <x v="1"/>
    <x v="0"/>
    <x v="3"/>
    <x v="0"/>
  </r>
  <r>
    <x v="306"/>
    <n v="9987"/>
    <n v="571"/>
    <n v="10558"/>
    <x v="1"/>
    <x v="30"/>
    <x v="2"/>
    <x v="1"/>
    <x v="3"/>
    <x v="3"/>
    <n v="695"/>
    <x v="1"/>
    <n v="4"/>
    <x v="0"/>
    <n v="0.18"/>
    <x v="1"/>
    <x v="293"/>
    <n v="30953"/>
    <x v="0"/>
    <x v="292"/>
    <x v="3"/>
    <n v="36"/>
    <x v="4"/>
    <x v="1"/>
    <x v="0"/>
    <x v="1"/>
    <x v="1"/>
    <x v="0"/>
    <x v="1"/>
  </r>
  <r>
    <x v="307"/>
    <n v="0"/>
    <n v="2382"/>
    <n v="2382"/>
    <x v="2"/>
    <x v="15"/>
    <x v="1"/>
    <x v="1"/>
    <x v="0"/>
    <x v="0"/>
    <n v="755"/>
    <x v="3"/>
    <n v="3"/>
    <x v="0"/>
    <n v="0.38"/>
    <x v="2"/>
    <x v="294"/>
    <n v="9916"/>
    <x v="0"/>
    <x v="293"/>
    <x v="2"/>
    <n v="84"/>
    <x v="0"/>
    <x v="2"/>
    <x v="1"/>
    <x v="1"/>
    <x v="1"/>
    <x v="3"/>
    <x v="1"/>
  </r>
  <r>
    <x v="308"/>
    <n v="6465"/>
    <n v="9437"/>
    <n v="15902"/>
    <x v="4"/>
    <x v="30"/>
    <x v="2"/>
    <x v="1"/>
    <x v="1"/>
    <x v="1"/>
    <n v="611"/>
    <x v="0"/>
    <n v="0"/>
    <x v="1"/>
    <n v="0.56999999999999995"/>
    <x v="0"/>
    <x v="295"/>
    <n v="29677"/>
    <x v="0"/>
    <x v="294"/>
    <x v="0"/>
    <n v="24"/>
    <x v="5"/>
    <x v="2"/>
    <x v="2"/>
    <x v="1"/>
    <x v="1"/>
    <x v="1"/>
    <x v="0"/>
  </r>
  <r>
    <x v="309"/>
    <n v="19019"/>
    <n v="5084"/>
    <n v="24103"/>
    <x v="1"/>
    <x v="29"/>
    <x v="2"/>
    <x v="0"/>
    <x v="3"/>
    <x v="3"/>
    <n v="713"/>
    <x v="1"/>
    <n v="0"/>
    <x v="1"/>
    <n v="0.1"/>
    <x v="1"/>
    <x v="296"/>
    <n v="27360"/>
    <x v="0"/>
    <x v="295"/>
    <x v="0"/>
    <n v="60"/>
    <x v="3"/>
    <x v="0"/>
    <x v="2"/>
    <x v="1"/>
    <x v="0"/>
    <x v="0"/>
    <x v="1"/>
  </r>
  <r>
    <x v="310"/>
    <n v="15417"/>
    <n v="277"/>
    <n v="15694"/>
    <x v="0"/>
    <x v="20"/>
    <x v="0"/>
    <x v="1"/>
    <x v="2"/>
    <x v="2"/>
    <n v="649"/>
    <x v="0"/>
    <n v="2"/>
    <x v="0"/>
    <n v="0.22"/>
    <x v="1"/>
    <x v="297"/>
    <n v="37805"/>
    <x v="0"/>
    <x v="296"/>
    <x v="0"/>
    <n v="60"/>
    <x v="3"/>
    <x v="2"/>
    <x v="2"/>
    <x v="1"/>
    <x v="0"/>
    <x v="2"/>
    <x v="0"/>
  </r>
  <r>
    <x v="311"/>
    <n v="10311"/>
    <n v="7059"/>
    <n v="17370"/>
    <x v="0"/>
    <x v="3"/>
    <x v="2"/>
    <x v="0"/>
    <x v="0"/>
    <x v="0"/>
    <n v="761"/>
    <x v="3"/>
    <n v="4"/>
    <x v="0"/>
    <n v="0.56999999999999995"/>
    <x v="0"/>
    <x v="298"/>
    <n v="13453"/>
    <x v="0"/>
    <x v="297"/>
    <x v="3"/>
    <n v="12"/>
    <x v="6"/>
    <x v="1"/>
    <x v="0"/>
    <x v="0"/>
    <x v="0"/>
    <x v="3"/>
    <x v="0"/>
  </r>
  <r>
    <x v="312"/>
    <n v="19214"/>
    <n v="1887"/>
    <n v="21101"/>
    <x v="0"/>
    <x v="20"/>
    <x v="0"/>
    <x v="0"/>
    <x v="0"/>
    <x v="0"/>
    <n v="550"/>
    <x v="2"/>
    <n v="2"/>
    <x v="0"/>
    <n v="0.19"/>
    <x v="1"/>
    <x v="299"/>
    <n v="22703"/>
    <x v="0"/>
    <x v="298"/>
    <x v="2"/>
    <n v="12"/>
    <x v="6"/>
    <x v="2"/>
    <x v="2"/>
    <x v="1"/>
    <x v="1"/>
    <x v="2"/>
    <x v="0"/>
  </r>
  <r>
    <x v="313"/>
    <n v="16098"/>
    <n v="1265"/>
    <n v="17363"/>
    <x v="4"/>
    <x v="35"/>
    <x v="2"/>
    <x v="0"/>
    <x v="3"/>
    <x v="3"/>
    <n v="568"/>
    <x v="2"/>
    <n v="0"/>
    <x v="1"/>
    <n v="0.16"/>
    <x v="1"/>
    <x v="300"/>
    <n v="8640"/>
    <x v="0"/>
    <x v="299"/>
    <x v="0"/>
    <n v="60"/>
    <x v="3"/>
    <x v="3"/>
    <x v="0"/>
    <x v="1"/>
    <x v="0"/>
    <x v="0"/>
    <x v="0"/>
  </r>
  <r>
    <x v="314"/>
    <n v="7177"/>
    <n v="7491"/>
    <n v="14668"/>
    <x v="2"/>
    <x v="14"/>
    <x v="2"/>
    <x v="0"/>
    <x v="3"/>
    <x v="3"/>
    <n v="550"/>
    <x v="2"/>
    <n v="1"/>
    <x v="0"/>
    <n v="0.39"/>
    <x v="2"/>
    <x v="301"/>
    <n v="29263"/>
    <x v="0"/>
    <x v="300"/>
    <x v="1"/>
    <n v="48"/>
    <x v="1"/>
    <x v="0"/>
    <x v="1"/>
    <x v="1"/>
    <x v="0"/>
    <x v="0"/>
    <x v="0"/>
  </r>
  <r>
    <x v="315"/>
    <n v="16262"/>
    <n v="1040"/>
    <n v="17302"/>
    <x v="0"/>
    <x v="16"/>
    <x v="1"/>
    <x v="0"/>
    <x v="0"/>
    <x v="0"/>
    <n v="593"/>
    <x v="0"/>
    <n v="3"/>
    <x v="0"/>
    <n v="0.53"/>
    <x v="0"/>
    <x v="302"/>
    <n v="32849"/>
    <x v="0"/>
    <x v="301"/>
    <x v="0"/>
    <n v="24"/>
    <x v="5"/>
    <x v="4"/>
    <x v="0"/>
    <x v="0"/>
    <x v="1"/>
    <x v="1"/>
    <x v="0"/>
  </r>
  <r>
    <x v="316"/>
    <n v="10308"/>
    <n v="9109"/>
    <n v="19417"/>
    <x v="0"/>
    <x v="21"/>
    <x v="1"/>
    <x v="0"/>
    <x v="2"/>
    <x v="2"/>
    <n v="556"/>
    <x v="2"/>
    <n v="4"/>
    <x v="0"/>
    <n v="0.34"/>
    <x v="2"/>
    <x v="303"/>
    <n v="0"/>
    <x v="1"/>
    <x v="302"/>
    <x v="0"/>
    <n v="36"/>
    <x v="4"/>
    <x v="2"/>
    <x v="0"/>
    <x v="1"/>
    <x v="1"/>
    <x v="4"/>
    <x v="0"/>
  </r>
  <r>
    <x v="317"/>
    <n v="7949"/>
    <n v="8073"/>
    <n v="16022"/>
    <x v="0"/>
    <x v="1"/>
    <x v="0"/>
    <x v="0"/>
    <x v="2"/>
    <x v="2"/>
    <n v="798"/>
    <x v="3"/>
    <n v="0"/>
    <x v="1"/>
    <n v="0.6"/>
    <x v="0"/>
    <x v="304"/>
    <n v="16078"/>
    <x v="0"/>
    <x v="303"/>
    <x v="0"/>
    <n v="36"/>
    <x v="4"/>
    <x v="2"/>
    <x v="0"/>
    <x v="1"/>
    <x v="1"/>
    <x v="0"/>
    <x v="0"/>
  </r>
  <r>
    <x v="318"/>
    <n v="3150"/>
    <n v="9077"/>
    <n v="12227"/>
    <x v="0"/>
    <x v="20"/>
    <x v="0"/>
    <x v="0"/>
    <x v="1"/>
    <x v="1"/>
    <n v="721"/>
    <x v="1"/>
    <n v="0"/>
    <x v="1"/>
    <n v="0.44"/>
    <x v="3"/>
    <x v="305"/>
    <n v="23383"/>
    <x v="0"/>
    <x v="304"/>
    <x v="0"/>
    <n v="48"/>
    <x v="1"/>
    <x v="4"/>
    <x v="0"/>
    <x v="0"/>
    <x v="0"/>
    <x v="3"/>
    <x v="0"/>
  </r>
  <r>
    <x v="319"/>
    <n v="3931"/>
    <n v="2752"/>
    <n v="6683"/>
    <x v="0"/>
    <x v="16"/>
    <x v="1"/>
    <x v="0"/>
    <x v="3"/>
    <x v="3"/>
    <n v="666"/>
    <x v="0"/>
    <n v="4"/>
    <x v="0"/>
    <n v="0.14000000000000001"/>
    <x v="1"/>
    <x v="306"/>
    <n v="15536"/>
    <x v="0"/>
    <x v="305"/>
    <x v="2"/>
    <n v="24"/>
    <x v="5"/>
    <x v="0"/>
    <x v="2"/>
    <x v="1"/>
    <x v="1"/>
    <x v="1"/>
    <x v="0"/>
  </r>
  <r>
    <x v="320"/>
    <n v="11204"/>
    <n v="8213"/>
    <n v="19417"/>
    <x v="0"/>
    <x v="22"/>
    <x v="2"/>
    <x v="1"/>
    <x v="2"/>
    <x v="2"/>
    <n v="617"/>
    <x v="0"/>
    <n v="4"/>
    <x v="0"/>
    <n v="0.6"/>
    <x v="0"/>
    <x v="307"/>
    <n v="7410"/>
    <x v="0"/>
    <x v="306"/>
    <x v="2"/>
    <n v="84"/>
    <x v="0"/>
    <x v="2"/>
    <x v="0"/>
    <x v="1"/>
    <x v="0"/>
    <x v="1"/>
    <x v="0"/>
  </r>
  <r>
    <x v="321"/>
    <n v="3081"/>
    <n v="4569"/>
    <n v="7650"/>
    <x v="0"/>
    <x v="31"/>
    <x v="4"/>
    <x v="1"/>
    <x v="1"/>
    <x v="1"/>
    <n v="583"/>
    <x v="0"/>
    <n v="0"/>
    <x v="1"/>
    <n v="0.3"/>
    <x v="1"/>
    <x v="308"/>
    <n v="15926"/>
    <x v="0"/>
    <x v="307"/>
    <x v="2"/>
    <n v="12"/>
    <x v="6"/>
    <x v="1"/>
    <x v="0"/>
    <x v="1"/>
    <x v="1"/>
    <x v="4"/>
    <x v="0"/>
  </r>
  <r>
    <x v="322"/>
    <n v="18896"/>
    <n v="6353"/>
    <n v="25249"/>
    <x v="0"/>
    <x v="12"/>
    <x v="1"/>
    <x v="0"/>
    <x v="2"/>
    <x v="2"/>
    <n v="743"/>
    <x v="3"/>
    <n v="1"/>
    <x v="0"/>
    <n v="0.24"/>
    <x v="1"/>
    <x v="309"/>
    <n v="48268"/>
    <x v="0"/>
    <x v="308"/>
    <x v="0"/>
    <n v="12"/>
    <x v="6"/>
    <x v="3"/>
    <x v="0"/>
    <x v="1"/>
    <x v="1"/>
    <x v="4"/>
    <x v="1"/>
  </r>
  <r>
    <x v="323"/>
    <n v="15407"/>
    <n v="2353"/>
    <n v="17760"/>
    <x v="0"/>
    <x v="2"/>
    <x v="1"/>
    <x v="0"/>
    <x v="3"/>
    <x v="3"/>
    <n v="618"/>
    <x v="0"/>
    <n v="4"/>
    <x v="0"/>
    <n v="0.38"/>
    <x v="2"/>
    <x v="310"/>
    <n v="34248"/>
    <x v="0"/>
    <x v="309"/>
    <x v="0"/>
    <n v="84"/>
    <x v="0"/>
    <x v="3"/>
    <x v="2"/>
    <x v="0"/>
    <x v="1"/>
    <x v="0"/>
    <x v="0"/>
  </r>
  <r>
    <x v="324"/>
    <n v="9805"/>
    <n v="7437"/>
    <n v="17242"/>
    <x v="2"/>
    <x v="23"/>
    <x v="0"/>
    <x v="0"/>
    <x v="1"/>
    <x v="1"/>
    <n v="604"/>
    <x v="0"/>
    <n v="0"/>
    <x v="1"/>
    <n v="0.25"/>
    <x v="1"/>
    <x v="311"/>
    <n v="31159"/>
    <x v="0"/>
    <x v="310"/>
    <x v="0"/>
    <n v="48"/>
    <x v="1"/>
    <x v="0"/>
    <x v="0"/>
    <x v="0"/>
    <x v="1"/>
    <x v="2"/>
    <x v="0"/>
  </r>
  <r>
    <x v="325"/>
    <n v="7237"/>
    <n v="4799"/>
    <n v="12036"/>
    <x v="0"/>
    <x v="2"/>
    <x v="1"/>
    <x v="0"/>
    <x v="1"/>
    <x v="1"/>
    <n v="559"/>
    <x v="2"/>
    <n v="3"/>
    <x v="0"/>
    <n v="0.14000000000000001"/>
    <x v="1"/>
    <x v="312"/>
    <n v="0"/>
    <x v="1"/>
    <x v="311"/>
    <x v="2"/>
    <n v="48"/>
    <x v="1"/>
    <x v="4"/>
    <x v="2"/>
    <x v="0"/>
    <x v="1"/>
    <x v="0"/>
    <x v="0"/>
  </r>
  <r>
    <x v="326"/>
    <n v="18943"/>
    <n v="686"/>
    <n v="19629"/>
    <x v="0"/>
    <x v="14"/>
    <x v="2"/>
    <x v="1"/>
    <x v="1"/>
    <x v="1"/>
    <n v="773"/>
    <x v="3"/>
    <n v="0"/>
    <x v="1"/>
    <n v="0.1"/>
    <x v="1"/>
    <x v="313"/>
    <n v="36366"/>
    <x v="0"/>
    <x v="312"/>
    <x v="1"/>
    <n v="12"/>
    <x v="6"/>
    <x v="2"/>
    <x v="0"/>
    <x v="0"/>
    <x v="1"/>
    <x v="0"/>
    <x v="1"/>
  </r>
  <r>
    <x v="327"/>
    <n v="14775"/>
    <n v="8476"/>
    <n v="23251"/>
    <x v="1"/>
    <x v="1"/>
    <x v="0"/>
    <x v="1"/>
    <x v="2"/>
    <x v="2"/>
    <n v="591"/>
    <x v="0"/>
    <n v="2"/>
    <x v="0"/>
    <n v="0.32"/>
    <x v="2"/>
    <x v="314"/>
    <n v="47800"/>
    <x v="0"/>
    <x v="313"/>
    <x v="0"/>
    <n v="12"/>
    <x v="6"/>
    <x v="2"/>
    <x v="0"/>
    <x v="1"/>
    <x v="0"/>
    <x v="3"/>
    <x v="0"/>
  </r>
  <r>
    <x v="328"/>
    <n v="18244"/>
    <n v="4811"/>
    <n v="23055"/>
    <x v="0"/>
    <x v="3"/>
    <x v="2"/>
    <x v="0"/>
    <x v="0"/>
    <x v="0"/>
    <n v="590"/>
    <x v="0"/>
    <n v="0"/>
    <x v="1"/>
    <n v="0.52"/>
    <x v="0"/>
    <x v="315"/>
    <n v="40761"/>
    <x v="0"/>
    <x v="314"/>
    <x v="0"/>
    <n v="84"/>
    <x v="0"/>
    <x v="2"/>
    <x v="0"/>
    <x v="0"/>
    <x v="1"/>
    <x v="2"/>
    <x v="0"/>
  </r>
  <r>
    <x v="329"/>
    <n v="15184"/>
    <n v="8954"/>
    <n v="24138"/>
    <x v="2"/>
    <x v="7"/>
    <x v="0"/>
    <x v="0"/>
    <x v="1"/>
    <x v="1"/>
    <n v="754"/>
    <x v="3"/>
    <n v="2"/>
    <x v="0"/>
    <n v="0.39"/>
    <x v="2"/>
    <x v="316"/>
    <n v="29090"/>
    <x v="0"/>
    <x v="315"/>
    <x v="0"/>
    <n v="24"/>
    <x v="5"/>
    <x v="1"/>
    <x v="1"/>
    <x v="1"/>
    <x v="1"/>
    <x v="3"/>
    <x v="0"/>
  </r>
  <r>
    <x v="330"/>
    <n v="5343"/>
    <n v="5346"/>
    <n v="10689"/>
    <x v="4"/>
    <x v="38"/>
    <x v="1"/>
    <x v="0"/>
    <x v="0"/>
    <x v="0"/>
    <n v="780"/>
    <x v="3"/>
    <n v="1"/>
    <x v="0"/>
    <n v="0.35"/>
    <x v="2"/>
    <x v="317"/>
    <n v="20567"/>
    <x v="0"/>
    <x v="316"/>
    <x v="2"/>
    <n v="84"/>
    <x v="0"/>
    <x v="1"/>
    <x v="2"/>
    <x v="1"/>
    <x v="1"/>
    <x v="3"/>
    <x v="0"/>
  </r>
  <r>
    <x v="331"/>
    <n v="15500"/>
    <n v="5043"/>
    <n v="20543"/>
    <x v="0"/>
    <x v="37"/>
    <x v="1"/>
    <x v="1"/>
    <x v="3"/>
    <x v="3"/>
    <n v="746"/>
    <x v="3"/>
    <n v="1"/>
    <x v="0"/>
    <n v="0.24"/>
    <x v="1"/>
    <x v="318"/>
    <n v="43663"/>
    <x v="0"/>
    <x v="317"/>
    <x v="0"/>
    <n v="48"/>
    <x v="1"/>
    <x v="2"/>
    <x v="0"/>
    <x v="1"/>
    <x v="1"/>
    <x v="4"/>
    <x v="1"/>
  </r>
  <r>
    <x v="332"/>
    <n v="11662"/>
    <n v="2428"/>
    <n v="14090"/>
    <x v="1"/>
    <x v="19"/>
    <x v="4"/>
    <x v="1"/>
    <x v="0"/>
    <x v="0"/>
    <n v="550"/>
    <x v="2"/>
    <n v="0"/>
    <x v="1"/>
    <n v="0.24"/>
    <x v="1"/>
    <x v="319"/>
    <n v="15367"/>
    <x v="0"/>
    <x v="318"/>
    <x v="0"/>
    <n v="84"/>
    <x v="0"/>
    <x v="0"/>
    <x v="2"/>
    <x v="1"/>
    <x v="1"/>
    <x v="2"/>
    <x v="1"/>
  </r>
  <r>
    <x v="333"/>
    <n v="0"/>
    <n v="5126"/>
    <n v="5126"/>
    <x v="0"/>
    <x v="16"/>
    <x v="1"/>
    <x v="0"/>
    <x v="0"/>
    <x v="0"/>
    <n v="687"/>
    <x v="1"/>
    <n v="1"/>
    <x v="0"/>
    <n v="0.18"/>
    <x v="1"/>
    <x v="11"/>
    <n v="40412"/>
    <x v="0"/>
    <x v="319"/>
    <x v="2"/>
    <n v="84"/>
    <x v="0"/>
    <x v="2"/>
    <x v="1"/>
    <x v="0"/>
    <x v="1"/>
    <x v="0"/>
    <x v="1"/>
  </r>
  <r>
    <x v="334"/>
    <n v="17125"/>
    <n v="8220"/>
    <n v="25345"/>
    <x v="1"/>
    <x v="8"/>
    <x v="0"/>
    <x v="0"/>
    <x v="1"/>
    <x v="1"/>
    <n v="559"/>
    <x v="2"/>
    <n v="4"/>
    <x v="0"/>
    <n v="0.18"/>
    <x v="1"/>
    <x v="320"/>
    <n v="44716"/>
    <x v="0"/>
    <x v="320"/>
    <x v="2"/>
    <n v="48"/>
    <x v="1"/>
    <x v="1"/>
    <x v="0"/>
    <x v="1"/>
    <x v="1"/>
    <x v="3"/>
    <x v="0"/>
  </r>
  <r>
    <x v="335"/>
    <n v="10130"/>
    <n v="9098"/>
    <n v="19228"/>
    <x v="0"/>
    <x v="28"/>
    <x v="0"/>
    <x v="1"/>
    <x v="1"/>
    <x v="1"/>
    <n v="651"/>
    <x v="0"/>
    <n v="0"/>
    <x v="1"/>
    <n v="0.35"/>
    <x v="2"/>
    <x v="321"/>
    <n v="35367"/>
    <x v="0"/>
    <x v="321"/>
    <x v="2"/>
    <n v="24"/>
    <x v="5"/>
    <x v="3"/>
    <x v="1"/>
    <x v="1"/>
    <x v="1"/>
    <x v="4"/>
    <x v="1"/>
  </r>
  <r>
    <x v="336"/>
    <n v="3679"/>
    <n v="7813"/>
    <n v="11492"/>
    <x v="2"/>
    <x v="26"/>
    <x v="3"/>
    <x v="1"/>
    <x v="2"/>
    <x v="2"/>
    <n v="768"/>
    <x v="3"/>
    <n v="1"/>
    <x v="0"/>
    <n v="0.5"/>
    <x v="3"/>
    <x v="322"/>
    <n v="5813"/>
    <x v="0"/>
    <x v="322"/>
    <x v="1"/>
    <n v="72"/>
    <x v="2"/>
    <x v="3"/>
    <x v="0"/>
    <x v="1"/>
    <x v="0"/>
    <x v="0"/>
    <x v="0"/>
  </r>
  <r>
    <x v="337"/>
    <n v="5506"/>
    <n v="9645"/>
    <n v="15151"/>
    <x v="0"/>
    <x v="24"/>
    <x v="2"/>
    <x v="0"/>
    <x v="2"/>
    <x v="2"/>
    <n v="737"/>
    <x v="1"/>
    <n v="0"/>
    <x v="1"/>
    <n v="0.35"/>
    <x v="2"/>
    <x v="323"/>
    <n v="36621"/>
    <x v="0"/>
    <x v="323"/>
    <x v="1"/>
    <n v="12"/>
    <x v="6"/>
    <x v="0"/>
    <x v="1"/>
    <x v="0"/>
    <x v="1"/>
    <x v="1"/>
    <x v="0"/>
  </r>
  <r>
    <x v="338"/>
    <n v="15284"/>
    <n v="3356"/>
    <n v="18640"/>
    <x v="1"/>
    <x v="31"/>
    <x v="4"/>
    <x v="0"/>
    <x v="2"/>
    <x v="2"/>
    <n v="677"/>
    <x v="1"/>
    <n v="0"/>
    <x v="1"/>
    <n v="0.59"/>
    <x v="0"/>
    <x v="324"/>
    <n v="0"/>
    <x v="1"/>
    <x v="307"/>
    <x v="2"/>
    <n v="60"/>
    <x v="3"/>
    <x v="1"/>
    <x v="2"/>
    <x v="1"/>
    <x v="1"/>
    <x v="1"/>
    <x v="0"/>
  </r>
  <r>
    <x v="339"/>
    <n v="11435"/>
    <n v="7266"/>
    <n v="18701"/>
    <x v="0"/>
    <x v="16"/>
    <x v="1"/>
    <x v="0"/>
    <x v="2"/>
    <x v="2"/>
    <n v="698"/>
    <x v="1"/>
    <n v="0"/>
    <x v="1"/>
    <n v="0.54"/>
    <x v="0"/>
    <x v="325"/>
    <n v="40318"/>
    <x v="0"/>
    <x v="324"/>
    <x v="0"/>
    <n v="60"/>
    <x v="3"/>
    <x v="4"/>
    <x v="0"/>
    <x v="1"/>
    <x v="1"/>
    <x v="0"/>
    <x v="0"/>
  </r>
  <r>
    <x v="340"/>
    <n v="13310"/>
    <n v="6540"/>
    <n v="19850"/>
    <x v="0"/>
    <x v="6"/>
    <x v="3"/>
    <x v="0"/>
    <x v="0"/>
    <x v="0"/>
    <n v="685"/>
    <x v="1"/>
    <n v="1"/>
    <x v="0"/>
    <n v="0.26"/>
    <x v="1"/>
    <x v="326"/>
    <n v="37018"/>
    <x v="0"/>
    <x v="325"/>
    <x v="0"/>
    <n v="72"/>
    <x v="2"/>
    <x v="0"/>
    <x v="1"/>
    <x v="1"/>
    <x v="0"/>
    <x v="3"/>
    <x v="1"/>
  </r>
  <r>
    <x v="341"/>
    <n v="15296"/>
    <n v="38"/>
    <n v="15334"/>
    <x v="2"/>
    <x v="3"/>
    <x v="2"/>
    <x v="0"/>
    <x v="2"/>
    <x v="2"/>
    <n v="742"/>
    <x v="3"/>
    <n v="1"/>
    <x v="0"/>
    <n v="0.16"/>
    <x v="1"/>
    <x v="327"/>
    <n v="39759"/>
    <x v="0"/>
    <x v="326"/>
    <x v="2"/>
    <n v="12"/>
    <x v="6"/>
    <x v="0"/>
    <x v="2"/>
    <x v="1"/>
    <x v="1"/>
    <x v="0"/>
    <x v="1"/>
  </r>
  <r>
    <x v="342"/>
    <n v="15245"/>
    <n v="3342"/>
    <n v="18587"/>
    <x v="2"/>
    <x v="1"/>
    <x v="0"/>
    <x v="0"/>
    <x v="1"/>
    <x v="1"/>
    <n v="641"/>
    <x v="0"/>
    <n v="1"/>
    <x v="0"/>
    <n v="0.54"/>
    <x v="0"/>
    <x v="328"/>
    <n v="16498"/>
    <x v="0"/>
    <x v="36"/>
    <x v="3"/>
    <n v="48"/>
    <x v="1"/>
    <x v="4"/>
    <x v="2"/>
    <x v="1"/>
    <x v="1"/>
    <x v="1"/>
    <x v="0"/>
  </r>
  <r>
    <x v="343"/>
    <n v="0"/>
    <n v="9078"/>
    <n v="9078"/>
    <x v="0"/>
    <x v="3"/>
    <x v="2"/>
    <x v="0"/>
    <x v="2"/>
    <x v="2"/>
    <n v="662"/>
    <x v="0"/>
    <n v="2"/>
    <x v="0"/>
    <n v="0.42"/>
    <x v="3"/>
    <x v="329"/>
    <n v="25989"/>
    <x v="0"/>
    <x v="327"/>
    <x v="0"/>
    <n v="60"/>
    <x v="3"/>
    <x v="4"/>
    <x v="0"/>
    <x v="0"/>
    <x v="0"/>
    <x v="3"/>
    <x v="0"/>
  </r>
  <r>
    <x v="344"/>
    <n v="12457"/>
    <n v="2844"/>
    <n v="15301"/>
    <x v="2"/>
    <x v="7"/>
    <x v="0"/>
    <x v="1"/>
    <x v="3"/>
    <x v="3"/>
    <n v="780"/>
    <x v="3"/>
    <n v="0"/>
    <x v="1"/>
    <n v="0.18"/>
    <x v="1"/>
    <x v="330"/>
    <n v="37174"/>
    <x v="0"/>
    <x v="328"/>
    <x v="2"/>
    <n v="48"/>
    <x v="1"/>
    <x v="3"/>
    <x v="0"/>
    <x v="1"/>
    <x v="1"/>
    <x v="1"/>
    <x v="1"/>
  </r>
  <r>
    <x v="345"/>
    <n v="4479"/>
    <n v="1098"/>
    <n v="5577"/>
    <x v="3"/>
    <x v="20"/>
    <x v="0"/>
    <x v="0"/>
    <x v="0"/>
    <x v="0"/>
    <n v="627"/>
    <x v="0"/>
    <n v="3"/>
    <x v="0"/>
    <n v="0.31"/>
    <x v="2"/>
    <x v="11"/>
    <n v="25568"/>
    <x v="0"/>
    <x v="329"/>
    <x v="2"/>
    <n v="60"/>
    <x v="3"/>
    <x v="0"/>
    <x v="0"/>
    <x v="1"/>
    <x v="0"/>
    <x v="0"/>
    <x v="0"/>
  </r>
  <r>
    <x v="346"/>
    <n v="6452"/>
    <n v="7027"/>
    <n v="13479"/>
    <x v="2"/>
    <x v="6"/>
    <x v="3"/>
    <x v="0"/>
    <x v="0"/>
    <x v="0"/>
    <n v="634"/>
    <x v="0"/>
    <n v="1"/>
    <x v="0"/>
    <n v="0.24"/>
    <x v="1"/>
    <x v="331"/>
    <n v="1041"/>
    <x v="0"/>
    <x v="330"/>
    <x v="0"/>
    <n v="48"/>
    <x v="1"/>
    <x v="0"/>
    <x v="0"/>
    <x v="1"/>
    <x v="0"/>
    <x v="0"/>
    <x v="0"/>
  </r>
  <r>
    <x v="347"/>
    <n v="7881"/>
    <n v="1823"/>
    <n v="9704"/>
    <x v="0"/>
    <x v="3"/>
    <x v="2"/>
    <x v="0"/>
    <x v="3"/>
    <x v="3"/>
    <n v="579"/>
    <x v="2"/>
    <n v="0"/>
    <x v="1"/>
    <n v="0.47"/>
    <x v="3"/>
    <x v="332"/>
    <n v="39695"/>
    <x v="0"/>
    <x v="36"/>
    <x v="3"/>
    <n v="84"/>
    <x v="0"/>
    <x v="4"/>
    <x v="2"/>
    <x v="1"/>
    <x v="1"/>
    <x v="4"/>
    <x v="0"/>
  </r>
  <r>
    <x v="348"/>
    <n v="16069"/>
    <n v="3155"/>
    <n v="19224"/>
    <x v="2"/>
    <x v="7"/>
    <x v="0"/>
    <x v="0"/>
    <x v="2"/>
    <x v="2"/>
    <n v="762"/>
    <x v="3"/>
    <n v="4"/>
    <x v="0"/>
    <n v="0.35"/>
    <x v="2"/>
    <x v="333"/>
    <n v="49163"/>
    <x v="0"/>
    <x v="331"/>
    <x v="2"/>
    <n v="60"/>
    <x v="3"/>
    <x v="2"/>
    <x v="1"/>
    <x v="1"/>
    <x v="1"/>
    <x v="2"/>
    <x v="1"/>
  </r>
  <r>
    <x v="349"/>
    <n v="4849"/>
    <n v="3093"/>
    <n v="7942"/>
    <x v="0"/>
    <x v="3"/>
    <x v="2"/>
    <x v="1"/>
    <x v="1"/>
    <x v="1"/>
    <n v="598"/>
    <x v="0"/>
    <n v="1"/>
    <x v="0"/>
    <n v="0.59"/>
    <x v="0"/>
    <x v="334"/>
    <n v="30099"/>
    <x v="0"/>
    <x v="332"/>
    <x v="0"/>
    <n v="48"/>
    <x v="1"/>
    <x v="2"/>
    <x v="2"/>
    <x v="1"/>
    <x v="1"/>
    <x v="2"/>
    <x v="0"/>
  </r>
  <r>
    <x v="350"/>
    <n v="9390"/>
    <n v="5658"/>
    <n v="15048"/>
    <x v="3"/>
    <x v="29"/>
    <x v="2"/>
    <x v="0"/>
    <x v="3"/>
    <x v="3"/>
    <n v="558"/>
    <x v="2"/>
    <n v="1"/>
    <x v="0"/>
    <n v="0.13"/>
    <x v="1"/>
    <x v="335"/>
    <n v="24364"/>
    <x v="0"/>
    <x v="36"/>
    <x v="3"/>
    <n v="72"/>
    <x v="2"/>
    <x v="3"/>
    <x v="0"/>
    <x v="1"/>
    <x v="1"/>
    <x v="4"/>
    <x v="0"/>
  </r>
  <r>
    <x v="351"/>
    <n v="13922"/>
    <n v="3778"/>
    <n v="17700"/>
    <x v="0"/>
    <x v="3"/>
    <x v="2"/>
    <x v="0"/>
    <x v="0"/>
    <x v="0"/>
    <n v="694"/>
    <x v="1"/>
    <n v="3"/>
    <x v="0"/>
    <n v="0.28000000000000003"/>
    <x v="1"/>
    <x v="336"/>
    <n v="40639"/>
    <x v="0"/>
    <x v="333"/>
    <x v="0"/>
    <n v="24"/>
    <x v="5"/>
    <x v="2"/>
    <x v="2"/>
    <x v="0"/>
    <x v="1"/>
    <x v="0"/>
    <x v="1"/>
  </r>
  <r>
    <x v="352"/>
    <n v="4489"/>
    <n v="2896"/>
    <n v="7385"/>
    <x v="4"/>
    <x v="26"/>
    <x v="3"/>
    <x v="1"/>
    <x v="2"/>
    <x v="2"/>
    <n v="618"/>
    <x v="0"/>
    <n v="2"/>
    <x v="0"/>
    <n v="0.34"/>
    <x v="2"/>
    <x v="337"/>
    <n v="39143"/>
    <x v="0"/>
    <x v="334"/>
    <x v="0"/>
    <n v="48"/>
    <x v="1"/>
    <x v="2"/>
    <x v="1"/>
    <x v="1"/>
    <x v="1"/>
    <x v="0"/>
    <x v="0"/>
  </r>
  <r>
    <x v="353"/>
    <n v="11823"/>
    <n v="988"/>
    <n v="12811"/>
    <x v="2"/>
    <x v="31"/>
    <x v="4"/>
    <x v="0"/>
    <x v="0"/>
    <x v="0"/>
    <n v="607"/>
    <x v="0"/>
    <n v="2"/>
    <x v="0"/>
    <n v="0.35"/>
    <x v="2"/>
    <x v="338"/>
    <n v="23482"/>
    <x v="0"/>
    <x v="335"/>
    <x v="2"/>
    <n v="24"/>
    <x v="5"/>
    <x v="2"/>
    <x v="2"/>
    <x v="1"/>
    <x v="0"/>
    <x v="0"/>
    <x v="0"/>
  </r>
  <r>
    <x v="354"/>
    <n v="11540"/>
    <n v="6446"/>
    <n v="17986"/>
    <x v="3"/>
    <x v="8"/>
    <x v="0"/>
    <x v="0"/>
    <x v="3"/>
    <x v="3"/>
    <n v="611"/>
    <x v="0"/>
    <n v="0"/>
    <x v="1"/>
    <n v="0.46"/>
    <x v="3"/>
    <x v="11"/>
    <n v="45785"/>
    <x v="0"/>
    <x v="336"/>
    <x v="2"/>
    <n v="12"/>
    <x v="6"/>
    <x v="3"/>
    <x v="1"/>
    <x v="1"/>
    <x v="0"/>
    <x v="0"/>
    <x v="0"/>
  </r>
  <r>
    <x v="355"/>
    <n v="18364"/>
    <n v="4179"/>
    <n v="22543"/>
    <x v="3"/>
    <x v="13"/>
    <x v="2"/>
    <x v="0"/>
    <x v="0"/>
    <x v="0"/>
    <n v="772"/>
    <x v="3"/>
    <n v="4"/>
    <x v="0"/>
    <n v="0.54"/>
    <x v="0"/>
    <x v="339"/>
    <n v="21781"/>
    <x v="0"/>
    <x v="337"/>
    <x v="0"/>
    <n v="84"/>
    <x v="0"/>
    <x v="4"/>
    <x v="2"/>
    <x v="1"/>
    <x v="0"/>
    <x v="0"/>
    <x v="0"/>
  </r>
  <r>
    <x v="356"/>
    <n v="6611"/>
    <n v="1682"/>
    <n v="8293"/>
    <x v="1"/>
    <x v="19"/>
    <x v="4"/>
    <x v="0"/>
    <x v="2"/>
    <x v="2"/>
    <n v="601"/>
    <x v="0"/>
    <n v="4"/>
    <x v="0"/>
    <n v="0.35"/>
    <x v="2"/>
    <x v="340"/>
    <n v="0"/>
    <x v="1"/>
    <x v="338"/>
    <x v="2"/>
    <n v="72"/>
    <x v="2"/>
    <x v="2"/>
    <x v="0"/>
    <x v="1"/>
    <x v="0"/>
    <x v="4"/>
    <x v="0"/>
  </r>
  <r>
    <x v="357"/>
    <n v="7878"/>
    <n v="5626"/>
    <n v="13504"/>
    <x v="0"/>
    <x v="12"/>
    <x v="1"/>
    <x v="0"/>
    <x v="3"/>
    <x v="3"/>
    <n v="738"/>
    <x v="1"/>
    <n v="0"/>
    <x v="1"/>
    <n v="0.5"/>
    <x v="3"/>
    <x v="341"/>
    <n v="3065"/>
    <x v="0"/>
    <x v="339"/>
    <x v="0"/>
    <n v="24"/>
    <x v="5"/>
    <x v="1"/>
    <x v="0"/>
    <x v="0"/>
    <x v="1"/>
    <x v="0"/>
    <x v="0"/>
  </r>
  <r>
    <x v="358"/>
    <n v="18347"/>
    <n v="7424"/>
    <n v="25771"/>
    <x v="1"/>
    <x v="9"/>
    <x v="2"/>
    <x v="1"/>
    <x v="1"/>
    <x v="1"/>
    <n v="589"/>
    <x v="0"/>
    <n v="1"/>
    <x v="0"/>
    <n v="0.53"/>
    <x v="0"/>
    <x v="342"/>
    <n v="2036"/>
    <x v="0"/>
    <x v="340"/>
    <x v="2"/>
    <n v="36"/>
    <x v="4"/>
    <x v="2"/>
    <x v="1"/>
    <x v="1"/>
    <x v="1"/>
    <x v="4"/>
    <x v="0"/>
  </r>
  <r>
    <x v="359"/>
    <n v="2851"/>
    <n v="933"/>
    <n v="3784"/>
    <x v="0"/>
    <x v="7"/>
    <x v="0"/>
    <x v="1"/>
    <x v="3"/>
    <x v="3"/>
    <n v="715"/>
    <x v="1"/>
    <n v="4"/>
    <x v="0"/>
    <n v="0.38"/>
    <x v="2"/>
    <x v="343"/>
    <n v="35814"/>
    <x v="0"/>
    <x v="341"/>
    <x v="0"/>
    <n v="84"/>
    <x v="0"/>
    <x v="1"/>
    <x v="0"/>
    <x v="1"/>
    <x v="0"/>
    <x v="2"/>
    <x v="0"/>
  </r>
  <r>
    <x v="360"/>
    <n v="8833"/>
    <n v="3598"/>
    <n v="12431"/>
    <x v="0"/>
    <x v="16"/>
    <x v="1"/>
    <x v="0"/>
    <x v="2"/>
    <x v="2"/>
    <n v="720"/>
    <x v="1"/>
    <n v="2"/>
    <x v="0"/>
    <n v="0.51"/>
    <x v="0"/>
    <x v="344"/>
    <n v="16924"/>
    <x v="0"/>
    <x v="342"/>
    <x v="2"/>
    <n v="24"/>
    <x v="5"/>
    <x v="3"/>
    <x v="0"/>
    <x v="0"/>
    <x v="0"/>
    <x v="4"/>
    <x v="0"/>
  </r>
  <r>
    <x v="361"/>
    <n v="13938"/>
    <n v="1980"/>
    <n v="15918"/>
    <x v="2"/>
    <x v="36"/>
    <x v="1"/>
    <x v="0"/>
    <x v="3"/>
    <x v="3"/>
    <n v="612"/>
    <x v="0"/>
    <n v="0"/>
    <x v="1"/>
    <n v="0.25"/>
    <x v="1"/>
    <x v="345"/>
    <n v="32844"/>
    <x v="0"/>
    <x v="343"/>
    <x v="0"/>
    <n v="48"/>
    <x v="1"/>
    <x v="2"/>
    <x v="0"/>
    <x v="1"/>
    <x v="0"/>
    <x v="0"/>
    <x v="0"/>
  </r>
  <r>
    <x v="362"/>
    <n v="4427"/>
    <n v="3056"/>
    <n v="7483"/>
    <x v="0"/>
    <x v="5"/>
    <x v="0"/>
    <x v="1"/>
    <x v="0"/>
    <x v="0"/>
    <n v="696"/>
    <x v="1"/>
    <n v="3"/>
    <x v="0"/>
    <n v="0.3"/>
    <x v="1"/>
    <x v="346"/>
    <n v="48648"/>
    <x v="0"/>
    <x v="36"/>
    <x v="3"/>
    <n v="24"/>
    <x v="5"/>
    <x v="1"/>
    <x v="0"/>
    <x v="0"/>
    <x v="1"/>
    <x v="3"/>
    <x v="1"/>
  </r>
  <r>
    <x v="363"/>
    <n v="6000"/>
    <n v="8984"/>
    <n v="14984"/>
    <x v="0"/>
    <x v="10"/>
    <x v="0"/>
    <x v="1"/>
    <x v="3"/>
    <x v="3"/>
    <n v="777"/>
    <x v="3"/>
    <n v="1"/>
    <x v="0"/>
    <n v="0.26"/>
    <x v="1"/>
    <x v="347"/>
    <n v="16407"/>
    <x v="0"/>
    <x v="344"/>
    <x v="2"/>
    <n v="48"/>
    <x v="1"/>
    <x v="0"/>
    <x v="1"/>
    <x v="1"/>
    <x v="1"/>
    <x v="0"/>
    <x v="1"/>
  </r>
  <r>
    <x v="364"/>
    <n v="7052"/>
    <n v="791"/>
    <n v="7843"/>
    <x v="3"/>
    <x v="12"/>
    <x v="1"/>
    <x v="0"/>
    <x v="3"/>
    <x v="3"/>
    <n v="599"/>
    <x v="0"/>
    <n v="0"/>
    <x v="1"/>
    <n v="0.33"/>
    <x v="2"/>
    <x v="348"/>
    <n v="21518"/>
    <x v="0"/>
    <x v="345"/>
    <x v="1"/>
    <n v="48"/>
    <x v="1"/>
    <x v="0"/>
    <x v="0"/>
    <x v="1"/>
    <x v="1"/>
    <x v="0"/>
    <x v="0"/>
  </r>
  <r>
    <x v="365"/>
    <n v="0"/>
    <n v="6635"/>
    <n v="6635"/>
    <x v="0"/>
    <x v="31"/>
    <x v="4"/>
    <x v="0"/>
    <x v="0"/>
    <x v="0"/>
    <n v="690"/>
    <x v="1"/>
    <n v="1"/>
    <x v="0"/>
    <n v="0.57999999999999996"/>
    <x v="0"/>
    <x v="11"/>
    <n v="23052"/>
    <x v="0"/>
    <x v="346"/>
    <x v="1"/>
    <n v="24"/>
    <x v="5"/>
    <x v="2"/>
    <x v="1"/>
    <x v="0"/>
    <x v="0"/>
    <x v="0"/>
    <x v="0"/>
  </r>
  <r>
    <x v="366"/>
    <n v="10002"/>
    <n v="2255"/>
    <n v="12257"/>
    <x v="3"/>
    <x v="20"/>
    <x v="0"/>
    <x v="1"/>
    <x v="2"/>
    <x v="2"/>
    <n v="627"/>
    <x v="0"/>
    <n v="2"/>
    <x v="0"/>
    <n v="0.26"/>
    <x v="1"/>
    <x v="349"/>
    <n v="4267"/>
    <x v="0"/>
    <x v="347"/>
    <x v="3"/>
    <n v="24"/>
    <x v="5"/>
    <x v="2"/>
    <x v="0"/>
    <x v="0"/>
    <x v="1"/>
    <x v="4"/>
    <x v="0"/>
  </r>
  <r>
    <x v="367"/>
    <n v="7536"/>
    <n v="3610"/>
    <n v="11146"/>
    <x v="0"/>
    <x v="25"/>
    <x v="4"/>
    <x v="0"/>
    <x v="3"/>
    <x v="3"/>
    <n v="797"/>
    <x v="3"/>
    <n v="1"/>
    <x v="0"/>
    <n v="0.15"/>
    <x v="1"/>
    <x v="350"/>
    <n v="5988"/>
    <x v="0"/>
    <x v="348"/>
    <x v="0"/>
    <n v="60"/>
    <x v="3"/>
    <x v="3"/>
    <x v="0"/>
    <x v="1"/>
    <x v="1"/>
    <x v="2"/>
    <x v="1"/>
  </r>
  <r>
    <x v="368"/>
    <n v="0"/>
    <n v="1607"/>
    <n v="1607"/>
    <x v="2"/>
    <x v="33"/>
    <x v="4"/>
    <x v="0"/>
    <x v="1"/>
    <x v="1"/>
    <n v="646"/>
    <x v="0"/>
    <n v="1"/>
    <x v="0"/>
    <n v="0.36"/>
    <x v="2"/>
    <x v="351"/>
    <n v="27974"/>
    <x v="0"/>
    <x v="349"/>
    <x v="2"/>
    <n v="84"/>
    <x v="0"/>
    <x v="3"/>
    <x v="1"/>
    <x v="1"/>
    <x v="0"/>
    <x v="2"/>
    <x v="0"/>
  </r>
  <r>
    <x v="369"/>
    <n v="5913"/>
    <n v="5179"/>
    <n v="11092"/>
    <x v="3"/>
    <x v="29"/>
    <x v="2"/>
    <x v="1"/>
    <x v="3"/>
    <x v="3"/>
    <n v="739"/>
    <x v="1"/>
    <n v="2"/>
    <x v="0"/>
    <n v="0.13"/>
    <x v="1"/>
    <x v="352"/>
    <n v="24036"/>
    <x v="0"/>
    <x v="132"/>
    <x v="3"/>
    <n v="60"/>
    <x v="3"/>
    <x v="4"/>
    <x v="0"/>
    <x v="1"/>
    <x v="0"/>
    <x v="0"/>
    <x v="1"/>
  </r>
  <r>
    <x v="370"/>
    <n v="19450"/>
    <n v="6573"/>
    <n v="26023"/>
    <x v="3"/>
    <x v="1"/>
    <x v="0"/>
    <x v="0"/>
    <x v="2"/>
    <x v="2"/>
    <n v="770"/>
    <x v="3"/>
    <n v="2"/>
    <x v="0"/>
    <n v="0.16"/>
    <x v="1"/>
    <x v="353"/>
    <n v="8680"/>
    <x v="0"/>
    <x v="350"/>
    <x v="3"/>
    <n v="12"/>
    <x v="6"/>
    <x v="3"/>
    <x v="2"/>
    <x v="1"/>
    <x v="1"/>
    <x v="2"/>
    <x v="1"/>
  </r>
  <r>
    <x v="371"/>
    <n v="12636"/>
    <n v="984"/>
    <n v="13620"/>
    <x v="1"/>
    <x v="28"/>
    <x v="0"/>
    <x v="0"/>
    <x v="1"/>
    <x v="1"/>
    <n v="592"/>
    <x v="0"/>
    <n v="1"/>
    <x v="0"/>
    <n v="0.21"/>
    <x v="1"/>
    <x v="354"/>
    <n v="1485"/>
    <x v="0"/>
    <x v="351"/>
    <x v="2"/>
    <n v="48"/>
    <x v="1"/>
    <x v="2"/>
    <x v="2"/>
    <x v="1"/>
    <x v="1"/>
    <x v="0"/>
    <x v="0"/>
  </r>
  <r>
    <x v="372"/>
    <n v="7726"/>
    <n v="5776"/>
    <n v="13502"/>
    <x v="0"/>
    <x v="16"/>
    <x v="1"/>
    <x v="0"/>
    <x v="2"/>
    <x v="2"/>
    <n v="726"/>
    <x v="1"/>
    <n v="2"/>
    <x v="0"/>
    <n v="0.33"/>
    <x v="2"/>
    <x v="355"/>
    <n v="14713"/>
    <x v="0"/>
    <x v="352"/>
    <x v="0"/>
    <n v="36"/>
    <x v="4"/>
    <x v="4"/>
    <x v="0"/>
    <x v="1"/>
    <x v="0"/>
    <x v="0"/>
    <x v="1"/>
  </r>
  <r>
    <x v="373"/>
    <n v="5373"/>
    <n v="3676"/>
    <n v="9049"/>
    <x v="0"/>
    <x v="9"/>
    <x v="2"/>
    <x v="0"/>
    <x v="0"/>
    <x v="0"/>
    <n v="585"/>
    <x v="0"/>
    <n v="0"/>
    <x v="1"/>
    <n v="0.32"/>
    <x v="2"/>
    <x v="356"/>
    <n v="20043"/>
    <x v="0"/>
    <x v="353"/>
    <x v="0"/>
    <n v="60"/>
    <x v="3"/>
    <x v="3"/>
    <x v="1"/>
    <x v="1"/>
    <x v="1"/>
    <x v="0"/>
    <x v="0"/>
  </r>
  <r>
    <x v="374"/>
    <n v="14161"/>
    <n v="3380"/>
    <n v="17541"/>
    <x v="2"/>
    <x v="13"/>
    <x v="2"/>
    <x v="0"/>
    <x v="0"/>
    <x v="0"/>
    <n v="671"/>
    <x v="1"/>
    <n v="2"/>
    <x v="0"/>
    <n v="0.5"/>
    <x v="3"/>
    <x v="357"/>
    <n v="2419"/>
    <x v="0"/>
    <x v="354"/>
    <x v="0"/>
    <n v="24"/>
    <x v="5"/>
    <x v="1"/>
    <x v="0"/>
    <x v="1"/>
    <x v="1"/>
    <x v="0"/>
    <x v="0"/>
  </r>
  <r>
    <x v="375"/>
    <n v="4082"/>
    <n v="8711"/>
    <n v="12793"/>
    <x v="2"/>
    <x v="11"/>
    <x v="2"/>
    <x v="0"/>
    <x v="1"/>
    <x v="1"/>
    <n v="657"/>
    <x v="0"/>
    <n v="2"/>
    <x v="0"/>
    <n v="0.47"/>
    <x v="3"/>
    <x v="358"/>
    <n v="48080"/>
    <x v="0"/>
    <x v="355"/>
    <x v="1"/>
    <n v="12"/>
    <x v="6"/>
    <x v="0"/>
    <x v="0"/>
    <x v="1"/>
    <x v="1"/>
    <x v="0"/>
    <x v="0"/>
  </r>
  <r>
    <x v="376"/>
    <n v="18281"/>
    <n v="8782"/>
    <n v="27063"/>
    <x v="1"/>
    <x v="13"/>
    <x v="2"/>
    <x v="0"/>
    <x v="3"/>
    <x v="3"/>
    <n v="559"/>
    <x v="2"/>
    <n v="1"/>
    <x v="0"/>
    <n v="0.31"/>
    <x v="2"/>
    <x v="359"/>
    <n v="36263"/>
    <x v="0"/>
    <x v="356"/>
    <x v="2"/>
    <n v="36"/>
    <x v="4"/>
    <x v="3"/>
    <x v="0"/>
    <x v="0"/>
    <x v="1"/>
    <x v="3"/>
    <x v="0"/>
  </r>
  <r>
    <x v="377"/>
    <n v="17305"/>
    <n v="1050"/>
    <n v="18355"/>
    <x v="0"/>
    <x v="32"/>
    <x v="3"/>
    <x v="0"/>
    <x v="2"/>
    <x v="2"/>
    <n v="644"/>
    <x v="0"/>
    <n v="0"/>
    <x v="1"/>
    <n v="0.27"/>
    <x v="1"/>
    <x v="360"/>
    <n v="17140"/>
    <x v="0"/>
    <x v="357"/>
    <x v="0"/>
    <n v="72"/>
    <x v="2"/>
    <x v="3"/>
    <x v="0"/>
    <x v="0"/>
    <x v="1"/>
    <x v="0"/>
    <x v="0"/>
  </r>
  <r>
    <x v="378"/>
    <n v="11817"/>
    <n v="0"/>
    <n v="11817"/>
    <x v="0"/>
    <x v="8"/>
    <x v="0"/>
    <x v="1"/>
    <x v="3"/>
    <x v="3"/>
    <n v="555"/>
    <x v="2"/>
    <n v="3"/>
    <x v="0"/>
    <n v="0.26"/>
    <x v="1"/>
    <x v="361"/>
    <n v="43484"/>
    <x v="0"/>
    <x v="358"/>
    <x v="0"/>
    <n v="24"/>
    <x v="5"/>
    <x v="1"/>
    <x v="1"/>
    <x v="1"/>
    <x v="0"/>
    <x v="0"/>
    <x v="0"/>
  </r>
  <r>
    <x v="379"/>
    <n v="13261"/>
    <n v="6342"/>
    <n v="19603"/>
    <x v="0"/>
    <x v="18"/>
    <x v="0"/>
    <x v="1"/>
    <x v="0"/>
    <x v="0"/>
    <n v="606"/>
    <x v="0"/>
    <n v="3"/>
    <x v="0"/>
    <n v="0.49"/>
    <x v="3"/>
    <x v="362"/>
    <n v="45210"/>
    <x v="0"/>
    <x v="359"/>
    <x v="1"/>
    <n v="24"/>
    <x v="5"/>
    <x v="2"/>
    <x v="2"/>
    <x v="1"/>
    <x v="0"/>
    <x v="2"/>
    <x v="0"/>
  </r>
  <r>
    <x v="380"/>
    <n v="2417"/>
    <n v="959"/>
    <n v="3376"/>
    <x v="2"/>
    <x v="28"/>
    <x v="0"/>
    <x v="0"/>
    <x v="0"/>
    <x v="0"/>
    <n v="678"/>
    <x v="1"/>
    <n v="4"/>
    <x v="0"/>
    <n v="0.13"/>
    <x v="1"/>
    <x v="363"/>
    <n v="12961"/>
    <x v="0"/>
    <x v="360"/>
    <x v="2"/>
    <n v="72"/>
    <x v="2"/>
    <x v="1"/>
    <x v="1"/>
    <x v="1"/>
    <x v="0"/>
    <x v="0"/>
    <x v="0"/>
  </r>
  <r>
    <x v="381"/>
    <n v="10808"/>
    <n v="6059"/>
    <n v="16867"/>
    <x v="0"/>
    <x v="23"/>
    <x v="0"/>
    <x v="0"/>
    <x v="1"/>
    <x v="1"/>
    <n v="620"/>
    <x v="0"/>
    <n v="2"/>
    <x v="0"/>
    <n v="0.11"/>
    <x v="1"/>
    <x v="364"/>
    <n v="43075"/>
    <x v="0"/>
    <x v="36"/>
    <x v="3"/>
    <n v="48"/>
    <x v="1"/>
    <x v="3"/>
    <x v="0"/>
    <x v="0"/>
    <x v="1"/>
    <x v="0"/>
    <x v="0"/>
  </r>
  <r>
    <x v="382"/>
    <n v="5267"/>
    <n v="0"/>
    <n v="5267"/>
    <x v="3"/>
    <x v="33"/>
    <x v="4"/>
    <x v="0"/>
    <x v="0"/>
    <x v="0"/>
    <n v="735"/>
    <x v="1"/>
    <n v="0"/>
    <x v="1"/>
    <n v="0.5"/>
    <x v="3"/>
    <x v="365"/>
    <n v="6487"/>
    <x v="0"/>
    <x v="361"/>
    <x v="2"/>
    <n v="48"/>
    <x v="1"/>
    <x v="2"/>
    <x v="2"/>
    <x v="1"/>
    <x v="0"/>
    <x v="4"/>
    <x v="0"/>
  </r>
  <r>
    <x v="383"/>
    <n v="19209"/>
    <n v="5655"/>
    <n v="24864"/>
    <x v="2"/>
    <x v="3"/>
    <x v="2"/>
    <x v="0"/>
    <x v="0"/>
    <x v="0"/>
    <n v="768"/>
    <x v="3"/>
    <n v="0"/>
    <x v="1"/>
    <n v="0.34"/>
    <x v="2"/>
    <x v="366"/>
    <n v="31110"/>
    <x v="0"/>
    <x v="362"/>
    <x v="2"/>
    <n v="60"/>
    <x v="3"/>
    <x v="4"/>
    <x v="2"/>
    <x v="1"/>
    <x v="0"/>
    <x v="0"/>
    <x v="1"/>
  </r>
  <r>
    <x v="384"/>
    <n v="0"/>
    <n v="4473"/>
    <n v="4473"/>
    <x v="0"/>
    <x v="37"/>
    <x v="1"/>
    <x v="0"/>
    <x v="3"/>
    <x v="3"/>
    <n v="570"/>
    <x v="2"/>
    <n v="3"/>
    <x v="0"/>
    <n v="0.17"/>
    <x v="1"/>
    <x v="367"/>
    <n v="42432"/>
    <x v="0"/>
    <x v="363"/>
    <x v="0"/>
    <n v="60"/>
    <x v="3"/>
    <x v="3"/>
    <x v="1"/>
    <x v="0"/>
    <x v="0"/>
    <x v="0"/>
    <x v="0"/>
  </r>
  <r>
    <x v="385"/>
    <n v="13338"/>
    <n v="2946"/>
    <n v="16284"/>
    <x v="1"/>
    <x v="3"/>
    <x v="2"/>
    <x v="1"/>
    <x v="0"/>
    <x v="0"/>
    <n v="641"/>
    <x v="0"/>
    <n v="4"/>
    <x v="0"/>
    <n v="0.22"/>
    <x v="1"/>
    <x v="368"/>
    <n v="16360"/>
    <x v="0"/>
    <x v="364"/>
    <x v="3"/>
    <n v="24"/>
    <x v="5"/>
    <x v="1"/>
    <x v="2"/>
    <x v="1"/>
    <x v="0"/>
    <x v="1"/>
    <x v="0"/>
  </r>
  <r>
    <x v="386"/>
    <n v="2412"/>
    <n v="7725"/>
    <n v="10137"/>
    <x v="0"/>
    <x v="32"/>
    <x v="3"/>
    <x v="0"/>
    <x v="0"/>
    <x v="0"/>
    <n v="676"/>
    <x v="1"/>
    <n v="0"/>
    <x v="1"/>
    <n v="0.56999999999999995"/>
    <x v="0"/>
    <x v="369"/>
    <n v="49410"/>
    <x v="0"/>
    <x v="365"/>
    <x v="2"/>
    <n v="84"/>
    <x v="0"/>
    <x v="4"/>
    <x v="0"/>
    <x v="0"/>
    <x v="0"/>
    <x v="1"/>
    <x v="0"/>
  </r>
  <r>
    <x v="387"/>
    <n v="9543"/>
    <n v="526"/>
    <n v="10069"/>
    <x v="1"/>
    <x v="29"/>
    <x v="2"/>
    <x v="0"/>
    <x v="2"/>
    <x v="2"/>
    <n v="629"/>
    <x v="0"/>
    <n v="2"/>
    <x v="0"/>
    <n v="0.53"/>
    <x v="0"/>
    <x v="370"/>
    <n v="36843"/>
    <x v="0"/>
    <x v="366"/>
    <x v="2"/>
    <n v="24"/>
    <x v="5"/>
    <x v="2"/>
    <x v="0"/>
    <x v="0"/>
    <x v="1"/>
    <x v="1"/>
    <x v="0"/>
  </r>
  <r>
    <x v="388"/>
    <n v="9587"/>
    <n v="3224"/>
    <n v="12811"/>
    <x v="2"/>
    <x v="33"/>
    <x v="4"/>
    <x v="0"/>
    <x v="0"/>
    <x v="0"/>
    <n v="605"/>
    <x v="0"/>
    <n v="3"/>
    <x v="0"/>
    <n v="0.45"/>
    <x v="3"/>
    <x v="371"/>
    <n v="24882"/>
    <x v="0"/>
    <x v="367"/>
    <x v="0"/>
    <n v="60"/>
    <x v="3"/>
    <x v="2"/>
    <x v="0"/>
    <x v="0"/>
    <x v="0"/>
    <x v="1"/>
    <x v="0"/>
  </r>
  <r>
    <x v="389"/>
    <n v="2728"/>
    <n v="1875"/>
    <n v="4603"/>
    <x v="2"/>
    <x v="16"/>
    <x v="1"/>
    <x v="1"/>
    <x v="2"/>
    <x v="2"/>
    <n v="787"/>
    <x v="3"/>
    <n v="4"/>
    <x v="0"/>
    <n v="0.34"/>
    <x v="2"/>
    <x v="372"/>
    <n v="17502"/>
    <x v="0"/>
    <x v="368"/>
    <x v="2"/>
    <n v="72"/>
    <x v="2"/>
    <x v="1"/>
    <x v="2"/>
    <x v="1"/>
    <x v="1"/>
    <x v="1"/>
    <x v="0"/>
  </r>
  <r>
    <x v="390"/>
    <n v="13657"/>
    <n v="1763"/>
    <n v="15420"/>
    <x v="2"/>
    <x v="32"/>
    <x v="3"/>
    <x v="0"/>
    <x v="0"/>
    <x v="0"/>
    <n v="764"/>
    <x v="3"/>
    <n v="1"/>
    <x v="0"/>
    <n v="0.36"/>
    <x v="2"/>
    <x v="373"/>
    <n v="48053"/>
    <x v="0"/>
    <x v="369"/>
    <x v="1"/>
    <n v="60"/>
    <x v="3"/>
    <x v="4"/>
    <x v="1"/>
    <x v="1"/>
    <x v="1"/>
    <x v="4"/>
    <x v="1"/>
  </r>
  <r>
    <x v="391"/>
    <n v="7988"/>
    <n v="0"/>
    <n v="7988"/>
    <x v="0"/>
    <x v="36"/>
    <x v="1"/>
    <x v="1"/>
    <x v="0"/>
    <x v="0"/>
    <n v="665"/>
    <x v="0"/>
    <n v="3"/>
    <x v="0"/>
    <n v="0.59"/>
    <x v="0"/>
    <x v="374"/>
    <n v="7631"/>
    <x v="0"/>
    <x v="370"/>
    <x v="0"/>
    <n v="24"/>
    <x v="5"/>
    <x v="1"/>
    <x v="0"/>
    <x v="1"/>
    <x v="0"/>
    <x v="4"/>
    <x v="0"/>
  </r>
  <r>
    <x v="392"/>
    <n v="4967"/>
    <n v="5797"/>
    <n v="10764"/>
    <x v="0"/>
    <x v="3"/>
    <x v="2"/>
    <x v="0"/>
    <x v="1"/>
    <x v="1"/>
    <n v="697"/>
    <x v="1"/>
    <n v="4"/>
    <x v="0"/>
    <n v="0.57999999999999996"/>
    <x v="0"/>
    <x v="375"/>
    <n v="3017"/>
    <x v="0"/>
    <x v="371"/>
    <x v="2"/>
    <n v="36"/>
    <x v="4"/>
    <x v="3"/>
    <x v="0"/>
    <x v="0"/>
    <x v="1"/>
    <x v="1"/>
    <x v="0"/>
  </r>
  <r>
    <x v="393"/>
    <n v="16527"/>
    <n v="9208"/>
    <n v="25735"/>
    <x v="2"/>
    <x v="10"/>
    <x v="0"/>
    <x v="1"/>
    <x v="1"/>
    <x v="1"/>
    <n v="779"/>
    <x v="3"/>
    <n v="0"/>
    <x v="1"/>
    <n v="0.21"/>
    <x v="1"/>
    <x v="376"/>
    <n v="20725"/>
    <x v="0"/>
    <x v="372"/>
    <x v="1"/>
    <n v="24"/>
    <x v="5"/>
    <x v="2"/>
    <x v="0"/>
    <x v="1"/>
    <x v="1"/>
    <x v="0"/>
    <x v="1"/>
  </r>
  <r>
    <x v="394"/>
    <n v="18048"/>
    <n v="7099"/>
    <n v="25147"/>
    <x v="0"/>
    <x v="12"/>
    <x v="1"/>
    <x v="1"/>
    <x v="2"/>
    <x v="2"/>
    <n v="731"/>
    <x v="1"/>
    <n v="1"/>
    <x v="0"/>
    <n v="0.51"/>
    <x v="0"/>
    <x v="377"/>
    <n v="24762"/>
    <x v="0"/>
    <x v="373"/>
    <x v="2"/>
    <n v="36"/>
    <x v="4"/>
    <x v="0"/>
    <x v="2"/>
    <x v="1"/>
    <x v="0"/>
    <x v="4"/>
    <x v="0"/>
  </r>
  <r>
    <x v="395"/>
    <n v="19506"/>
    <n v="5109"/>
    <n v="24615"/>
    <x v="0"/>
    <x v="6"/>
    <x v="3"/>
    <x v="0"/>
    <x v="0"/>
    <x v="0"/>
    <n v="574"/>
    <x v="2"/>
    <n v="4"/>
    <x v="0"/>
    <n v="0.2"/>
    <x v="1"/>
    <x v="378"/>
    <n v="784"/>
    <x v="0"/>
    <x v="374"/>
    <x v="2"/>
    <n v="36"/>
    <x v="4"/>
    <x v="2"/>
    <x v="0"/>
    <x v="1"/>
    <x v="1"/>
    <x v="3"/>
    <x v="0"/>
  </r>
  <r>
    <x v="396"/>
    <n v="19955"/>
    <n v="6644"/>
    <n v="26599"/>
    <x v="0"/>
    <x v="22"/>
    <x v="2"/>
    <x v="0"/>
    <x v="3"/>
    <x v="3"/>
    <n v="705"/>
    <x v="1"/>
    <n v="4"/>
    <x v="0"/>
    <n v="0.21"/>
    <x v="1"/>
    <x v="379"/>
    <n v="28020"/>
    <x v="0"/>
    <x v="36"/>
    <x v="3"/>
    <n v="24"/>
    <x v="5"/>
    <x v="2"/>
    <x v="0"/>
    <x v="1"/>
    <x v="1"/>
    <x v="4"/>
    <x v="1"/>
  </r>
  <r>
    <x v="397"/>
    <n v="7073"/>
    <n v="116"/>
    <n v="7189"/>
    <x v="1"/>
    <x v="3"/>
    <x v="2"/>
    <x v="0"/>
    <x v="1"/>
    <x v="1"/>
    <n v="554"/>
    <x v="2"/>
    <n v="2"/>
    <x v="0"/>
    <n v="0.44"/>
    <x v="3"/>
    <x v="380"/>
    <n v="38459"/>
    <x v="0"/>
    <x v="375"/>
    <x v="2"/>
    <n v="84"/>
    <x v="0"/>
    <x v="2"/>
    <x v="0"/>
    <x v="1"/>
    <x v="0"/>
    <x v="1"/>
    <x v="0"/>
  </r>
  <r>
    <x v="398"/>
    <n v="7104"/>
    <n v="2433"/>
    <n v="9537"/>
    <x v="0"/>
    <x v="7"/>
    <x v="0"/>
    <x v="0"/>
    <x v="3"/>
    <x v="3"/>
    <n v="669"/>
    <x v="0"/>
    <n v="3"/>
    <x v="0"/>
    <n v="0.3"/>
    <x v="1"/>
    <x v="341"/>
    <n v="15765"/>
    <x v="0"/>
    <x v="376"/>
    <x v="3"/>
    <n v="84"/>
    <x v="0"/>
    <x v="1"/>
    <x v="2"/>
    <x v="1"/>
    <x v="1"/>
    <x v="0"/>
    <x v="1"/>
  </r>
  <r>
    <x v="399"/>
    <n v="4143"/>
    <n v="5463"/>
    <n v="9606"/>
    <x v="1"/>
    <x v="26"/>
    <x v="3"/>
    <x v="1"/>
    <x v="1"/>
    <x v="1"/>
    <n v="550"/>
    <x v="2"/>
    <n v="0"/>
    <x v="1"/>
    <n v="0.56999999999999995"/>
    <x v="0"/>
    <x v="381"/>
    <n v="31127"/>
    <x v="0"/>
    <x v="377"/>
    <x v="2"/>
    <n v="12"/>
    <x v="6"/>
    <x v="1"/>
    <x v="2"/>
    <x v="0"/>
    <x v="1"/>
    <x v="4"/>
    <x v="0"/>
  </r>
  <r>
    <x v="400"/>
    <n v="14043"/>
    <n v="8586"/>
    <n v="22629"/>
    <x v="0"/>
    <x v="28"/>
    <x v="0"/>
    <x v="1"/>
    <x v="0"/>
    <x v="0"/>
    <n v="724"/>
    <x v="1"/>
    <n v="4"/>
    <x v="0"/>
    <n v="0.36"/>
    <x v="2"/>
    <x v="382"/>
    <n v="9552"/>
    <x v="0"/>
    <x v="378"/>
    <x v="2"/>
    <n v="84"/>
    <x v="0"/>
    <x v="2"/>
    <x v="0"/>
    <x v="0"/>
    <x v="1"/>
    <x v="2"/>
    <x v="1"/>
  </r>
  <r>
    <x v="401"/>
    <n v="5440"/>
    <n v="3788"/>
    <n v="9228"/>
    <x v="0"/>
    <x v="23"/>
    <x v="0"/>
    <x v="1"/>
    <x v="1"/>
    <x v="1"/>
    <n v="747"/>
    <x v="3"/>
    <n v="2"/>
    <x v="0"/>
    <n v="0.56000000000000005"/>
    <x v="0"/>
    <x v="383"/>
    <n v="41300"/>
    <x v="0"/>
    <x v="379"/>
    <x v="0"/>
    <n v="48"/>
    <x v="1"/>
    <x v="1"/>
    <x v="0"/>
    <x v="1"/>
    <x v="1"/>
    <x v="0"/>
    <x v="0"/>
  </r>
  <r>
    <x v="402"/>
    <n v="7644"/>
    <n v="4167"/>
    <n v="11811"/>
    <x v="0"/>
    <x v="9"/>
    <x v="2"/>
    <x v="0"/>
    <x v="3"/>
    <x v="3"/>
    <n v="606"/>
    <x v="0"/>
    <n v="3"/>
    <x v="0"/>
    <n v="0.55000000000000004"/>
    <x v="0"/>
    <x v="384"/>
    <n v="49714"/>
    <x v="0"/>
    <x v="380"/>
    <x v="0"/>
    <n v="24"/>
    <x v="5"/>
    <x v="1"/>
    <x v="0"/>
    <x v="1"/>
    <x v="1"/>
    <x v="0"/>
    <x v="0"/>
  </r>
  <r>
    <x v="403"/>
    <n v="12518"/>
    <n v="8465"/>
    <n v="20983"/>
    <x v="2"/>
    <x v="25"/>
    <x v="4"/>
    <x v="0"/>
    <x v="1"/>
    <x v="1"/>
    <n v="642"/>
    <x v="0"/>
    <n v="0"/>
    <x v="1"/>
    <n v="0.18"/>
    <x v="1"/>
    <x v="385"/>
    <n v="31921"/>
    <x v="0"/>
    <x v="381"/>
    <x v="0"/>
    <n v="36"/>
    <x v="4"/>
    <x v="1"/>
    <x v="0"/>
    <x v="1"/>
    <x v="0"/>
    <x v="1"/>
    <x v="0"/>
  </r>
  <r>
    <x v="404"/>
    <n v="16552"/>
    <n v="1389"/>
    <n v="17941"/>
    <x v="4"/>
    <x v="20"/>
    <x v="0"/>
    <x v="1"/>
    <x v="2"/>
    <x v="2"/>
    <n v="568"/>
    <x v="2"/>
    <n v="0"/>
    <x v="1"/>
    <n v="0.28000000000000003"/>
    <x v="1"/>
    <x v="386"/>
    <n v="4746"/>
    <x v="0"/>
    <x v="382"/>
    <x v="1"/>
    <n v="24"/>
    <x v="5"/>
    <x v="3"/>
    <x v="0"/>
    <x v="1"/>
    <x v="0"/>
    <x v="3"/>
    <x v="0"/>
  </r>
  <r>
    <x v="405"/>
    <n v="4914"/>
    <n v="8357"/>
    <n v="13271"/>
    <x v="0"/>
    <x v="36"/>
    <x v="1"/>
    <x v="0"/>
    <x v="0"/>
    <x v="0"/>
    <n v="677"/>
    <x v="1"/>
    <n v="2"/>
    <x v="0"/>
    <n v="0.41"/>
    <x v="3"/>
    <x v="387"/>
    <n v="2999"/>
    <x v="0"/>
    <x v="383"/>
    <x v="0"/>
    <n v="60"/>
    <x v="3"/>
    <x v="0"/>
    <x v="0"/>
    <x v="1"/>
    <x v="0"/>
    <x v="0"/>
    <x v="0"/>
  </r>
  <r>
    <x v="406"/>
    <n v="15584"/>
    <n v="9759"/>
    <n v="25343"/>
    <x v="0"/>
    <x v="7"/>
    <x v="0"/>
    <x v="1"/>
    <x v="0"/>
    <x v="0"/>
    <n v="646"/>
    <x v="0"/>
    <n v="1"/>
    <x v="0"/>
    <n v="0.18"/>
    <x v="1"/>
    <x v="388"/>
    <n v="44070"/>
    <x v="0"/>
    <x v="384"/>
    <x v="2"/>
    <n v="72"/>
    <x v="2"/>
    <x v="1"/>
    <x v="2"/>
    <x v="0"/>
    <x v="0"/>
    <x v="1"/>
    <x v="0"/>
  </r>
  <r>
    <x v="407"/>
    <n v="14144"/>
    <n v="6154"/>
    <n v="20298"/>
    <x v="2"/>
    <x v="1"/>
    <x v="0"/>
    <x v="0"/>
    <x v="2"/>
    <x v="2"/>
    <n v="742"/>
    <x v="3"/>
    <n v="0"/>
    <x v="1"/>
    <n v="0.57999999999999996"/>
    <x v="0"/>
    <x v="389"/>
    <n v="49220"/>
    <x v="0"/>
    <x v="385"/>
    <x v="0"/>
    <n v="84"/>
    <x v="0"/>
    <x v="0"/>
    <x v="0"/>
    <x v="1"/>
    <x v="1"/>
    <x v="4"/>
    <x v="0"/>
  </r>
  <r>
    <x v="408"/>
    <n v="16397"/>
    <n v="5420"/>
    <n v="21817"/>
    <x v="0"/>
    <x v="29"/>
    <x v="2"/>
    <x v="0"/>
    <x v="2"/>
    <x v="2"/>
    <n v="786"/>
    <x v="3"/>
    <n v="2"/>
    <x v="0"/>
    <n v="0.56000000000000005"/>
    <x v="0"/>
    <x v="390"/>
    <n v="15595"/>
    <x v="0"/>
    <x v="386"/>
    <x v="0"/>
    <n v="84"/>
    <x v="0"/>
    <x v="4"/>
    <x v="0"/>
    <x v="1"/>
    <x v="0"/>
    <x v="3"/>
    <x v="0"/>
  </r>
  <r>
    <x v="409"/>
    <n v="10787"/>
    <n v="8920"/>
    <n v="19707"/>
    <x v="2"/>
    <x v="23"/>
    <x v="0"/>
    <x v="1"/>
    <x v="2"/>
    <x v="2"/>
    <n v="680"/>
    <x v="1"/>
    <n v="1"/>
    <x v="0"/>
    <n v="0.18"/>
    <x v="1"/>
    <x v="391"/>
    <n v="0"/>
    <x v="1"/>
    <x v="387"/>
    <x v="2"/>
    <n v="84"/>
    <x v="0"/>
    <x v="3"/>
    <x v="1"/>
    <x v="1"/>
    <x v="1"/>
    <x v="0"/>
    <x v="1"/>
  </r>
  <r>
    <x v="410"/>
    <n v="16191"/>
    <n v="2043"/>
    <n v="18234"/>
    <x v="3"/>
    <x v="22"/>
    <x v="2"/>
    <x v="0"/>
    <x v="1"/>
    <x v="1"/>
    <n v="719"/>
    <x v="1"/>
    <n v="1"/>
    <x v="0"/>
    <n v="0.16"/>
    <x v="1"/>
    <x v="392"/>
    <n v="6200"/>
    <x v="0"/>
    <x v="388"/>
    <x v="0"/>
    <n v="36"/>
    <x v="4"/>
    <x v="2"/>
    <x v="2"/>
    <x v="0"/>
    <x v="1"/>
    <x v="1"/>
    <x v="1"/>
  </r>
  <r>
    <x v="411"/>
    <n v="2728"/>
    <n v="4197"/>
    <n v="6925"/>
    <x v="0"/>
    <x v="3"/>
    <x v="2"/>
    <x v="1"/>
    <x v="0"/>
    <x v="0"/>
    <n v="570"/>
    <x v="2"/>
    <n v="0"/>
    <x v="1"/>
    <n v="0.14000000000000001"/>
    <x v="1"/>
    <x v="393"/>
    <n v="38164"/>
    <x v="0"/>
    <x v="389"/>
    <x v="0"/>
    <n v="48"/>
    <x v="1"/>
    <x v="3"/>
    <x v="2"/>
    <x v="1"/>
    <x v="1"/>
    <x v="2"/>
    <x v="0"/>
  </r>
  <r>
    <x v="412"/>
    <n v="19749"/>
    <n v="3496"/>
    <n v="23245"/>
    <x v="2"/>
    <x v="34"/>
    <x v="3"/>
    <x v="1"/>
    <x v="2"/>
    <x v="2"/>
    <n v="776"/>
    <x v="3"/>
    <n v="1"/>
    <x v="0"/>
    <n v="0.55000000000000004"/>
    <x v="0"/>
    <x v="394"/>
    <n v="23377"/>
    <x v="0"/>
    <x v="390"/>
    <x v="2"/>
    <n v="48"/>
    <x v="1"/>
    <x v="3"/>
    <x v="1"/>
    <x v="1"/>
    <x v="0"/>
    <x v="0"/>
    <x v="0"/>
  </r>
  <r>
    <x v="413"/>
    <n v="2698"/>
    <n v="778"/>
    <n v="3476"/>
    <x v="0"/>
    <x v="30"/>
    <x v="2"/>
    <x v="1"/>
    <x v="1"/>
    <x v="1"/>
    <n v="782"/>
    <x v="3"/>
    <n v="4"/>
    <x v="0"/>
    <n v="0.2"/>
    <x v="1"/>
    <x v="395"/>
    <n v="13410"/>
    <x v="0"/>
    <x v="391"/>
    <x v="2"/>
    <n v="84"/>
    <x v="0"/>
    <x v="4"/>
    <x v="0"/>
    <x v="1"/>
    <x v="0"/>
    <x v="4"/>
    <x v="0"/>
  </r>
  <r>
    <x v="414"/>
    <n v="9186"/>
    <n v="213"/>
    <n v="9399"/>
    <x v="2"/>
    <x v="10"/>
    <x v="0"/>
    <x v="1"/>
    <x v="2"/>
    <x v="2"/>
    <n v="550"/>
    <x v="2"/>
    <n v="2"/>
    <x v="0"/>
    <n v="0.31"/>
    <x v="2"/>
    <x v="396"/>
    <n v="45971"/>
    <x v="0"/>
    <x v="392"/>
    <x v="1"/>
    <n v="48"/>
    <x v="1"/>
    <x v="0"/>
    <x v="2"/>
    <x v="0"/>
    <x v="0"/>
    <x v="2"/>
    <x v="0"/>
  </r>
  <r>
    <x v="415"/>
    <n v="15923"/>
    <n v="9768"/>
    <n v="25691"/>
    <x v="2"/>
    <x v="2"/>
    <x v="1"/>
    <x v="1"/>
    <x v="3"/>
    <x v="3"/>
    <n v="702"/>
    <x v="1"/>
    <n v="0"/>
    <x v="1"/>
    <n v="0.4"/>
    <x v="2"/>
    <x v="397"/>
    <n v="10564"/>
    <x v="0"/>
    <x v="393"/>
    <x v="2"/>
    <n v="84"/>
    <x v="0"/>
    <x v="2"/>
    <x v="0"/>
    <x v="1"/>
    <x v="1"/>
    <x v="1"/>
    <x v="0"/>
  </r>
  <r>
    <x v="416"/>
    <n v="18779"/>
    <n v="6731"/>
    <n v="25510"/>
    <x v="0"/>
    <x v="8"/>
    <x v="0"/>
    <x v="0"/>
    <x v="0"/>
    <x v="0"/>
    <n v="676"/>
    <x v="1"/>
    <n v="0"/>
    <x v="1"/>
    <n v="0.14000000000000001"/>
    <x v="1"/>
    <x v="398"/>
    <n v="45516"/>
    <x v="0"/>
    <x v="394"/>
    <x v="2"/>
    <n v="12"/>
    <x v="6"/>
    <x v="4"/>
    <x v="0"/>
    <x v="1"/>
    <x v="1"/>
    <x v="1"/>
    <x v="1"/>
  </r>
  <r>
    <x v="417"/>
    <n v="9400"/>
    <n v="3117"/>
    <n v="12517"/>
    <x v="0"/>
    <x v="4"/>
    <x v="1"/>
    <x v="0"/>
    <x v="1"/>
    <x v="1"/>
    <n v="786"/>
    <x v="3"/>
    <n v="0"/>
    <x v="1"/>
    <n v="0.21"/>
    <x v="1"/>
    <x v="399"/>
    <n v="30898"/>
    <x v="0"/>
    <x v="395"/>
    <x v="0"/>
    <n v="36"/>
    <x v="4"/>
    <x v="2"/>
    <x v="0"/>
    <x v="0"/>
    <x v="0"/>
    <x v="0"/>
    <x v="1"/>
  </r>
  <r>
    <x v="418"/>
    <n v="6171"/>
    <n v="5791"/>
    <n v="11962"/>
    <x v="0"/>
    <x v="19"/>
    <x v="4"/>
    <x v="1"/>
    <x v="3"/>
    <x v="3"/>
    <n v="779"/>
    <x v="3"/>
    <n v="2"/>
    <x v="0"/>
    <n v="0.56999999999999995"/>
    <x v="0"/>
    <x v="400"/>
    <n v="49725"/>
    <x v="0"/>
    <x v="396"/>
    <x v="1"/>
    <n v="72"/>
    <x v="2"/>
    <x v="4"/>
    <x v="0"/>
    <x v="1"/>
    <x v="1"/>
    <x v="1"/>
    <x v="0"/>
  </r>
  <r>
    <x v="419"/>
    <n v="6360"/>
    <n v="8783"/>
    <n v="15143"/>
    <x v="0"/>
    <x v="5"/>
    <x v="0"/>
    <x v="0"/>
    <x v="3"/>
    <x v="3"/>
    <n v="786"/>
    <x v="3"/>
    <n v="1"/>
    <x v="0"/>
    <n v="0.35"/>
    <x v="2"/>
    <x v="401"/>
    <n v="20598"/>
    <x v="0"/>
    <x v="397"/>
    <x v="2"/>
    <n v="36"/>
    <x v="4"/>
    <x v="2"/>
    <x v="0"/>
    <x v="0"/>
    <x v="1"/>
    <x v="1"/>
    <x v="0"/>
  </r>
  <r>
    <x v="420"/>
    <n v="4502"/>
    <n v="2720"/>
    <n v="7222"/>
    <x v="0"/>
    <x v="4"/>
    <x v="1"/>
    <x v="0"/>
    <x v="1"/>
    <x v="1"/>
    <n v="604"/>
    <x v="0"/>
    <n v="0"/>
    <x v="1"/>
    <n v="0.49"/>
    <x v="3"/>
    <x v="402"/>
    <n v="40404"/>
    <x v="0"/>
    <x v="398"/>
    <x v="0"/>
    <n v="84"/>
    <x v="0"/>
    <x v="2"/>
    <x v="0"/>
    <x v="1"/>
    <x v="1"/>
    <x v="3"/>
    <x v="0"/>
  </r>
  <r>
    <x v="421"/>
    <n v="19101"/>
    <n v="8905"/>
    <n v="28006"/>
    <x v="0"/>
    <x v="24"/>
    <x v="2"/>
    <x v="0"/>
    <x v="2"/>
    <x v="2"/>
    <n v="761"/>
    <x v="3"/>
    <n v="0"/>
    <x v="1"/>
    <n v="0.11"/>
    <x v="1"/>
    <x v="11"/>
    <n v="17862"/>
    <x v="0"/>
    <x v="399"/>
    <x v="0"/>
    <n v="72"/>
    <x v="2"/>
    <x v="3"/>
    <x v="0"/>
    <x v="1"/>
    <x v="0"/>
    <x v="3"/>
    <x v="1"/>
  </r>
  <r>
    <x v="422"/>
    <n v="7486"/>
    <n v="9127"/>
    <n v="16613"/>
    <x v="0"/>
    <x v="14"/>
    <x v="2"/>
    <x v="0"/>
    <x v="1"/>
    <x v="1"/>
    <n v="729"/>
    <x v="1"/>
    <n v="4"/>
    <x v="0"/>
    <n v="0.26"/>
    <x v="1"/>
    <x v="11"/>
    <n v="10265"/>
    <x v="0"/>
    <x v="400"/>
    <x v="1"/>
    <n v="84"/>
    <x v="0"/>
    <x v="3"/>
    <x v="0"/>
    <x v="1"/>
    <x v="1"/>
    <x v="4"/>
    <x v="1"/>
  </r>
  <r>
    <x v="423"/>
    <n v="10335"/>
    <n v="6047"/>
    <n v="16382"/>
    <x v="0"/>
    <x v="18"/>
    <x v="0"/>
    <x v="1"/>
    <x v="2"/>
    <x v="2"/>
    <n v="721"/>
    <x v="1"/>
    <n v="0"/>
    <x v="1"/>
    <n v="0.41"/>
    <x v="3"/>
    <x v="403"/>
    <n v="9705"/>
    <x v="0"/>
    <x v="401"/>
    <x v="2"/>
    <n v="72"/>
    <x v="2"/>
    <x v="4"/>
    <x v="0"/>
    <x v="0"/>
    <x v="1"/>
    <x v="0"/>
    <x v="0"/>
  </r>
  <r>
    <x v="424"/>
    <n v="6491"/>
    <n v="8032"/>
    <n v="14523"/>
    <x v="2"/>
    <x v="16"/>
    <x v="1"/>
    <x v="0"/>
    <x v="3"/>
    <x v="3"/>
    <n v="658"/>
    <x v="0"/>
    <n v="0"/>
    <x v="1"/>
    <n v="0.24"/>
    <x v="1"/>
    <x v="404"/>
    <n v="25544"/>
    <x v="0"/>
    <x v="402"/>
    <x v="0"/>
    <n v="84"/>
    <x v="0"/>
    <x v="0"/>
    <x v="0"/>
    <x v="1"/>
    <x v="0"/>
    <x v="0"/>
    <x v="1"/>
  </r>
  <r>
    <x v="425"/>
    <n v="13130"/>
    <n v="0"/>
    <n v="13130"/>
    <x v="0"/>
    <x v="14"/>
    <x v="2"/>
    <x v="1"/>
    <x v="3"/>
    <x v="3"/>
    <n v="647"/>
    <x v="0"/>
    <n v="4"/>
    <x v="0"/>
    <n v="0.55000000000000004"/>
    <x v="0"/>
    <x v="405"/>
    <n v="14298"/>
    <x v="0"/>
    <x v="403"/>
    <x v="3"/>
    <n v="12"/>
    <x v="6"/>
    <x v="3"/>
    <x v="0"/>
    <x v="0"/>
    <x v="0"/>
    <x v="0"/>
    <x v="0"/>
  </r>
  <r>
    <x v="426"/>
    <n v="9651"/>
    <n v="6368"/>
    <n v="16019"/>
    <x v="0"/>
    <x v="3"/>
    <x v="2"/>
    <x v="1"/>
    <x v="3"/>
    <x v="3"/>
    <n v="762"/>
    <x v="3"/>
    <n v="2"/>
    <x v="0"/>
    <n v="0.42"/>
    <x v="3"/>
    <x v="406"/>
    <n v="32670"/>
    <x v="0"/>
    <x v="404"/>
    <x v="3"/>
    <n v="36"/>
    <x v="4"/>
    <x v="3"/>
    <x v="2"/>
    <x v="1"/>
    <x v="1"/>
    <x v="4"/>
    <x v="0"/>
  </r>
  <r>
    <x v="427"/>
    <n v="3167"/>
    <n v="1949"/>
    <n v="5116"/>
    <x v="0"/>
    <x v="29"/>
    <x v="2"/>
    <x v="1"/>
    <x v="0"/>
    <x v="0"/>
    <n v="733"/>
    <x v="1"/>
    <n v="1"/>
    <x v="0"/>
    <n v="0.14000000000000001"/>
    <x v="1"/>
    <x v="407"/>
    <n v="42471"/>
    <x v="0"/>
    <x v="405"/>
    <x v="3"/>
    <n v="48"/>
    <x v="1"/>
    <x v="1"/>
    <x v="0"/>
    <x v="0"/>
    <x v="1"/>
    <x v="0"/>
    <x v="1"/>
  </r>
  <r>
    <x v="428"/>
    <n v="3062"/>
    <n v="6732"/>
    <n v="9794"/>
    <x v="0"/>
    <x v="32"/>
    <x v="3"/>
    <x v="0"/>
    <x v="0"/>
    <x v="0"/>
    <n v="732"/>
    <x v="1"/>
    <n v="2"/>
    <x v="0"/>
    <n v="0.55000000000000004"/>
    <x v="0"/>
    <x v="408"/>
    <n v="46104"/>
    <x v="0"/>
    <x v="406"/>
    <x v="0"/>
    <n v="12"/>
    <x v="6"/>
    <x v="3"/>
    <x v="1"/>
    <x v="1"/>
    <x v="0"/>
    <x v="1"/>
    <x v="0"/>
  </r>
  <r>
    <x v="429"/>
    <n v="13174"/>
    <n v="7833"/>
    <n v="21007"/>
    <x v="3"/>
    <x v="17"/>
    <x v="1"/>
    <x v="1"/>
    <x v="0"/>
    <x v="0"/>
    <n v="661"/>
    <x v="0"/>
    <n v="3"/>
    <x v="0"/>
    <n v="0.57999999999999996"/>
    <x v="0"/>
    <x v="409"/>
    <n v="40934"/>
    <x v="0"/>
    <x v="407"/>
    <x v="2"/>
    <n v="24"/>
    <x v="5"/>
    <x v="0"/>
    <x v="1"/>
    <x v="1"/>
    <x v="1"/>
    <x v="0"/>
    <x v="0"/>
  </r>
  <r>
    <x v="430"/>
    <n v="6729"/>
    <n v="917"/>
    <n v="7646"/>
    <x v="0"/>
    <x v="19"/>
    <x v="4"/>
    <x v="0"/>
    <x v="1"/>
    <x v="1"/>
    <n v="764"/>
    <x v="3"/>
    <n v="3"/>
    <x v="0"/>
    <n v="0.14000000000000001"/>
    <x v="1"/>
    <x v="410"/>
    <n v="48884"/>
    <x v="0"/>
    <x v="408"/>
    <x v="0"/>
    <n v="84"/>
    <x v="0"/>
    <x v="1"/>
    <x v="2"/>
    <x v="1"/>
    <x v="0"/>
    <x v="3"/>
    <x v="1"/>
  </r>
  <r>
    <x v="431"/>
    <n v="11348"/>
    <n v="3174"/>
    <n v="14522"/>
    <x v="2"/>
    <x v="16"/>
    <x v="1"/>
    <x v="1"/>
    <x v="3"/>
    <x v="3"/>
    <n v="747"/>
    <x v="3"/>
    <n v="3"/>
    <x v="0"/>
    <n v="0.37"/>
    <x v="2"/>
    <x v="411"/>
    <n v="6050"/>
    <x v="0"/>
    <x v="409"/>
    <x v="0"/>
    <n v="60"/>
    <x v="3"/>
    <x v="2"/>
    <x v="2"/>
    <x v="1"/>
    <x v="0"/>
    <x v="3"/>
    <x v="1"/>
  </r>
  <r>
    <x v="432"/>
    <n v="7334"/>
    <n v="7014"/>
    <n v="14348"/>
    <x v="3"/>
    <x v="6"/>
    <x v="3"/>
    <x v="0"/>
    <x v="3"/>
    <x v="3"/>
    <n v="664"/>
    <x v="0"/>
    <n v="4"/>
    <x v="0"/>
    <n v="0.25"/>
    <x v="1"/>
    <x v="412"/>
    <n v="43952"/>
    <x v="0"/>
    <x v="410"/>
    <x v="3"/>
    <n v="72"/>
    <x v="2"/>
    <x v="2"/>
    <x v="0"/>
    <x v="1"/>
    <x v="1"/>
    <x v="4"/>
    <x v="1"/>
  </r>
  <r>
    <x v="433"/>
    <n v="10924"/>
    <n v="89"/>
    <n v="11013"/>
    <x v="2"/>
    <x v="33"/>
    <x v="4"/>
    <x v="1"/>
    <x v="1"/>
    <x v="1"/>
    <n v="666"/>
    <x v="0"/>
    <n v="0"/>
    <x v="1"/>
    <n v="0.3"/>
    <x v="1"/>
    <x v="11"/>
    <n v="21034"/>
    <x v="0"/>
    <x v="411"/>
    <x v="0"/>
    <n v="48"/>
    <x v="1"/>
    <x v="1"/>
    <x v="0"/>
    <x v="1"/>
    <x v="0"/>
    <x v="0"/>
    <x v="1"/>
  </r>
  <r>
    <x v="434"/>
    <n v="6330"/>
    <n v="1709"/>
    <n v="8039"/>
    <x v="1"/>
    <x v="7"/>
    <x v="0"/>
    <x v="1"/>
    <x v="0"/>
    <x v="0"/>
    <n v="754"/>
    <x v="3"/>
    <n v="2"/>
    <x v="0"/>
    <n v="0.19"/>
    <x v="1"/>
    <x v="413"/>
    <n v="45480"/>
    <x v="0"/>
    <x v="412"/>
    <x v="3"/>
    <n v="12"/>
    <x v="6"/>
    <x v="2"/>
    <x v="1"/>
    <x v="1"/>
    <x v="0"/>
    <x v="1"/>
    <x v="1"/>
  </r>
  <r>
    <x v="435"/>
    <n v="8801"/>
    <n v="3041"/>
    <n v="11842"/>
    <x v="2"/>
    <x v="21"/>
    <x v="1"/>
    <x v="0"/>
    <x v="1"/>
    <x v="1"/>
    <n v="790"/>
    <x v="3"/>
    <n v="1"/>
    <x v="0"/>
    <n v="0.39"/>
    <x v="2"/>
    <x v="11"/>
    <n v="8484"/>
    <x v="0"/>
    <x v="413"/>
    <x v="0"/>
    <n v="12"/>
    <x v="6"/>
    <x v="1"/>
    <x v="0"/>
    <x v="1"/>
    <x v="1"/>
    <x v="0"/>
    <x v="1"/>
  </r>
  <r>
    <x v="436"/>
    <n v="6846"/>
    <n v="105"/>
    <n v="6951"/>
    <x v="3"/>
    <x v="3"/>
    <x v="2"/>
    <x v="0"/>
    <x v="0"/>
    <x v="0"/>
    <n v="550"/>
    <x v="2"/>
    <n v="3"/>
    <x v="0"/>
    <n v="0.57999999999999996"/>
    <x v="0"/>
    <x v="414"/>
    <n v="31323"/>
    <x v="0"/>
    <x v="36"/>
    <x v="3"/>
    <n v="72"/>
    <x v="2"/>
    <x v="4"/>
    <x v="1"/>
    <x v="1"/>
    <x v="1"/>
    <x v="0"/>
    <x v="0"/>
  </r>
  <r>
    <x v="437"/>
    <n v="8731"/>
    <n v="9078"/>
    <n v="17809"/>
    <x v="1"/>
    <x v="36"/>
    <x v="1"/>
    <x v="1"/>
    <x v="3"/>
    <x v="3"/>
    <n v="750"/>
    <x v="3"/>
    <n v="2"/>
    <x v="0"/>
    <n v="0.35"/>
    <x v="2"/>
    <x v="415"/>
    <n v="20796"/>
    <x v="0"/>
    <x v="414"/>
    <x v="2"/>
    <n v="12"/>
    <x v="6"/>
    <x v="0"/>
    <x v="2"/>
    <x v="1"/>
    <x v="0"/>
    <x v="0"/>
    <x v="1"/>
  </r>
  <r>
    <x v="438"/>
    <n v="17368"/>
    <n v="8619"/>
    <n v="25987"/>
    <x v="1"/>
    <x v="12"/>
    <x v="1"/>
    <x v="0"/>
    <x v="2"/>
    <x v="2"/>
    <n v="630"/>
    <x v="0"/>
    <n v="3"/>
    <x v="0"/>
    <n v="0.35"/>
    <x v="2"/>
    <x v="416"/>
    <n v="0"/>
    <x v="1"/>
    <x v="415"/>
    <x v="0"/>
    <n v="24"/>
    <x v="5"/>
    <x v="0"/>
    <x v="0"/>
    <x v="1"/>
    <x v="1"/>
    <x v="0"/>
    <x v="0"/>
  </r>
  <r>
    <x v="439"/>
    <n v="19337"/>
    <n v="1895"/>
    <n v="21232"/>
    <x v="1"/>
    <x v="28"/>
    <x v="0"/>
    <x v="1"/>
    <x v="0"/>
    <x v="0"/>
    <n v="615"/>
    <x v="0"/>
    <n v="3"/>
    <x v="0"/>
    <n v="0.41"/>
    <x v="3"/>
    <x v="417"/>
    <n v="21827"/>
    <x v="0"/>
    <x v="416"/>
    <x v="0"/>
    <n v="12"/>
    <x v="6"/>
    <x v="2"/>
    <x v="0"/>
    <x v="1"/>
    <x v="0"/>
    <x v="0"/>
    <x v="0"/>
  </r>
  <r>
    <x v="440"/>
    <n v="0"/>
    <n v="6090"/>
    <n v="6090"/>
    <x v="1"/>
    <x v="3"/>
    <x v="2"/>
    <x v="0"/>
    <x v="3"/>
    <x v="3"/>
    <n v="568"/>
    <x v="2"/>
    <n v="1"/>
    <x v="0"/>
    <n v="0.27"/>
    <x v="1"/>
    <x v="418"/>
    <n v="35361"/>
    <x v="0"/>
    <x v="417"/>
    <x v="2"/>
    <n v="60"/>
    <x v="3"/>
    <x v="2"/>
    <x v="0"/>
    <x v="1"/>
    <x v="0"/>
    <x v="0"/>
    <x v="0"/>
  </r>
  <r>
    <x v="441"/>
    <n v="9056"/>
    <n v="8508"/>
    <n v="17564"/>
    <x v="1"/>
    <x v="23"/>
    <x v="0"/>
    <x v="0"/>
    <x v="3"/>
    <x v="3"/>
    <n v="760"/>
    <x v="3"/>
    <n v="4"/>
    <x v="0"/>
    <n v="0.53"/>
    <x v="0"/>
    <x v="175"/>
    <n v="10315"/>
    <x v="0"/>
    <x v="418"/>
    <x v="2"/>
    <n v="60"/>
    <x v="3"/>
    <x v="2"/>
    <x v="0"/>
    <x v="1"/>
    <x v="1"/>
    <x v="0"/>
    <x v="0"/>
  </r>
  <r>
    <x v="442"/>
    <n v="13516"/>
    <n v="0"/>
    <n v="13516"/>
    <x v="0"/>
    <x v="5"/>
    <x v="0"/>
    <x v="0"/>
    <x v="2"/>
    <x v="2"/>
    <n v="797"/>
    <x v="3"/>
    <n v="0"/>
    <x v="1"/>
    <n v="0.32"/>
    <x v="2"/>
    <x v="419"/>
    <n v="47968"/>
    <x v="0"/>
    <x v="419"/>
    <x v="2"/>
    <n v="84"/>
    <x v="0"/>
    <x v="3"/>
    <x v="0"/>
    <x v="1"/>
    <x v="0"/>
    <x v="4"/>
    <x v="1"/>
  </r>
  <r>
    <x v="443"/>
    <n v="13493"/>
    <n v="634"/>
    <n v="14127"/>
    <x v="0"/>
    <x v="27"/>
    <x v="3"/>
    <x v="0"/>
    <x v="3"/>
    <x v="3"/>
    <n v="684"/>
    <x v="1"/>
    <n v="4"/>
    <x v="0"/>
    <n v="0.2"/>
    <x v="1"/>
    <x v="420"/>
    <n v="26519"/>
    <x v="0"/>
    <x v="420"/>
    <x v="2"/>
    <n v="84"/>
    <x v="0"/>
    <x v="2"/>
    <x v="2"/>
    <x v="0"/>
    <x v="0"/>
    <x v="2"/>
    <x v="1"/>
  </r>
  <r>
    <x v="444"/>
    <n v="3542"/>
    <n v="1925"/>
    <n v="5467"/>
    <x v="0"/>
    <x v="36"/>
    <x v="1"/>
    <x v="1"/>
    <x v="3"/>
    <x v="3"/>
    <n v="550"/>
    <x v="2"/>
    <n v="2"/>
    <x v="0"/>
    <n v="0.2"/>
    <x v="1"/>
    <x v="421"/>
    <n v="9107"/>
    <x v="0"/>
    <x v="421"/>
    <x v="0"/>
    <n v="48"/>
    <x v="1"/>
    <x v="1"/>
    <x v="2"/>
    <x v="1"/>
    <x v="1"/>
    <x v="3"/>
    <x v="1"/>
  </r>
  <r>
    <x v="445"/>
    <n v="15964"/>
    <n v="2056"/>
    <n v="18020"/>
    <x v="0"/>
    <x v="14"/>
    <x v="2"/>
    <x v="0"/>
    <x v="0"/>
    <x v="0"/>
    <n v="740"/>
    <x v="1"/>
    <n v="4"/>
    <x v="0"/>
    <n v="0.48"/>
    <x v="3"/>
    <x v="422"/>
    <n v="3869"/>
    <x v="0"/>
    <x v="422"/>
    <x v="2"/>
    <n v="24"/>
    <x v="5"/>
    <x v="2"/>
    <x v="0"/>
    <x v="1"/>
    <x v="1"/>
    <x v="0"/>
    <x v="0"/>
  </r>
  <r>
    <x v="446"/>
    <n v="8313"/>
    <n v="3144"/>
    <n v="11457"/>
    <x v="0"/>
    <x v="31"/>
    <x v="4"/>
    <x v="0"/>
    <x v="2"/>
    <x v="2"/>
    <n v="591"/>
    <x v="0"/>
    <n v="2"/>
    <x v="0"/>
    <n v="0.48"/>
    <x v="3"/>
    <x v="423"/>
    <n v="27370"/>
    <x v="0"/>
    <x v="423"/>
    <x v="1"/>
    <n v="72"/>
    <x v="2"/>
    <x v="4"/>
    <x v="1"/>
    <x v="1"/>
    <x v="1"/>
    <x v="3"/>
    <x v="0"/>
  </r>
  <r>
    <x v="447"/>
    <n v="19924"/>
    <n v="9631"/>
    <n v="29555"/>
    <x v="1"/>
    <x v="6"/>
    <x v="3"/>
    <x v="1"/>
    <x v="2"/>
    <x v="2"/>
    <n v="550"/>
    <x v="2"/>
    <n v="0"/>
    <x v="1"/>
    <n v="0.2"/>
    <x v="1"/>
    <x v="11"/>
    <n v="7971"/>
    <x v="0"/>
    <x v="424"/>
    <x v="2"/>
    <n v="36"/>
    <x v="4"/>
    <x v="3"/>
    <x v="2"/>
    <x v="1"/>
    <x v="1"/>
    <x v="0"/>
    <x v="0"/>
  </r>
  <r>
    <x v="448"/>
    <n v="15807"/>
    <n v="552"/>
    <n v="16359"/>
    <x v="0"/>
    <x v="32"/>
    <x v="3"/>
    <x v="0"/>
    <x v="3"/>
    <x v="3"/>
    <n v="569"/>
    <x v="2"/>
    <n v="1"/>
    <x v="0"/>
    <n v="0.26"/>
    <x v="1"/>
    <x v="424"/>
    <n v="31269"/>
    <x v="0"/>
    <x v="36"/>
    <x v="3"/>
    <n v="36"/>
    <x v="4"/>
    <x v="3"/>
    <x v="2"/>
    <x v="1"/>
    <x v="0"/>
    <x v="3"/>
    <x v="0"/>
  </r>
  <r>
    <x v="449"/>
    <n v="11580"/>
    <n v="8907"/>
    <n v="20487"/>
    <x v="2"/>
    <x v="27"/>
    <x v="3"/>
    <x v="0"/>
    <x v="0"/>
    <x v="0"/>
    <n v="622"/>
    <x v="0"/>
    <n v="0"/>
    <x v="1"/>
    <n v="0.33"/>
    <x v="2"/>
    <x v="425"/>
    <n v="25651"/>
    <x v="0"/>
    <x v="425"/>
    <x v="2"/>
    <n v="36"/>
    <x v="4"/>
    <x v="0"/>
    <x v="1"/>
    <x v="1"/>
    <x v="1"/>
    <x v="1"/>
    <x v="0"/>
  </r>
  <r>
    <x v="450"/>
    <n v="19749"/>
    <n v="5383"/>
    <n v="25132"/>
    <x v="0"/>
    <x v="9"/>
    <x v="2"/>
    <x v="0"/>
    <x v="2"/>
    <x v="2"/>
    <n v="566"/>
    <x v="2"/>
    <n v="4"/>
    <x v="0"/>
    <n v="0.56999999999999995"/>
    <x v="0"/>
    <x v="426"/>
    <n v="35757"/>
    <x v="0"/>
    <x v="426"/>
    <x v="0"/>
    <n v="84"/>
    <x v="0"/>
    <x v="4"/>
    <x v="0"/>
    <x v="1"/>
    <x v="0"/>
    <x v="2"/>
    <x v="0"/>
  </r>
  <r>
    <x v="451"/>
    <n v="9494"/>
    <n v="9905"/>
    <n v="19399"/>
    <x v="2"/>
    <x v="14"/>
    <x v="2"/>
    <x v="1"/>
    <x v="0"/>
    <x v="0"/>
    <n v="724"/>
    <x v="1"/>
    <n v="3"/>
    <x v="0"/>
    <n v="0.2"/>
    <x v="1"/>
    <x v="427"/>
    <n v="38108"/>
    <x v="0"/>
    <x v="427"/>
    <x v="0"/>
    <n v="12"/>
    <x v="6"/>
    <x v="4"/>
    <x v="1"/>
    <x v="1"/>
    <x v="1"/>
    <x v="4"/>
    <x v="1"/>
  </r>
  <r>
    <x v="452"/>
    <n v="6312"/>
    <n v="3389"/>
    <n v="9701"/>
    <x v="1"/>
    <x v="8"/>
    <x v="0"/>
    <x v="0"/>
    <x v="2"/>
    <x v="2"/>
    <n v="551"/>
    <x v="2"/>
    <n v="3"/>
    <x v="0"/>
    <n v="0.28000000000000003"/>
    <x v="1"/>
    <x v="428"/>
    <n v="9643"/>
    <x v="0"/>
    <x v="36"/>
    <x v="3"/>
    <n v="72"/>
    <x v="2"/>
    <x v="3"/>
    <x v="2"/>
    <x v="1"/>
    <x v="1"/>
    <x v="4"/>
    <x v="0"/>
  </r>
  <r>
    <x v="453"/>
    <n v="3324"/>
    <n v="9299"/>
    <n v="12623"/>
    <x v="0"/>
    <x v="13"/>
    <x v="2"/>
    <x v="1"/>
    <x v="3"/>
    <x v="3"/>
    <n v="612"/>
    <x v="0"/>
    <n v="2"/>
    <x v="0"/>
    <n v="0.17"/>
    <x v="1"/>
    <x v="429"/>
    <n v="3823"/>
    <x v="0"/>
    <x v="428"/>
    <x v="0"/>
    <n v="12"/>
    <x v="6"/>
    <x v="1"/>
    <x v="0"/>
    <x v="1"/>
    <x v="0"/>
    <x v="0"/>
    <x v="0"/>
  </r>
  <r>
    <x v="454"/>
    <n v="5141"/>
    <n v="8442"/>
    <n v="13583"/>
    <x v="2"/>
    <x v="4"/>
    <x v="1"/>
    <x v="0"/>
    <x v="0"/>
    <x v="0"/>
    <n v="611"/>
    <x v="0"/>
    <n v="0"/>
    <x v="1"/>
    <n v="0.35"/>
    <x v="2"/>
    <x v="11"/>
    <n v="13454"/>
    <x v="0"/>
    <x v="429"/>
    <x v="1"/>
    <n v="36"/>
    <x v="4"/>
    <x v="4"/>
    <x v="0"/>
    <x v="1"/>
    <x v="0"/>
    <x v="0"/>
    <x v="0"/>
  </r>
  <r>
    <x v="455"/>
    <n v="3810"/>
    <n v="2430"/>
    <n v="6240"/>
    <x v="2"/>
    <x v="17"/>
    <x v="1"/>
    <x v="1"/>
    <x v="0"/>
    <x v="0"/>
    <n v="649"/>
    <x v="0"/>
    <n v="1"/>
    <x v="0"/>
    <n v="0.33"/>
    <x v="2"/>
    <x v="430"/>
    <n v="3932"/>
    <x v="0"/>
    <x v="430"/>
    <x v="0"/>
    <n v="48"/>
    <x v="1"/>
    <x v="3"/>
    <x v="2"/>
    <x v="0"/>
    <x v="1"/>
    <x v="1"/>
    <x v="0"/>
  </r>
  <r>
    <x v="456"/>
    <n v="8588"/>
    <n v="458"/>
    <n v="9046"/>
    <x v="0"/>
    <x v="25"/>
    <x v="4"/>
    <x v="1"/>
    <x v="1"/>
    <x v="1"/>
    <n v="550"/>
    <x v="2"/>
    <n v="0"/>
    <x v="1"/>
    <n v="0.55000000000000004"/>
    <x v="0"/>
    <x v="431"/>
    <n v="10220"/>
    <x v="0"/>
    <x v="431"/>
    <x v="0"/>
    <n v="48"/>
    <x v="1"/>
    <x v="1"/>
    <x v="0"/>
    <x v="0"/>
    <x v="1"/>
    <x v="0"/>
    <x v="0"/>
  </r>
  <r>
    <x v="457"/>
    <n v="7301"/>
    <n v="207"/>
    <n v="7508"/>
    <x v="0"/>
    <x v="13"/>
    <x v="2"/>
    <x v="0"/>
    <x v="0"/>
    <x v="0"/>
    <n v="566"/>
    <x v="2"/>
    <n v="2"/>
    <x v="0"/>
    <n v="0.56999999999999995"/>
    <x v="0"/>
    <x v="432"/>
    <n v="8554"/>
    <x v="0"/>
    <x v="432"/>
    <x v="3"/>
    <n v="12"/>
    <x v="6"/>
    <x v="1"/>
    <x v="1"/>
    <x v="1"/>
    <x v="0"/>
    <x v="0"/>
    <x v="0"/>
  </r>
  <r>
    <x v="458"/>
    <n v="17485"/>
    <n v="899"/>
    <n v="18384"/>
    <x v="3"/>
    <x v="37"/>
    <x v="1"/>
    <x v="0"/>
    <x v="2"/>
    <x v="2"/>
    <n v="618"/>
    <x v="0"/>
    <n v="2"/>
    <x v="0"/>
    <n v="0.35"/>
    <x v="2"/>
    <x v="433"/>
    <n v="2429"/>
    <x v="0"/>
    <x v="433"/>
    <x v="2"/>
    <n v="36"/>
    <x v="4"/>
    <x v="3"/>
    <x v="0"/>
    <x v="1"/>
    <x v="1"/>
    <x v="0"/>
    <x v="0"/>
  </r>
  <r>
    <x v="459"/>
    <n v="13714"/>
    <n v="21"/>
    <n v="13735"/>
    <x v="1"/>
    <x v="35"/>
    <x v="2"/>
    <x v="0"/>
    <x v="1"/>
    <x v="1"/>
    <n v="716"/>
    <x v="1"/>
    <n v="1"/>
    <x v="0"/>
    <n v="0.35"/>
    <x v="2"/>
    <x v="434"/>
    <n v="28208"/>
    <x v="0"/>
    <x v="434"/>
    <x v="3"/>
    <n v="72"/>
    <x v="2"/>
    <x v="1"/>
    <x v="0"/>
    <x v="1"/>
    <x v="1"/>
    <x v="3"/>
    <x v="1"/>
  </r>
  <r>
    <x v="460"/>
    <n v="6748"/>
    <n v="8601"/>
    <n v="15349"/>
    <x v="1"/>
    <x v="25"/>
    <x v="4"/>
    <x v="1"/>
    <x v="2"/>
    <x v="2"/>
    <n v="759"/>
    <x v="3"/>
    <n v="4"/>
    <x v="0"/>
    <n v="0.55000000000000004"/>
    <x v="0"/>
    <x v="435"/>
    <n v="7444"/>
    <x v="0"/>
    <x v="435"/>
    <x v="2"/>
    <n v="48"/>
    <x v="1"/>
    <x v="3"/>
    <x v="0"/>
    <x v="1"/>
    <x v="0"/>
    <x v="0"/>
    <x v="0"/>
  </r>
  <r>
    <x v="461"/>
    <n v="11435"/>
    <n v="894"/>
    <n v="12329"/>
    <x v="2"/>
    <x v="23"/>
    <x v="0"/>
    <x v="1"/>
    <x v="0"/>
    <x v="0"/>
    <n v="666"/>
    <x v="0"/>
    <n v="4"/>
    <x v="0"/>
    <n v="0.5"/>
    <x v="3"/>
    <x v="436"/>
    <n v="10510"/>
    <x v="0"/>
    <x v="436"/>
    <x v="1"/>
    <n v="12"/>
    <x v="6"/>
    <x v="2"/>
    <x v="2"/>
    <x v="1"/>
    <x v="1"/>
    <x v="0"/>
    <x v="0"/>
  </r>
  <r>
    <x v="462"/>
    <n v="5709"/>
    <n v="514"/>
    <n v="6223"/>
    <x v="0"/>
    <x v="9"/>
    <x v="2"/>
    <x v="0"/>
    <x v="0"/>
    <x v="0"/>
    <n v="795"/>
    <x v="3"/>
    <n v="1"/>
    <x v="0"/>
    <n v="0.1"/>
    <x v="1"/>
    <x v="11"/>
    <n v="44045"/>
    <x v="0"/>
    <x v="437"/>
    <x v="0"/>
    <n v="72"/>
    <x v="2"/>
    <x v="2"/>
    <x v="1"/>
    <x v="1"/>
    <x v="0"/>
    <x v="1"/>
    <x v="1"/>
  </r>
  <r>
    <x v="463"/>
    <n v="15116"/>
    <n v="7294"/>
    <n v="22410"/>
    <x v="0"/>
    <x v="33"/>
    <x v="4"/>
    <x v="1"/>
    <x v="0"/>
    <x v="0"/>
    <n v="748"/>
    <x v="3"/>
    <n v="4"/>
    <x v="0"/>
    <n v="0.26"/>
    <x v="1"/>
    <x v="437"/>
    <n v="10537"/>
    <x v="0"/>
    <x v="438"/>
    <x v="2"/>
    <n v="36"/>
    <x v="4"/>
    <x v="1"/>
    <x v="2"/>
    <x v="1"/>
    <x v="0"/>
    <x v="1"/>
    <x v="1"/>
  </r>
  <r>
    <x v="464"/>
    <n v="0"/>
    <n v="4904"/>
    <n v="4904"/>
    <x v="0"/>
    <x v="19"/>
    <x v="4"/>
    <x v="0"/>
    <x v="3"/>
    <x v="3"/>
    <n v="630"/>
    <x v="0"/>
    <n v="3"/>
    <x v="0"/>
    <n v="0.31"/>
    <x v="2"/>
    <x v="438"/>
    <n v="7147"/>
    <x v="0"/>
    <x v="439"/>
    <x v="1"/>
    <n v="24"/>
    <x v="5"/>
    <x v="1"/>
    <x v="1"/>
    <x v="1"/>
    <x v="1"/>
    <x v="0"/>
    <x v="0"/>
  </r>
  <r>
    <x v="465"/>
    <n v="12150"/>
    <n v="7867"/>
    <n v="20017"/>
    <x v="2"/>
    <x v="15"/>
    <x v="1"/>
    <x v="0"/>
    <x v="2"/>
    <x v="2"/>
    <n v="588"/>
    <x v="0"/>
    <n v="4"/>
    <x v="0"/>
    <n v="0.21"/>
    <x v="1"/>
    <x v="11"/>
    <n v="40399"/>
    <x v="0"/>
    <x v="440"/>
    <x v="0"/>
    <n v="36"/>
    <x v="4"/>
    <x v="3"/>
    <x v="0"/>
    <x v="0"/>
    <x v="1"/>
    <x v="2"/>
    <x v="0"/>
  </r>
  <r>
    <x v="466"/>
    <n v="8530"/>
    <n v="4109"/>
    <n v="12639"/>
    <x v="1"/>
    <x v="6"/>
    <x v="3"/>
    <x v="1"/>
    <x v="3"/>
    <x v="3"/>
    <n v="585"/>
    <x v="0"/>
    <n v="4"/>
    <x v="0"/>
    <n v="0.2"/>
    <x v="1"/>
    <x v="439"/>
    <n v="3598"/>
    <x v="0"/>
    <x v="441"/>
    <x v="0"/>
    <n v="84"/>
    <x v="0"/>
    <x v="1"/>
    <x v="0"/>
    <x v="0"/>
    <x v="1"/>
    <x v="1"/>
    <x v="0"/>
  </r>
  <r>
    <x v="467"/>
    <n v="12188"/>
    <n v="7179"/>
    <n v="19367"/>
    <x v="1"/>
    <x v="33"/>
    <x v="4"/>
    <x v="0"/>
    <x v="0"/>
    <x v="0"/>
    <n v="717"/>
    <x v="1"/>
    <n v="4"/>
    <x v="0"/>
    <n v="0.12"/>
    <x v="1"/>
    <x v="440"/>
    <n v="0"/>
    <x v="1"/>
    <x v="442"/>
    <x v="0"/>
    <n v="36"/>
    <x v="4"/>
    <x v="0"/>
    <x v="1"/>
    <x v="1"/>
    <x v="0"/>
    <x v="0"/>
    <x v="1"/>
  </r>
  <r>
    <x v="468"/>
    <n v="16683"/>
    <n v="1560"/>
    <n v="18243"/>
    <x v="0"/>
    <x v="6"/>
    <x v="3"/>
    <x v="0"/>
    <x v="1"/>
    <x v="1"/>
    <n v="722"/>
    <x v="1"/>
    <n v="3"/>
    <x v="0"/>
    <n v="0.42"/>
    <x v="3"/>
    <x v="441"/>
    <n v="6718"/>
    <x v="0"/>
    <x v="443"/>
    <x v="0"/>
    <n v="72"/>
    <x v="2"/>
    <x v="2"/>
    <x v="1"/>
    <x v="1"/>
    <x v="1"/>
    <x v="0"/>
    <x v="0"/>
  </r>
  <r>
    <x v="469"/>
    <n v="2504"/>
    <n v="1266"/>
    <n v="3770"/>
    <x v="0"/>
    <x v="6"/>
    <x v="3"/>
    <x v="0"/>
    <x v="2"/>
    <x v="2"/>
    <n v="681"/>
    <x v="1"/>
    <n v="4"/>
    <x v="0"/>
    <n v="0.23"/>
    <x v="1"/>
    <x v="442"/>
    <n v="42691"/>
    <x v="0"/>
    <x v="444"/>
    <x v="2"/>
    <n v="72"/>
    <x v="2"/>
    <x v="1"/>
    <x v="1"/>
    <x v="1"/>
    <x v="0"/>
    <x v="1"/>
    <x v="0"/>
  </r>
  <r>
    <x v="470"/>
    <n v="3214"/>
    <n v="3638"/>
    <n v="6852"/>
    <x v="0"/>
    <x v="11"/>
    <x v="2"/>
    <x v="0"/>
    <x v="3"/>
    <x v="3"/>
    <n v="779"/>
    <x v="3"/>
    <n v="3"/>
    <x v="0"/>
    <n v="0.13"/>
    <x v="1"/>
    <x v="443"/>
    <n v="13782"/>
    <x v="0"/>
    <x v="445"/>
    <x v="0"/>
    <n v="60"/>
    <x v="3"/>
    <x v="1"/>
    <x v="2"/>
    <x v="0"/>
    <x v="0"/>
    <x v="3"/>
    <x v="1"/>
  </r>
  <r>
    <x v="471"/>
    <n v="3531"/>
    <n v="8941"/>
    <n v="12472"/>
    <x v="2"/>
    <x v="20"/>
    <x v="0"/>
    <x v="0"/>
    <x v="2"/>
    <x v="2"/>
    <n v="702"/>
    <x v="1"/>
    <n v="1"/>
    <x v="0"/>
    <n v="0.22"/>
    <x v="1"/>
    <x v="444"/>
    <n v="49244"/>
    <x v="0"/>
    <x v="446"/>
    <x v="3"/>
    <n v="60"/>
    <x v="3"/>
    <x v="2"/>
    <x v="0"/>
    <x v="0"/>
    <x v="0"/>
    <x v="0"/>
    <x v="1"/>
  </r>
  <r>
    <x v="472"/>
    <n v="19312"/>
    <n v="4780"/>
    <n v="24092"/>
    <x v="0"/>
    <x v="16"/>
    <x v="1"/>
    <x v="1"/>
    <x v="3"/>
    <x v="3"/>
    <n v="707"/>
    <x v="1"/>
    <n v="1"/>
    <x v="0"/>
    <n v="0.53"/>
    <x v="0"/>
    <x v="445"/>
    <n v="16702"/>
    <x v="0"/>
    <x v="447"/>
    <x v="2"/>
    <n v="72"/>
    <x v="2"/>
    <x v="0"/>
    <x v="1"/>
    <x v="1"/>
    <x v="0"/>
    <x v="0"/>
    <x v="0"/>
  </r>
  <r>
    <x v="473"/>
    <n v="7029"/>
    <n v="1927"/>
    <n v="8956"/>
    <x v="2"/>
    <x v="23"/>
    <x v="0"/>
    <x v="0"/>
    <x v="0"/>
    <x v="0"/>
    <n v="753"/>
    <x v="3"/>
    <n v="0"/>
    <x v="1"/>
    <n v="0.34"/>
    <x v="2"/>
    <x v="446"/>
    <n v="10184"/>
    <x v="0"/>
    <x v="448"/>
    <x v="0"/>
    <n v="24"/>
    <x v="5"/>
    <x v="2"/>
    <x v="0"/>
    <x v="0"/>
    <x v="0"/>
    <x v="2"/>
    <x v="1"/>
  </r>
  <r>
    <x v="474"/>
    <n v="15428"/>
    <n v="2356"/>
    <n v="17784"/>
    <x v="0"/>
    <x v="11"/>
    <x v="2"/>
    <x v="0"/>
    <x v="0"/>
    <x v="0"/>
    <n v="745"/>
    <x v="3"/>
    <n v="1"/>
    <x v="0"/>
    <n v="0.31"/>
    <x v="2"/>
    <x v="447"/>
    <n v="12468"/>
    <x v="0"/>
    <x v="449"/>
    <x v="2"/>
    <n v="24"/>
    <x v="5"/>
    <x v="4"/>
    <x v="0"/>
    <x v="1"/>
    <x v="1"/>
    <x v="0"/>
    <x v="1"/>
  </r>
  <r>
    <x v="475"/>
    <n v="18517"/>
    <n v="4790"/>
    <n v="23307"/>
    <x v="3"/>
    <x v="37"/>
    <x v="1"/>
    <x v="0"/>
    <x v="2"/>
    <x v="2"/>
    <n v="765"/>
    <x v="3"/>
    <n v="0"/>
    <x v="1"/>
    <n v="0.59"/>
    <x v="0"/>
    <x v="448"/>
    <n v="22072"/>
    <x v="0"/>
    <x v="450"/>
    <x v="2"/>
    <n v="36"/>
    <x v="4"/>
    <x v="3"/>
    <x v="2"/>
    <x v="0"/>
    <x v="1"/>
    <x v="3"/>
    <x v="0"/>
  </r>
  <r>
    <x v="476"/>
    <n v="4105"/>
    <n v="306"/>
    <n v="4411"/>
    <x v="0"/>
    <x v="19"/>
    <x v="4"/>
    <x v="0"/>
    <x v="2"/>
    <x v="2"/>
    <n v="578"/>
    <x v="2"/>
    <n v="0"/>
    <x v="1"/>
    <n v="0.2"/>
    <x v="1"/>
    <x v="449"/>
    <n v="15479"/>
    <x v="0"/>
    <x v="451"/>
    <x v="3"/>
    <n v="84"/>
    <x v="0"/>
    <x v="3"/>
    <x v="0"/>
    <x v="0"/>
    <x v="1"/>
    <x v="0"/>
    <x v="0"/>
  </r>
  <r>
    <x v="477"/>
    <n v="5627"/>
    <n v="7979"/>
    <n v="13606"/>
    <x v="1"/>
    <x v="3"/>
    <x v="2"/>
    <x v="1"/>
    <x v="2"/>
    <x v="2"/>
    <n v="750"/>
    <x v="3"/>
    <n v="2"/>
    <x v="0"/>
    <n v="0.21"/>
    <x v="1"/>
    <x v="450"/>
    <n v="0"/>
    <x v="1"/>
    <x v="452"/>
    <x v="0"/>
    <n v="48"/>
    <x v="1"/>
    <x v="2"/>
    <x v="1"/>
    <x v="1"/>
    <x v="1"/>
    <x v="1"/>
    <x v="1"/>
  </r>
  <r>
    <x v="478"/>
    <n v="14972"/>
    <n v="3665"/>
    <n v="18637"/>
    <x v="0"/>
    <x v="29"/>
    <x v="2"/>
    <x v="1"/>
    <x v="2"/>
    <x v="2"/>
    <n v="745"/>
    <x v="3"/>
    <n v="0"/>
    <x v="1"/>
    <n v="0.25"/>
    <x v="1"/>
    <x v="451"/>
    <n v="23402"/>
    <x v="0"/>
    <x v="453"/>
    <x v="0"/>
    <n v="84"/>
    <x v="0"/>
    <x v="3"/>
    <x v="0"/>
    <x v="1"/>
    <x v="0"/>
    <x v="4"/>
    <x v="1"/>
  </r>
  <r>
    <x v="479"/>
    <n v="0"/>
    <n v="7057"/>
    <n v="7057"/>
    <x v="3"/>
    <x v="26"/>
    <x v="3"/>
    <x v="0"/>
    <x v="0"/>
    <x v="0"/>
    <n v="600"/>
    <x v="0"/>
    <n v="0"/>
    <x v="1"/>
    <n v="0.19"/>
    <x v="1"/>
    <x v="452"/>
    <n v="7210"/>
    <x v="0"/>
    <x v="454"/>
    <x v="2"/>
    <n v="24"/>
    <x v="5"/>
    <x v="0"/>
    <x v="2"/>
    <x v="0"/>
    <x v="1"/>
    <x v="0"/>
    <x v="0"/>
  </r>
  <r>
    <x v="480"/>
    <n v="6910"/>
    <n v="661"/>
    <n v="7571"/>
    <x v="4"/>
    <x v="25"/>
    <x v="4"/>
    <x v="1"/>
    <x v="3"/>
    <x v="3"/>
    <n v="701"/>
    <x v="1"/>
    <n v="2"/>
    <x v="0"/>
    <n v="0.28999999999999998"/>
    <x v="1"/>
    <x v="11"/>
    <n v="45702"/>
    <x v="0"/>
    <x v="455"/>
    <x v="1"/>
    <n v="36"/>
    <x v="4"/>
    <x v="1"/>
    <x v="2"/>
    <x v="1"/>
    <x v="0"/>
    <x v="1"/>
    <x v="0"/>
  </r>
  <r>
    <x v="481"/>
    <n v="13003"/>
    <n v="4644"/>
    <n v="17647"/>
    <x v="0"/>
    <x v="2"/>
    <x v="1"/>
    <x v="0"/>
    <x v="0"/>
    <x v="0"/>
    <n v="563"/>
    <x v="2"/>
    <n v="4"/>
    <x v="0"/>
    <n v="0.56000000000000005"/>
    <x v="0"/>
    <x v="453"/>
    <n v="36724"/>
    <x v="0"/>
    <x v="456"/>
    <x v="2"/>
    <n v="84"/>
    <x v="0"/>
    <x v="2"/>
    <x v="2"/>
    <x v="1"/>
    <x v="0"/>
    <x v="0"/>
    <x v="0"/>
  </r>
  <r>
    <x v="482"/>
    <n v="13704"/>
    <n v="2920"/>
    <n v="16624"/>
    <x v="0"/>
    <x v="25"/>
    <x v="4"/>
    <x v="0"/>
    <x v="0"/>
    <x v="0"/>
    <n v="695"/>
    <x v="1"/>
    <n v="2"/>
    <x v="0"/>
    <n v="0.31"/>
    <x v="2"/>
    <x v="454"/>
    <n v="30916"/>
    <x v="0"/>
    <x v="457"/>
    <x v="2"/>
    <n v="60"/>
    <x v="3"/>
    <x v="1"/>
    <x v="0"/>
    <x v="1"/>
    <x v="0"/>
    <x v="3"/>
    <x v="1"/>
  </r>
  <r>
    <x v="483"/>
    <n v="17761"/>
    <n v="9274"/>
    <n v="27035"/>
    <x v="0"/>
    <x v="38"/>
    <x v="1"/>
    <x v="0"/>
    <x v="2"/>
    <x v="2"/>
    <n v="719"/>
    <x v="1"/>
    <n v="3"/>
    <x v="0"/>
    <n v="0.56999999999999995"/>
    <x v="0"/>
    <x v="455"/>
    <n v="27268"/>
    <x v="0"/>
    <x v="458"/>
    <x v="0"/>
    <n v="84"/>
    <x v="0"/>
    <x v="3"/>
    <x v="0"/>
    <x v="1"/>
    <x v="1"/>
    <x v="0"/>
    <x v="0"/>
  </r>
  <r>
    <x v="484"/>
    <n v="8190"/>
    <n v="8946"/>
    <n v="17136"/>
    <x v="3"/>
    <x v="7"/>
    <x v="0"/>
    <x v="0"/>
    <x v="2"/>
    <x v="2"/>
    <n v="606"/>
    <x v="0"/>
    <n v="0"/>
    <x v="1"/>
    <n v="0.12"/>
    <x v="1"/>
    <x v="456"/>
    <n v="43978"/>
    <x v="0"/>
    <x v="459"/>
    <x v="0"/>
    <n v="48"/>
    <x v="1"/>
    <x v="3"/>
    <x v="0"/>
    <x v="1"/>
    <x v="0"/>
    <x v="4"/>
    <x v="0"/>
  </r>
  <r>
    <x v="485"/>
    <n v="19640"/>
    <n v="6236"/>
    <n v="25876"/>
    <x v="4"/>
    <x v="30"/>
    <x v="2"/>
    <x v="1"/>
    <x v="2"/>
    <x v="2"/>
    <n v="760"/>
    <x v="3"/>
    <n v="0"/>
    <x v="1"/>
    <n v="0.21"/>
    <x v="1"/>
    <x v="457"/>
    <n v="47358"/>
    <x v="0"/>
    <x v="460"/>
    <x v="0"/>
    <n v="36"/>
    <x v="4"/>
    <x v="4"/>
    <x v="2"/>
    <x v="1"/>
    <x v="1"/>
    <x v="0"/>
    <x v="0"/>
  </r>
  <r>
    <x v="486"/>
    <n v="7645"/>
    <n v="6078"/>
    <n v="13723"/>
    <x v="2"/>
    <x v="28"/>
    <x v="0"/>
    <x v="0"/>
    <x v="3"/>
    <x v="3"/>
    <n v="561"/>
    <x v="2"/>
    <n v="2"/>
    <x v="0"/>
    <n v="0.38"/>
    <x v="2"/>
    <x v="458"/>
    <n v="23259"/>
    <x v="0"/>
    <x v="461"/>
    <x v="2"/>
    <n v="84"/>
    <x v="0"/>
    <x v="0"/>
    <x v="0"/>
    <x v="1"/>
    <x v="1"/>
    <x v="0"/>
    <x v="0"/>
  </r>
  <r>
    <x v="487"/>
    <n v="11588"/>
    <n v="352"/>
    <n v="11940"/>
    <x v="1"/>
    <x v="11"/>
    <x v="2"/>
    <x v="1"/>
    <x v="1"/>
    <x v="1"/>
    <n v="759"/>
    <x v="3"/>
    <n v="2"/>
    <x v="0"/>
    <n v="0.41"/>
    <x v="3"/>
    <x v="459"/>
    <n v="13864"/>
    <x v="0"/>
    <x v="462"/>
    <x v="2"/>
    <n v="72"/>
    <x v="2"/>
    <x v="4"/>
    <x v="0"/>
    <x v="1"/>
    <x v="1"/>
    <x v="4"/>
    <x v="0"/>
  </r>
  <r>
    <x v="488"/>
    <n v="0"/>
    <n v="9094"/>
    <n v="9094"/>
    <x v="4"/>
    <x v="35"/>
    <x v="2"/>
    <x v="0"/>
    <x v="2"/>
    <x v="2"/>
    <n v="566"/>
    <x v="2"/>
    <n v="3"/>
    <x v="0"/>
    <n v="0.12"/>
    <x v="1"/>
    <x v="460"/>
    <n v="34293"/>
    <x v="0"/>
    <x v="463"/>
    <x v="0"/>
    <n v="12"/>
    <x v="6"/>
    <x v="2"/>
    <x v="0"/>
    <x v="1"/>
    <x v="0"/>
    <x v="1"/>
    <x v="0"/>
  </r>
  <r>
    <x v="489"/>
    <n v="10053"/>
    <n v="7005"/>
    <n v="17058"/>
    <x v="0"/>
    <x v="28"/>
    <x v="0"/>
    <x v="0"/>
    <x v="3"/>
    <x v="3"/>
    <n v="579"/>
    <x v="2"/>
    <n v="4"/>
    <x v="0"/>
    <n v="0.3"/>
    <x v="1"/>
    <x v="461"/>
    <n v="46045"/>
    <x v="0"/>
    <x v="464"/>
    <x v="1"/>
    <n v="60"/>
    <x v="3"/>
    <x v="4"/>
    <x v="2"/>
    <x v="1"/>
    <x v="0"/>
    <x v="0"/>
    <x v="0"/>
  </r>
  <r>
    <x v="490"/>
    <n v="5330"/>
    <n v="158"/>
    <n v="5488"/>
    <x v="4"/>
    <x v="10"/>
    <x v="0"/>
    <x v="0"/>
    <x v="2"/>
    <x v="2"/>
    <n v="637"/>
    <x v="0"/>
    <n v="1"/>
    <x v="0"/>
    <n v="0.42"/>
    <x v="3"/>
    <x v="462"/>
    <n v="7043"/>
    <x v="0"/>
    <x v="28"/>
    <x v="2"/>
    <n v="12"/>
    <x v="6"/>
    <x v="3"/>
    <x v="0"/>
    <x v="1"/>
    <x v="1"/>
    <x v="1"/>
    <x v="0"/>
  </r>
  <r>
    <x v="491"/>
    <n v="10662"/>
    <n v="956"/>
    <n v="11618"/>
    <x v="2"/>
    <x v="10"/>
    <x v="0"/>
    <x v="0"/>
    <x v="2"/>
    <x v="2"/>
    <n v="752"/>
    <x v="3"/>
    <n v="4"/>
    <x v="0"/>
    <n v="0.45"/>
    <x v="3"/>
    <x v="463"/>
    <n v="41473"/>
    <x v="0"/>
    <x v="465"/>
    <x v="0"/>
    <n v="36"/>
    <x v="4"/>
    <x v="0"/>
    <x v="1"/>
    <x v="1"/>
    <x v="1"/>
    <x v="0"/>
    <x v="0"/>
  </r>
  <r>
    <x v="492"/>
    <n v="9114"/>
    <n v="0"/>
    <n v="9114"/>
    <x v="3"/>
    <x v="2"/>
    <x v="1"/>
    <x v="0"/>
    <x v="0"/>
    <x v="0"/>
    <n v="648"/>
    <x v="0"/>
    <n v="0"/>
    <x v="1"/>
    <n v="0.42"/>
    <x v="3"/>
    <x v="464"/>
    <n v="38893"/>
    <x v="0"/>
    <x v="466"/>
    <x v="2"/>
    <n v="24"/>
    <x v="5"/>
    <x v="0"/>
    <x v="2"/>
    <x v="0"/>
    <x v="0"/>
    <x v="3"/>
    <x v="0"/>
  </r>
  <r>
    <x v="493"/>
    <n v="15323"/>
    <n v="8595"/>
    <n v="23918"/>
    <x v="0"/>
    <x v="32"/>
    <x v="3"/>
    <x v="1"/>
    <x v="0"/>
    <x v="0"/>
    <n v="572"/>
    <x v="2"/>
    <n v="2"/>
    <x v="0"/>
    <n v="0.26"/>
    <x v="1"/>
    <x v="465"/>
    <n v="40642"/>
    <x v="0"/>
    <x v="467"/>
    <x v="2"/>
    <n v="60"/>
    <x v="3"/>
    <x v="4"/>
    <x v="2"/>
    <x v="1"/>
    <x v="1"/>
    <x v="0"/>
    <x v="0"/>
  </r>
  <r>
    <x v="494"/>
    <n v="12975"/>
    <n v="3453"/>
    <n v="16428"/>
    <x v="0"/>
    <x v="24"/>
    <x v="2"/>
    <x v="1"/>
    <x v="3"/>
    <x v="3"/>
    <n v="678"/>
    <x v="1"/>
    <n v="4"/>
    <x v="0"/>
    <n v="0.31"/>
    <x v="2"/>
    <x v="466"/>
    <n v="30868"/>
    <x v="0"/>
    <x v="468"/>
    <x v="0"/>
    <n v="24"/>
    <x v="5"/>
    <x v="3"/>
    <x v="0"/>
    <x v="1"/>
    <x v="0"/>
    <x v="3"/>
    <x v="1"/>
  </r>
  <r>
    <x v="495"/>
    <n v="13023"/>
    <n v="6675"/>
    <n v="19698"/>
    <x v="3"/>
    <x v="5"/>
    <x v="0"/>
    <x v="1"/>
    <x v="1"/>
    <x v="1"/>
    <n v="628"/>
    <x v="0"/>
    <n v="3"/>
    <x v="0"/>
    <n v="0.35"/>
    <x v="2"/>
    <x v="467"/>
    <n v="26309"/>
    <x v="0"/>
    <x v="469"/>
    <x v="2"/>
    <n v="48"/>
    <x v="1"/>
    <x v="1"/>
    <x v="1"/>
    <x v="0"/>
    <x v="1"/>
    <x v="0"/>
    <x v="0"/>
  </r>
  <r>
    <x v="496"/>
    <n v="2667"/>
    <n v="955"/>
    <n v="3622"/>
    <x v="0"/>
    <x v="11"/>
    <x v="2"/>
    <x v="0"/>
    <x v="1"/>
    <x v="1"/>
    <n v="581"/>
    <x v="0"/>
    <n v="0"/>
    <x v="1"/>
    <n v="0.56999999999999995"/>
    <x v="0"/>
    <x v="468"/>
    <n v="23284"/>
    <x v="0"/>
    <x v="470"/>
    <x v="3"/>
    <n v="36"/>
    <x v="4"/>
    <x v="0"/>
    <x v="2"/>
    <x v="1"/>
    <x v="1"/>
    <x v="0"/>
    <x v="0"/>
  </r>
  <r>
    <x v="497"/>
    <n v="11337"/>
    <n v="6295"/>
    <n v="17632"/>
    <x v="4"/>
    <x v="36"/>
    <x v="1"/>
    <x v="1"/>
    <x v="3"/>
    <x v="3"/>
    <n v="558"/>
    <x v="2"/>
    <n v="0"/>
    <x v="1"/>
    <n v="0.34"/>
    <x v="2"/>
    <x v="11"/>
    <n v="47723"/>
    <x v="0"/>
    <x v="471"/>
    <x v="2"/>
    <n v="48"/>
    <x v="1"/>
    <x v="4"/>
    <x v="0"/>
    <x v="1"/>
    <x v="1"/>
    <x v="0"/>
    <x v="0"/>
  </r>
  <r>
    <x v="498"/>
    <n v="15659"/>
    <n v="1712"/>
    <n v="17371"/>
    <x v="2"/>
    <x v="12"/>
    <x v="1"/>
    <x v="0"/>
    <x v="2"/>
    <x v="2"/>
    <n v="564"/>
    <x v="2"/>
    <n v="1"/>
    <x v="0"/>
    <n v="0.26"/>
    <x v="1"/>
    <x v="469"/>
    <n v="35268"/>
    <x v="0"/>
    <x v="472"/>
    <x v="1"/>
    <n v="60"/>
    <x v="3"/>
    <x v="2"/>
    <x v="1"/>
    <x v="1"/>
    <x v="1"/>
    <x v="3"/>
    <x v="0"/>
  </r>
  <r>
    <x v="499"/>
    <n v="5719"/>
    <n v="4703"/>
    <n v="10422"/>
    <x v="0"/>
    <x v="26"/>
    <x v="3"/>
    <x v="0"/>
    <x v="0"/>
    <x v="0"/>
    <n v="705"/>
    <x v="1"/>
    <n v="3"/>
    <x v="0"/>
    <n v="0.48"/>
    <x v="3"/>
    <x v="470"/>
    <n v="3464"/>
    <x v="0"/>
    <x v="36"/>
    <x v="3"/>
    <n v="12"/>
    <x v="6"/>
    <x v="2"/>
    <x v="0"/>
    <x v="1"/>
    <x v="1"/>
    <x v="2"/>
    <x v="0"/>
  </r>
  <r>
    <x v="500"/>
    <n v="9483"/>
    <n v="6563"/>
    <n v="16046"/>
    <x v="0"/>
    <x v="34"/>
    <x v="3"/>
    <x v="0"/>
    <x v="2"/>
    <x v="2"/>
    <n v="701"/>
    <x v="1"/>
    <n v="3"/>
    <x v="0"/>
    <n v="0.35"/>
    <x v="2"/>
    <x v="471"/>
    <n v="18643"/>
    <x v="0"/>
    <x v="36"/>
    <x v="3"/>
    <n v="48"/>
    <x v="1"/>
    <x v="3"/>
    <x v="0"/>
    <x v="1"/>
    <x v="1"/>
    <x v="4"/>
    <x v="1"/>
  </r>
  <r>
    <x v="501"/>
    <n v="2539"/>
    <n v="9465"/>
    <n v="12004"/>
    <x v="1"/>
    <x v="13"/>
    <x v="2"/>
    <x v="0"/>
    <x v="3"/>
    <x v="3"/>
    <n v="737"/>
    <x v="1"/>
    <n v="1"/>
    <x v="0"/>
    <n v="0.26"/>
    <x v="1"/>
    <x v="472"/>
    <n v="29265"/>
    <x v="0"/>
    <x v="473"/>
    <x v="2"/>
    <n v="72"/>
    <x v="2"/>
    <x v="0"/>
    <x v="2"/>
    <x v="1"/>
    <x v="1"/>
    <x v="1"/>
    <x v="0"/>
  </r>
  <r>
    <x v="502"/>
    <n v="6835"/>
    <n v="9633"/>
    <n v="16468"/>
    <x v="0"/>
    <x v="3"/>
    <x v="2"/>
    <x v="1"/>
    <x v="3"/>
    <x v="3"/>
    <n v="763"/>
    <x v="3"/>
    <n v="3"/>
    <x v="0"/>
    <n v="0.53"/>
    <x v="0"/>
    <x v="473"/>
    <n v="23880"/>
    <x v="0"/>
    <x v="474"/>
    <x v="0"/>
    <n v="72"/>
    <x v="2"/>
    <x v="1"/>
    <x v="0"/>
    <x v="0"/>
    <x v="0"/>
    <x v="1"/>
    <x v="0"/>
  </r>
  <r>
    <x v="503"/>
    <n v="16837"/>
    <n v="1394"/>
    <n v="18231"/>
    <x v="0"/>
    <x v="38"/>
    <x v="1"/>
    <x v="0"/>
    <x v="0"/>
    <x v="0"/>
    <n v="760"/>
    <x v="3"/>
    <n v="4"/>
    <x v="0"/>
    <n v="0.12"/>
    <x v="1"/>
    <x v="183"/>
    <n v="255"/>
    <x v="0"/>
    <x v="475"/>
    <x v="1"/>
    <n v="12"/>
    <x v="6"/>
    <x v="1"/>
    <x v="0"/>
    <x v="1"/>
    <x v="1"/>
    <x v="2"/>
    <x v="1"/>
  </r>
  <r>
    <x v="504"/>
    <n v="9312"/>
    <n v="9461"/>
    <n v="18773"/>
    <x v="4"/>
    <x v="30"/>
    <x v="2"/>
    <x v="1"/>
    <x v="3"/>
    <x v="3"/>
    <n v="658"/>
    <x v="0"/>
    <n v="1"/>
    <x v="0"/>
    <n v="0.38"/>
    <x v="2"/>
    <x v="474"/>
    <n v="1502"/>
    <x v="0"/>
    <x v="476"/>
    <x v="2"/>
    <n v="48"/>
    <x v="1"/>
    <x v="2"/>
    <x v="2"/>
    <x v="1"/>
    <x v="0"/>
    <x v="0"/>
    <x v="1"/>
  </r>
  <r>
    <x v="505"/>
    <n v="7320"/>
    <n v="4732"/>
    <n v="12052"/>
    <x v="1"/>
    <x v="24"/>
    <x v="2"/>
    <x v="0"/>
    <x v="1"/>
    <x v="1"/>
    <n v="625"/>
    <x v="0"/>
    <n v="0"/>
    <x v="1"/>
    <n v="0.48"/>
    <x v="3"/>
    <x v="475"/>
    <n v="4656"/>
    <x v="0"/>
    <x v="477"/>
    <x v="1"/>
    <n v="12"/>
    <x v="6"/>
    <x v="0"/>
    <x v="1"/>
    <x v="1"/>
    <x v="1"/>
    <x v="0"/>
    <x v="0"/>
  </r>
  <r>
    <x v="506"/>
    <n v="15216"/>
    <n v="3714"/>
    <n v="18930"/>
    <x v="0"/>
    <x v="19"/>
    <x v="4"/>
    <x v="1"/>
    <x v="0"/>
    <x v="0"/>
    <n v="697"/>
    <x v="1"/>
    <n v="3"/>
    <x v="0"/>
    <n v="0.17"/>
    <x v="1"/>
    <x v="476"/>
    <n v="10302"/>
    <x v="0"/>
    <x v="478"/>
    <x v="1"/>
    <n v="36"/>
    <x v="4"/>
    <x v="3"/>
    <x v="2"/>
    <x v="0"/>
    <x v="1"/>
    <x v="3"/>
    <x v="1"/>
  </r>
  <r>
    <x v="507"/>
    <n v="4779"/>
    <n v="529"/>
    <n v="5308"/>
    <x v="0"/>
    <x v="18"/>
    <x v="0"/>
    <x v="0"/>
    <x v="0"/>
    <x v="0"/>
    <n v="614"/>
    <x v="0"/>
    <n v="0"/>
    <x v="1"/>
    <n v="0.21"/>
    <x v="1"/>
    <x v="477"/>
    <n v="5430"/>
    <x v="0"/>
    <x v="479"/>
    <x v="0"/>
    <n v="72"/>
    <x v="2"/>
    <x v="3"/>
    <x v="0"/>
    <x v="0"/>
    <x v="1"/>
    <x v="4"/>
    <x v="0"/>
  </r>
  <r>
    <x v="508"/>
    <n v="19308"/>
    <n v="2958"/>
    <n v="22266"/>
    <x v="0"/>
    <x v="13"/>
    <x v="2"/>
    <x v="0"/>
    <x v="3"/>
    <x v="3"/>
    <n v="762"/>
    <x v="3"/>
    <n v="1"/>
    <x v="0"/>
    <n v="0.54"/>
    <x v="0"/>
    <x v="11"/>
    <n v="41366"/>
    <x v="0"/>
    <x v="480"/>
    <x v="2"/>
    <n v="24"/>
    <x v="5"/>
    <x v="1"/>
    <x v="0"/>
    <x v="0"/>
    <x v="1"/>
    <x v="0"/>
    <x v="0"/>
  </r>
  <r>
    <x v="509"/>
    <n v="3581"/>
    <n v="7904"/>
    <n v="11485"/>
    <x v="1"/>
    <x v="3"/>
    <x v="2"/>
    <x v="0"/>
    <x v="2"/>
    <x v="2"/>
    <n v="726"/>
    <x v="1"/>
    <n v="1"/>
    <x v="0"/>
    <n v="0.35"/>
    <x v="2"/>
    <x v="478"/>
    <n v="27425"/>
    <x v="0"/>
    <x v="133"/>
    <x v="3"/>
    <n v="48"/>
    <x v="1"/>
    <x v="0"/>
    <x v="0"/>
    <x v="0"/>
    <x v="0"/>
    <x v="0"/>
    <x v="1"/>
  </r>
  <r>
    <x v="510"/>
    <n v="7713"/>
    <n v="6895"/>
    <n v="14608"/>
    <x v="2"/>
    <x v="27"/>
    <x v="3"/>
    <x v="1"/>
    <x v="2"/>
    <x v="2"/>
    <n v="678"/>
    <x v="1"/>
    <n v="3"/>
    <x v="0"/>
    <n v="0.34"/>
    <x v="2"/>
    <x v="479"/>
    <n v="1860"/>
    <x v="0"/>
    <x v="481"/>
    <x v="0"/>
    <n v="36"/>
    <x v="4"/>
    <x v="4"/>
    <x v="1"/>
    <x v="1"/>
    <x v="1"/>
    <x v="1"/>
    <x v="1"/>
  </r>
  <r>
    <x v="511"/>
    <n v="18639"/>
    <n v="9131"/>
    <n v="27770"/>
    <x v="0"/>
    <x v="30"/>
    <x v="2"/>
    <x v="1"/>
    <x v="3"/>
    <x v="3"/>
    <n v="559"/>
    <x v="2"/>
    <n v="2"/>
    <x v="0"/>
    <n v="0.32"/>
    <x v="2"/>
    <x v="480"/>
    <n v="6158"/>
    <x v="0"/>
    <x v="482"/>
    <x v="2"/>
    <n v="72"/>
    <x v="2"/>
    <x v="0"/>
    <x v="0"/>
    <x v="1"/>
    <x v="0"/>
    <x v="1"/>
    <x v="0"/>
  </r>
  <r>
    <x v="512"/>
    <n v="0"/>
    <n v="525"/>
    <n v="525"/>
    <x v="2"/>
    <x v="17"/>
    <x v="1"/>
    <x v="1"/>
    <x v="2"/>
    <x v="2"/>
    <n v="596"/>
    <x v="0"/>
    <n v="1"/>
    <x v="0"/>
    <n v="0.35"/>
    <x v="2"/>
    <x v="481"/>
    <n v="5806"/>
    <x v="0"/>
    <x v="483"/>
    <x v="2"/>
    <n v="60"/>
    <x v="3"/>
    <x v="0"/>
    <x v="2"/>
    <x v="0"/>
    <x v="1"/>
    <x v="0"/>
    <x v="0"/>
  </r>
  <r>
    <x v="513"/>
    <n v="12136"/>
    <n v="6477"/>
    <n v="18613"/>
    <x v="2"/>
    <x v="10"/>
    <x v="0"/>
    <x v="0"/>
    <x v="1"/>
    <x v="1"/>
    <n v="672"/>
    <x v="1"/>
    <n v="3"/>
    <x v="0"/>
    <n v="0.51"/>
    <x v="0"/>
    <x v="482"/>
    <n v="20738"/>
    <x v="0"/>
    <x v="484"/>
    <x v="3"/>
    <n v="36"/>
    <x v="4"/>
    <x v="3"/>
    <x v="1"/>
    <x v="0"/>
    <x v="1"/>
    <x v="2"/>
    <x v="0"/>
  </r>
  <r>
    <x v="514"/>
    <n v="0"/>
    <n v="1"/>
    <n v="1"/>
    <x v="0"/>
    <x v="30"/>
    <x v="2"/>
    <x v="0"/>
    <x v="1"/>
    <x v="1"/>
    <n v="608"/>
    <x v="0"/>
    <n v="0"/>
    <x v="1"/>
    <n v="0.28000000000000003"/>
    <x v="1"/>
    <x v="483"/>
    <n v="17106"/>
    <x v="0"/>
    <x v="485"/>
    <x v="0"/>
    <n v="84"/>
    <x v="0"/>
    <x v="0"/>
    <x v="1"/>
    <x v="1"/>
    <x v="1"/>
    <x v="0"/>
    <x v="0"/>
  </r>
  <r>
    <x v="515"/>
    <n v="7124"/>
    <n v="374"/>
    <n v="7498"/>
    <x v="0"/>
    <x v="22"/>
    <x v="2"/>
    <x v="1"/>
    <x v="1"/>
    <x v="1"/>
    <n v="645"/>
    <x v="0"/>
    <n v="4"/>
    <x v="0"/>
    <n v="0.37"/>
    <x v="2"/>
    <x v="484"/>
    <n v="9474"/>
    <x v="0"/>
    <x v="486"/>
    <x v="2"/>
    <n v="48"/>
    <x v="1"/>
    <x v="0"/>
    <x v="0"/>
    <x v="1"/>
    <x v="1"/>
    <x v="1"/>
    <x v="0"/>
  </r>
  <r>
    <x v="516"/>
    <n v="3015"/>
    <n v="4648"/>
    <n v="7663"/>
    <x v="0"/>
    <x v="11"/>
    <x v="2"/>
    <x v="1"/>
    <x v="1"/>
    <x v="1"/>
    <n v="739"/>
    <x v="1"/>
    <n v="0"/>
    <x v="1"/>
    <n v="0.44"/>
    <x v="3"/>
    <x v="485"/>
    <n v="16997"/>
    <x v="0"/>
    <x v="487"/>
    <x v="1"/>
    <n v="36"/>
    <x v="4"/>
    <x v="3"/>
    <x v="0"/>
    <x v="0"/>
    <x v="1"/>
    <x v="1"/>
    <x v="0"/>
  </r>
  <r>
    <x v="517"/>
    <n v="0"/>
    <n v="2365"/>
    <n v="2365"/>
    <x v="4"/>
    <x v="31"/>
    <x v="4"/>
    <x v="0"/>
    <x v="0"/>
    <x v="0"/>
    <n v="652"/>
    <x v="0"/>
    <n v="1"/>
    <x v="0"/>
    <n v="0.45"/>
    <x v="3"/>
    <x v="486"/>
    <n v="32599"/>
    <x v="0"/>
    <x v="488"/>
    <x v="0"/>
    <n v="48"/>
    <x v="1"/>
    <x v="0"/>
    <x v="0"/>
    <x v="1"/>
    <x v="1"/>
    <x v="0"/>
    <x v="0"/>
  </r>
  <r>
    <x v="518"/>
    <n v="10415"/>
    <n v="1525"/>
    <n v="11940"/>
    <x v="0"/>
    <x v="27"/>
    <x v="3"/>
    <x v="0"/>
    <x v="1"/>
    <x v="1"/>
    <n v="673"/>
    <x v="1"/>
    <n v="1"/>
    <x v="0"/>
    <n v="0.57999999999999996"/>
    <x v="0"/>
    <x v="487"/>
    <n v="0"/>
    <x v="1"/>
    <x v="489"/>
    <x v="0"/>
    <n v="12"/>
    <x v="6"/>
    <x v="3"/>
    <x v="2"/>
    <x v="0"/>
    <x v="1"/>
    <x v="0"/>
    <x v="0"/>
  </r>
  <r>
    <x v="519"/>
    <n v="15550"/>
    <n v="1646"/>
    <n v="17196"/>
    <x v="0"/>
    <x v="12"/>
    <x v="1"/>
    <x v="1"/>
    <x v="2"/>
    <x v="2"/>
    <n v="635"/>
    <x v="0"/>
    <n v="0"/>
    <x v="1"/>
    <n v="0.37"/>
    <x v="2"/>
    <x v="488"/>
    <n v="10170"/>
    <x v="0"/>
    <x v="490"/>
    <x v="2"/>
    <n v="60"/>
    <x v="3"/>
    <x v="2"/>
    <x v="1"/>
    <x v="1"/>
    <x v="1"/>
    <x v="2"/>
    <x v="0"/>
  </r>
  <r>
    <x v="520"/>
    <n v="16512"/>
    <n v="13"/>
    <n v="16525"/>
    <x v="0"/>
    <x v="14"/>
    <x v="2"/>
    <x v="0"/>
    <x v="3"/>
    <x v="3"/>
    <n v="695"/>
    <x v="1"/>
    <n v="1"/>
    <x v="0"/>
    <n v="0.3"/>
    <x v="1"/>
    <x v="489"/>
    <n v="0"/>
    <x v="1"/>
    <x v="491"/>
    <x v="2"/>
    <n v="48"/>
    <x v="1"/>
    <x v="2"/>
    <x v="0"/>
    <x v="1"/>
    <x v="1"/>
    <x v="3"/>
    <x v="1"/>
  </r>
  <r>
    <x v="521"/>
    <n v="6158"/>
    <n v="4599"/>
    <n v="10757"/>
    <x v="2"/>
    <x v="18"/>
    <x v="0"/>
    <x v="0"/>
    <x v="2"/>
    <x v="2"/>
    <n v="661"/>
    <x v="0"/>
    <n v="3"/>
    <x v="0"/>
    <n v="0.57999999999999996"/>
    <x v="0"/>
    <x v="490"/>
    <n v="0"/>
    <x v="1"/>
    <x v="492"/>
    <x v="1"/>
    <n v="36"/>
    <x v="4"/>
    <x v="3"/>
    <x v="0"/>
    <x v="1"/>
    <x v="0"/>
    <x v="0"/>
    <x v="0"/>
  </r>
  <r>
    <x v="522"/>
    <n v="8970"/>
    <n v="2278"/>
    <n v="11248"/>
    <x v="0"/>
    <x v="13"/>
    <x v="2"/>
    <x v="0"/>
    <x v="1"/>
    <x v="1"/>
    <n v="723"/>
    <x v="1"/>
    <n v="1"/>
    <x v="0"/>
    <n v="0.42"/>
    <x v="3"/>
    <x v="491"/>
    <n v="0"/>
    <x v="1"/>
    <x v="493"/>
    <x v="2"/>
    <n v="60"/>
    <x v="3"/>
    <x v="3"/>
    <x v="1"/>
    <x v="1"/>
    <x v="0"/>
    <x v="3"/>
    <x v="0"/>
  </r>
  <r>
    <x v="523"/>
    <n v="8938"/>
    <n v="3155"/>
    <n v="12093"/>
    <x v="2"/>
    <x v="5"/>
    <x v="0"/>
    <x v="0"/>
    <x v="0"/>
    <x v="0"/>
    <n v="709"/>
    <x v="1"/>
    <n v="4"/>
    <x v="0"/>
    <n v="0.25"/>
    <x v="1"/>
    <x v="492"/>
    <n v="25792"/>
    <x v="0"/>
    <x v="494"/>
    <x v="2"/>
    <n v="84"/>
    <x v="0"/>
    <x v="0"/>
    <x v="2"/>
    <x v="1"/>
    <x v="1"/>
    <x v="0"/>
    <x v="0"/>
  </r>
  <r>
    <x v="524"/>
    <n v="15772"/>
    <n v="8321"/>
    <n v="24093"/>
    <x v="1"/>
    <x v="18"/>
    <x v="0"/>
    <x v="1"/>
    <x v="1"/>
    <x v="1"/>
    <n v="550"/>
    <x v="2"/>
    <n v="3"/>
    <x v="0"/>
    <n v="0.16"/>
    <x v="1"/>
    <x v="493"/>
    <n v="30216"/>
    <x v="0"/>
    <x v="495"/>
    <x v="3"/>
    <n v="60"/>
    <x v="3"/>
    <x v="3"/>
    <x v="1"/>
    <x v="1"/>
    <x v="0"/>
    <x v="4"/>
    <x v="0"/>
  </r>
  <r>
    <x v="525"/>
    <n v="12344"/>
    <n v="3814"/>
    <n v="16158"/>
    <x v="2"/>
    <x v="22"/>
    <x v="2"/>
    <x v="1"/>
    <x v="3"/>
    <x v="3"/>
    <n v="769"/>
    <x v="3"/>
    <n v="2"/>
    <x v="0"/>
    <n v="0.52"/>
    <x v="0"/>
    <x v="494"/>
    <n v="7232"/>
    <x v="0"/>
    <x v="496"/>
    <x v="2"/>
    <n v="48"/>
    <x v="1"/>
    <x v="1"/>
    <x v="0"/>
    <x v="0"/>
    <x v="0"/>
    <x v="0"/>
    <x v="0"/>
  </r>
  <r>
    <x v="526"/>
    <n v="9266"/>
    <n v="3216"/>
    <n v="12482"/>
    <x v="1"/>
    <x v="10"/>
    <x v="0"/>
    <x v="0"/>
    <x v="0"/>
    <x v="0"/>
    <n v="567"/>
    <x v="2"/>
    <n v="1"/>
    <x v="0"/>
    <n v="0.28000000000000003"/>
    <x v="1"/>
    <x v="495"/>
    <n v="12674"/>
    <x v="0"/>
    <x v="497"/>
    <x v="0"/>
    <n v="48"/>
    <x v="1"/>
    <x v="1"/>
    <x v="0"/>
    <x v="1"/>
    <x v="0"/>
    <x v="3"/>
    <x v="0"/>
  </r>
  <r>
    <x v="527"/>
    <n v="10702"/>
    <n v="8219"/>
    <n v="18921"/>
    <x v="0"/>
    <x v="15"/>
    <x v="1"/>
    <x v="0"/>
    <x v="3"/>
    <x v="3"/>
    <n v="716"/>
    <x v="1"/>
    <n v="1"/>
    <x v="0"/>
    <n v="0.43"/>
    <x v="3"/>
    <x v="496"/>
    <n v="16052"/>
    <x v="0"/>
    <x v="498"/>
    <x v="0"/>
    <n v="24"/>
    <x v="5"/>
    <x v="4"/>
    <x v="0"/>
    <x v="0"/>
    <x v="1"/>
    <x v="0"/>
    <x v="0"/>
  </r>
  <r>
    <x v="528"/>
    <n v="2384"/>
    <n v="2113"/>
    <n v="4497"/>
    <x v="1"/>
    <x v="3"/>
    <x v="2"/>
    <x v="0"/>
    <x v="3"/>
    <x v="3"/>
    <n v="726"/>
    <x v="1"/>
    <n v="4"/>
    <x v="0"/>
    <n v="0.34"/>
    <x v="2"/>
    <x v="497"/>
    <n v="48542"/>
    <x v="0"/>
    <x v="499"/>
    <x v="0"/>
    <n v="24"/>
    <x v="5"/>
    <x v="3"/>
    <x v="0"/>
    <x v="1"/>
    <x v="0"/>
    <x v="1"/>
    <x v="0"/>
  </r>
  <r>
    <x v="529"/>
    <n v="2404"/>
    <n v="9444"/>
    <n v="11848"/>
    <x v="0"/>
    <x v="32"/>
    <x v="3"/>
    <x v="0"/>
    <x v="3"/>
    <x v="3"/>
    <n v="770"/>
    <x v="3"/>
    <n v="0"/>
    <x v="1"/>
    <n v="0.2"/>
    <x v="1"/>
    <x v="498"/>
    <n v="5913"/>
    <x v="0"/>
    <x v="500"/>
    <x v="2"/>
    <n v="60"/>
    <x v="3"/>
    <x v="0"/>
    <x v="0"/>
    <x v="0"/>
    <x v="1"/>
    <x v="3"/>
    <x v="0"/>
  </r>
  <r>
    <x v="530"/>
    <n v="10175"/>
    <n v="4356"/>
    <n v="14531"/>
    <x v="0"/>
    <x v="8"/>
    <x v="0"/>
    <x v="0"/>
    <x v="0"/>
    <x v="0"/>
    <n v="631"/>
    <x v="0"/>
    <n v="0"/>
    <x v="1"/>
    <n v="0.4"/>
    <x v="2"/>
    <x v="499"/>
    <n v="46870"/>
    <x v="0"/>
    <x v="501"/>
    <x v="1"/>
    <n v="72"/>
    <x v="2"/>
    <x v="0"/>
    <x v="0"/>
    <x v="1"/>
    <x v="0"/>
    <x v="0"/>
    <x v="0"/>
  </r>
  <r>
    <x v="531"/>
    <n v="17158"/>
    <n v="5543"/>
    <n v="22701"/>
    <x v="3"/>
    <x v="36"/>
    <x v="1"/>
    <x v="1"/>
    <x v="1"/>
    <x v="1"/>
    <n v="721"/>
    <x v="1"/>
    <n v="0"/>
    <x v="1"/>
    <n v="0.13"/>
    <x v="1"/>
    <x v="469"/>
    <n v="48157"/>
    <x v="0"/>
    <x v="502"/>
    <x v="0"/>
    <n v="72"/>
    <x v="2"/>
    <x v="2"/>
    <x v="0"/>
    <x v="1"/>
    <x v="1"/>
    <x v="1"/>
    <x v="1"/>
  </r>
  <r>
    <x v="532"/>
    <n v="0"/>
    <n v="4555"/>
    <n v="4555"/>
    <x v="0"/>
    <x v="23"/>
    <x v="0"/>
    <x v="0"/>
    <x v="3"/>
    <x v="3"/>
    <n v="621"/>
    <x v="0"/>
    <n v="0"/>
    <x v="1"/>
    <n v="0.31"/>
    <x v="2"/>
    <x v="500"/>
    <n v="27913"/>
    <x v="0"/>
    <x v="503"/>
    <x v="0"/>
    <n v="24"/>
    <x v="5"/>
    <x v="4"/>
    <x v="1"/>
    <x v="1"/>
    <x v="0"/>
    <x v="0"/>
    <x v="0"/>
  </r>
  <r>
    <x v="533"/>
    <n v="11860"/>
    <n v="7062"/>
    <n v="18922"/>
    <x v="0"/>
    <x v="4"/>
    <x v="1"/>
    <x v="0"/>
    <x v="2"/>
    <x v="2"/>
    <n v="603"/>
    <x v="0"/>
    <n v="4"/>
    <x v="0"/>
    <n v="0.37"/>
    <x v="2"/>
    <x v="501"/>
    <n v="10567"/>
    <x v="0"/>
    <x v="504"/>
    <x v="2"/>
    <n v="36"/>
    <x v="4"/>
    <x v="0"/>
    <x v="0"/>
    <x v="1"/>
    <x v="1"/>
    <x v="4"/>
    <x v="0"/>
  </r>
  <r>
    <x v="534"/>
    <n v="17106"/>
    <n v="6430"/>
    <n v="23536"/>
    <x v="2"/>
    <x v="34"/>
    <x v="3"/>
    <x v="0"/>
    <x v="2"/>
    <x v="2"/>
    <n v="711"/>
    <x v="1"/>
    <n v="0"/>
    <x v="1"/>
    <n v="0.47"/>
    <x v="3"/>
    <x v="11"/>
    <n v="9432"/>
    <x v="0"/>
    <x v="505"/>
    <x v="2"/>
    <n v="60"/>
    <x v="3"/>
    <x v="0"/>
    <x v="0"/>
    <x v="1"/>
    <x v="1"/>
    <x v="1"/>
    <x v="0"/>
  </r>
  <r>
    <x v="535"/>
    <n v="19844"/>
    <n v="3466"/>
    <n v="23310"/>
    <x v="1"/>
    <x v="29"/>
    <x v="2"/>
    <x v="0"/>
    <x v="0"/>
    <x v="0"/>
    <n v="620"/>
    <x v="0"/>
    <n v="2"/>
    <x v="0"/>
    <n v="0.51"/>
    <x v="0"/>
    <x v="502"/>
    <n v="319"/>
    <x v="0"/>
    <x v="36"/>
    <x v="3"/>
    <n v="12"/>
    <x v="6"/>
    <x v="2"/>
    <x v="1"/>
    <x v="1"/>
    <x v="1"/>
    <x v="2"/>
    <x v="0"/>
  </r>
  <r>
    <x v="536"/>
    <n v="5636"/>
    <n v="0"/>
    <n v="5636"/>
    <x v="0"/>
    <x v="9"/>
    <x v="2"/>
    <x v="0"/>
    <x v="2"/>
    <x v="2"/>
    <n v="713"/>
    <x v="1"/>
    <n v="0"/>
    <x v="1"/>
    <n v="0.49"/>
    <x v="3"/>
    <x v="503"/>
    <n v="24469"/>
    <x v="0"/>
    <x v="506"/>
    <x v="0"/>
    <n v="24"/>
    <x v="5"/>
    <x v="1"/>
    <x v="0"/>
    <x v="0"/>
    <x v="1"/>
    <x v="0"/>
    <x v="0"/>
  </r>
  <r>
    <x v="537"/>
    <n v="12916"/>
    <n v="629"/>
    <n v="13545"/>
    <x v="4"/>
    <x v="23"/>
    <x v="0"/>
    <x v="1"/>
    <x v="1"/>
    <x v="1"/>
    <n v="695"/>
    <x v="1"/>
    <n v="1"/>
    <x v="0"/>
    <n v="0.12"/>
    <x v="1"/>
    <x v="504"/>
    <n v="45454"/>
    <x v="0"/>
    <x v="507"/>
    <x v="0"/>
    <n v="48"/>
    <x v="1"/>
    <x v="1"/>
    <x v="2"/>
    <x v="1"/>
    <x v="1"/>
    <x v="0"/>
    <x v="1"/>
  </r>
  <r>
    <x v="538"/>
    <n v="0"/>
    <n v="5724"/>
    <n v="5724"/>
    <x v="4"/>
    <x v="21"/>
    <x v="1"/>
    <x v="0"/>
    <x v="1"/>
    <x v="1"/>
    <n v="736"/>
    <x v="1"/>
    <n v="3"/>
    <x v="0"/>
    <n v="0.37"/>
    <x v="2"/>
    <x v="505"/>
    <n v="0"/>
    <x v="1"/>
    <x v="508"/>
    <x v="0"/>
    <n v="60"/>
    <x v="3"/>
    <x v="4"/>
    <x v="0"/>
    <x v="1"/>
    <x v="1"/>
    <x v="3"/>
    <x v="1"/>
  </r>
  <r>
    <x v="539"/>
    <n v="17444"/>
    <n v="5897"/>
    <n v="23341"/>
    <x v="3"/>
    <x v="36"/>
    <x v="1"/>
    <x v="1"/>
    <x v="2"/>
    <x v="2"/>
    <n v="686"/>
    <x v="1"/>
    <n v="2"/>
    <x v="0"/>
    <n v="0.56999999999999995"/>
    <x v="0"/>
    <x v="506"/>
    <n v="4791"/>
    <x v="0"/>
    <x v="509"/>
    <x v="1"/>
    <n v="24"/>
    <x v="5"/>
    <x v="3"/>
    <x v="2"/>
    <x v="0"/>
    <x v="0"/>
    <x v="2"/>
    <x v="0"/>
  </r>
  <r>
    <x v="540"/>
    <n v="7997"/>
    <n v="3432"/>
    <n v="11429"/>
    <x v="2"/>
    <x v="5"/>
    <x v="0"/>
    <x v="1"/>
    <x v="3"/>
    <x v="3"/>
    <n v="750"/>
    <x v="3"/>
    <n v="4"/>
    <x v="0"/>
    <n v="0.52"/>
    <x v="0"/>
    <x v="11"/>
    <n v="31736"/>
    <x v="0"/>
    <x v="510"/>
    <x v="2"/>
    <n v="36"/>
    <x v="4"/>
    <x v="4"/>
    <x v="0"/>
    <x v="1"/>
    <x v="1"/>
    <x v="0"/>
    <x v="0"/>
  </r>
  <r>
    <x v="541"/>
    <n v="4048"/>
    <n v="0"/>
    <n v="4048"/>
    <x v="4"/>
    <x v="5"/>
    <x v="0"/>
    <x v="0"/>
    <x v="0"/>
    <x v="0"/>
    <n v="787"/>
    <x v="3"/>
    <n v="4"/>
    <x v="0"/>
    <n v="0.52"/>
    <x v="0"/>
    <x v="507"/>
    <n v="329"/>
    <x v="0"/>
    <x v="511"/>
    <x v="0"/>
    <n v="84"/>
    <x v="0"/>
    <x v="4"/>
    <x v="0"/>
    <x v="0"/>
    <x v="1"/>
    <x v="0"/>
    <x v="0"/>
  </r>
  <r>
    <x v="542"/>
    <n v="14338"/>
    <n v="6276"/>
    <n v="20614"/>
    <x v="4"/>
    <x v="29"/>
    <x v="2"/>
    <x v="1"/>
    <x v="2"/>
    <x v="2"/>
    <n v="550"/>
    <x v="2"/>
    <n v="1"/>
    <x v="0"/>
    <n v="0.25"/>
    <x v="1"/>
    <x v="352"/>
    <n v="8851"/>
    <x v="0"/>
    <x v="512"/>
    <x v="3"/>
    <n v="60"/>
    <x v="3"/>
    <x v="3"/>
    <x v="1"/>
    <x v="1"/>
    <x v="0"/>
    <x v="3"/>
    <x v="1"/>
  </r>
  <r>
    <x v="543"/>
    <n v="19100"/>
    <n v="5895"/>
    <n v="24995"/>
    <x v="2"/>
    <x v="19"/>
    <x v="4"/>
    <x v="0"/>
    <x v="3"/>
    <x v="3"/>
    <n v="728"/>
    <x v="1"/>
    <n v="0"/>
    <x v="1"/>
    <n v="0.31"/>
    <x v="2"/>
    <x v="508"/>
    <n v="44078"/>
    <x v="0"/>
    <x v="513"/>
    <x v="2"/>
    <n v="60"/>
    <x v="3"/>
    <x v="1"/>
    <x v="1"/>
    <x v="1"/>
    <x v="1"/>
    <x v="3"/>
    <x v="1"/>
  </r>
  <r>
    <x v="544"/>
    <n v="6544"/>
    <n v="7115"/>
    <n v="13659"/>
    <x v="2"/>
    <x v="16"/>
    <x v="1"/>
    <x v="0"/>
    <x v="0"/>
    <x v="0"/>
    <n v="584"/>
    <x v="0"/>
    <n v="1"/>
    <x v="0"/>
    <n v="0.34"/>
    <x v="2"/>
    <x v="509"/>
    <n v="23126"/>
    <x v="0"/>
    <x v="514"/>
    <x v="2"/>
    <n v="72"/>
    <x v="2"/>
    <x v="1"/>
    <x v="0"/>
    <x v="1"/>
    <x v="1"/>
    <x v="4"/>
    <x v="0"/>
  </r>
  <r>
    <x v="545"/>
    <n v="6976"/>
    <n v="0"/>
    <n v="6976"/>
    <x v="0"/>
    <x v="33"/>
    <x v="4"/>
    <x v="0"/>
    <x v="0"/>
    <x v="0"/>
    <n v="631"/>
    <x v="0"/>
    <n v="0"/>
    <x v="1"/>
    <n v="0.18"/>
    <x v="1"/>
    <x v="510"/>
    <n v="21300"/>
    <x v="0"/>
    <x v="515"/>
    <x v="1"/>
    <n v="48"/>
    <x v="1"/>
    <x v="3"/>
    <x v="0"/>
    <x v="1"/>
    <x v="1"/>
    <x v="0"/>
    <x v="0"/>
  </r>
  <r>
    <x v="546"/>
    <n v="14775"/>
    <n v="575"/>
    <n v="15350"/>
    <x v="2"/>
    <x v="20"/>
    <x v="0"/>
    <x v="1"/>
    <x v="1"/>
    <x v="1"/>
    <n v="682"/>
    <x v="1"/>
    <n v="0"/>
    <x v="1"/>
    <n v="0.12"/>
    <x v="1"/>
    <x v="511"/>
    <n v="10164"/>
    <x v="0"/>
    <x v="516"/>
    <x v="0"/>
    <n v="60"/>
    <x v="3"/>
    <x v="2"/>
    <x v="0"/>
    <x v="1"/>
    <x v="0"/>
    <x v="0"/>
    <x v="1"/>
  </r>
  <r>
    <x v="547"/>
    <n v="12015"/>
    <n v="7029"/>
    <n v="19044"/>
    <x v="0"/>
    <x v="8"/>
    <x v="0"/>
    <x v="1"/>
    <x v="2"/>
    <x v="2"/>
    <n v="691"/>
    <x v="1"/>
    <n v="4"/>
    <x v="0"/>
    <n v="0.56999999999999995"/>
    <x v="0"/>
    <x v="512"/>
    <n v="24509"/>
    <x v="0"/>
    <x v="517"/>
    <x v="2"/>
    <n v="48"/>
    <x v="1"/>
    <x v="4"/>
    <x v="0"/>
    <x v="1"/>
    <x v="1"/>
    <x v="0"/>
    <x v="0"/>
  </r>
  <r>
    <x v="548"/>
    <n v="5419"/>
    <n v="0"/>
    <n v="5419"/>
    <x v="1"/>
    <x v="17"/>
    <x v="1"/>
    <x v="0"/>
    <x v="0"/>
    <x v="0"/>
    <n v="769"/>
    <x v="3"/>
    <n v="0"/>
    <x v="1"/>
    <n v="0.22"/>
    <x v="1"/>
    <x v="177"/>
    <n v="5703"/>
    <x v="0"/>
    <x v="518"/>
    <x v="3"/>
    <n v="24"/>
    <x v="5"/>
    <x v="0"/>
    <x v="1"/>
    <x v="1"/>
    <x v="1"/>
    <x v="2"/>
    <x v="1"/>
  </r>
  <r>
    <x v="549"/>
    <n v="16430"/>
    <n v="9499"/>
    <n v="25929"/>
    <x v="2"/>
    <x v="33"/>
    <x v="4"/>
    <x v="0"/>
    <x v="3"/>
    <x v="3"/>
    <n v="707"/>
    <x v="1"/>
    <n v="0"/>
    <x v="1"/>
    <n v="0.22"/>
    <x v="1"/>
    <x v="513"/>
    <n v="27109"/>
    <x v="0"/>
    <x v="372"/>
    <x v="1"/>
    <n v="36"/>
    <x v="4"/>
    <x v="1"/>
    <x v="2"/>
    <x v="0"/>
    <x v="0"/>
    <x v="0"/>
    <x v="1"/>
  </r>
  <r>
    <x v="550"/>
    <n v="9239"/>
    <n v="3192"/>
    <n v="12431"/>
    <x v="1"/>
    <x v="3"/>
    <x v="2"/>
    <x v="1"/>
    <x v="0"/>
    <x v="0"/>
    <n v="553"/>
    <x v="2"/>
    <n v="2"/>
    <x v="0"/>
    <n v="0.14000000000000001"/>
    <x v="1"/>
    <x v="514"/>
    <n v="43417"/>
    <x v="0"/>
    <x v="519"/>
    <x v="3"/>
    <n v="84"/>
    <x v="0"/>
    <x v="0"/>
    <x v="0"/>
    <x v="1"/>
    <x v="1"/>
    <x v="1"/>
    <x v="0"/>
  </r>
  <r>
    <x v="551"/>
    <n v="16489"/>
    <n v="3178"/>
    <n v="19667"/>
    <x v="0"/>
    <x v="20"/>
    <x v="0"/>
    <x v="0"/>
    <x v="0"/>
    <x v="0"/>
    <n v="716"/>
    <x v="1"/>
    <n v="2"/>
    <x v="0"/>
    <n v="0.56000000000000005"/>
    <x v="0"/>
    <x v="515"/>
    <n v="22554"/>
    <x v="0"/>
    <x v="520"/>
    <x v="0"/>
    <n v="48"/>
    <x v="1"/>
    <x v="3"/>
    <x v="1"/>
    <x v="0"/>
    <x v="0"/>
    <x v="0"/>
    <x v="0"/>
  </r>
  <r>
    <x v="552"/>
    <n v="18633"/>
    <n v="6052"/>
    <n v="24685"/>
    <x v="1"/>
    <x v="17"/>
    <x v="1"/>
    <x v="0"/>
    <x v="1"/>
    <x v="1"/>
    <n v="761"/>
    <x v="3"/>
    <n v="4"/>
    <x v="0"/>
    <n v="0.39"/>
    <x v="2"/>
    <x v="516"/>
    <n v="27676"/>
    <x v="0"/>
    <x v="521"/>
    <x v="0"/>
    <n v="36"/>
    <x v="4"/>
    <x v="0"/>
    <x v="2"/>
    <x v="1"/>
    <x v="1"/>
    <x v="0"/>
    <x v="1"/>
  </r>
  <r>
    <x v="553"/>
    <n v="12357"/>
    <n v="2734"/>
    <n v="15091"/>
    <x v="1"/>
    <x v="20"/>
    <x v="0"/>
    <x v="1"/>
    <x v="1"/>
    <x v="1"/>
    <n v="741"/>
    <x v="3"/>
    <n v="1"/>
    <x v="0"/>
    <n v="0.35"/>
    <x v="2"/>
    <x v="517"/>
    <n v="23804"/>
    <x v="0"/>
    <x v="522"/>
    <x v="2"/>
    <n v="60"/>
    <x v="3"/>
    <x v="0"/>
    <x v="2"/>
    <x v="1"/>
    <x v="1"/>
    <x v="0"/>
    <x v="0"/>
  </r>
  <r>
    <x v="554"/>
    <n v="19154"/>
    <n v="6116"/>
    <n v="25270"/>
    <x v="3"/>
    <x v="34"/>
    <x v="3"/>
    <x v="1"/>
    <x v="3"/>
    <x v="3"/>
    <n v="702"/>
    <x v="1"/>
    <n v="3"/>
    <x v="0"/>
    <n v="0.56000000000000005"/>
    <x v="0"/>
    <x v="518"/>
    <n v="45440"/>
    <x v="0"/>
    <x v="523"/>
    <x v="3"/>
    <n v="60"/>
    <x v="3"/>
    <x v="4"/>
    <x v="0"/>
    <x v="0"/>
    <x v="0"/>
    <x v="4"/>
    <x v="0"/>
  </r>
  <r>
    <x v="555"/>
    <n v="6363"/>
    <n v="0"/>
    <n v="6363"/>
    <x v="0"/>
    <x v="35"/>
    <x v="2"/>
    <x v="1"/>
    <x v="1"/>
    <x v="1"/>
    <n v="705"/>
    <x v="1"/>
    <n v="0"/>
    <x v="1"/>
    <n v="0.27"/>
    <x v="1"/>
    <x v="519"/>
    <n v="36923"/>
    <x v="0"/>
    <x v="36"/>
    <x v="3"/>
    <n v="24"/>
    <x v="5"/>
    <x v="3"/>
    <x v="0"/>
    <x v="1"/>
    <x v="1"/>
    <x v="0"/>
    <x v="0"/>
  </r>
  <r>
    <x v="556"/>
    <n v="12176"/>
    <n v="9847"/>
    <n v="22023"/>
    <x v="0"/>
    <x v="1"/>
    <x v="0"/>
    <x v="1"/>
    <x v="0"/>
    <x v="0"/>
    <n v="753"/>
    <x v="3"/>
    <n v="3"/>
    <x v="0"/>
    <n v="0.41"/>
    <x v="3"/>
    <x v="11"/>
    <n v="29802"/>
    <x v="0"/>
    <x v="524"/>
    <x v="0"/>
    <n v="72"/>
    <x v="2"/>
    <x v="0"/>
    <x v="2"/>
    <x v="1"/>
    <x v="0"/>
    <x v="0"/>
    <x v="0"/>
  </r>
  <r>
    <x v="557"/>
    <n v="19461"/>
    <n v="9771"/>
    <n v="29232"/>
    <x v="2"/>
    <x v="22"/>
    <x v="2"/>
    <x v="0"/>
    <x v="0"/>
    <x v="0"/>
    <n v="743"/>
    <x v="3"/>
    <n v="1"/>
    <x v="0"/>
    <n v="0.35"/>
    <x v="2"/>
    <x v="520"/>
    <n v="24795"/>
    <x v="0"/>
    <x v="525"/>
    <x v="2"/>
    <n v="72"/>
    <x v="2"/>
    <x v="1"/>
    <x v="0"/>
    <x v="1"/>
    <x v="0"/>
    <x v="0"/>
    <x v="1"/>
  </r>
  <r>
    <x v="558"/>
    <n v="10427"/>
    <n v="2203"/>
    <n v="12630"/>
    <x v="0"/>
    <x v="37"/>
    <x v="1"/>
    <x v="1"/>
    <x v="1"/>
    <x v="1"/>
    <n v="784"/>
    <x v="3"/>
    <n v="1"/>
    <x v="0"/>
    <n v="0.19"/>
    <x v="1"/>
    <x v="11"/>
    <n v="2611"/>
    <x v="0"/>
    <x v="526"/>
    <x v="0"/>
    <n v="72"/>
    <x v="2"/>
    <x v="3"/>
    <x v="0"/>
    <x v="1"/>
    <x v="1"/>
    <x v="3"/>
    <x v="1"/>
  </r>
  <r>
    <x v="559"/>
    <n v="10580"/>
    <n v="1390"/>
    <n v="11970"/>
    <x v="1"/>
    <x v="17"/>
    <x v="1"/>
    <x v="1"/>
    <x v="0"/>
    <x v="0"/>
    <n v="755"/>
    <x v="3"/>
    <n v="4"/>
    <x v="0"/>
    <n v="0.52"/>
    <x v="0"/>
    <x v="521"/>
    <n v="0"/>
    <x v="1"/>
    <x v="527"/>
    <x v="2"/>
    <n v="48"/>
    <x v="1"/>
    <x v="1"/>
    <x v="0"/>
    <x v="1"/>
    <x v="0"/>
    <x v="2"/>
    <x v="0"/>
  </r>
  <r>
    <x v="560"/>
    <n v="6858"/>
    <n v="1742"/>
    <n v="8600"/>
    <x v="1"/>
    <x v="2"/>
    <x v="1"/>
    <x v="0"/>
    <x v="0"/>
    <x v="0"/>
    <n v="699"/>
    <x v="1"/>
    <n v="2"/>
    <x v="0"/>
    <n v="0.48"/>
    <x v="3"/>
    <x v="522"/>
    <n v="16479"/>
    <x v="0"/>
    <x v="528"/>
    <x v="2"/>
    <n v="72"/>
    <x v="2"/>
    <x v="2"/>
    <x v="0"/>
    <x v="1"/>
    <x v="1"/>
    <x v="4"/>
    <x v="0"/>
  </r>
  <r>
    <x v="561"/>
    <n v="12040"/>
    <n v="1925"/>
    <n v="13965"/>
    <x v="2"/>
    <x v="1"/>
    <x v="0"/>
    <x v="0"/>
    <x v="3"/>
    <x v="3"/>
    <n v="708"/>
    <x v="1"/>
    <n v="2"/>
    <x v="0"/>
    <n v="0.28000000000000003"/>
    <x v="1"/>
    <x v="523"/>
    <n v="9180"/>
    <x v="0"/>
    <x v="529"/>
    <x v="2"/>
    <n v="36"/>
    <x v="4"/>
    <x v="0"/>
    <x v="0"/>
    <x v="1"/>
    <x v="0"/>
    <x v="3"/>
    <x v="1"/>
  </r>
  <r>
    <x v="562"/>
    <n v="17254"/>
    <n v="619"/>
    <n v="17873"/>
    <x v="1"/>
    <x v="19"/>
    <x v="4"/>
    <x v="0"/>
    <x v="1"/>
    <x v="1"/>
    <n v="572"/>
    <x v="2"/>
    <n v="1"/>
    <x v="0"/>
    <n v="0.28999999999999998"/>
    <x v="1"/>
    <x v="524"/>
    <n v="9304"/>
    <x v="0"/>
    <x v="530"/>
    <x v="0"/>
    <n v="84"/>
    <x v="0"/>
    <x v="3"/>
    <x v="2"/>
    <x v="1"/>
    <x v="1"/>
    <x v="1"/>
    <x v="0"/>
  </r>
  <r>
    <x v="563"/>
    <n v="13470"/>
    <n v="1274"/>
    <n v="14744"/>
    <x v="1"/>
    <x v="37"/>
    <x v="1"/>
    <x v="0"/>
    <x v="0"/>
    <x v="0"/>
    <n v="597"/>
    <x v="0"/>
    <n v="4"/>
    <x v="0"/>
    <n v="0.37"/>
    <x v="2"/>
    <x v="525"/>
    <n v="14610"/>
    <x v="0"/>
    <x v="531"/>
    <x v="3"/>
    <n v="84"/>
    <x v="0"/>
    <x v="1"/>
    <x v="0"/>
    <x v="1"/>
    <x v="1"/>
    <x v="4"/>
    <x v="0"/>
  </r>
  <r>
    <x v="564"/>
    <n v="3252"/>
    <n v="956"/>
    <n v="4208"/>
    <x v="0"/>
    <x v="34"/>
    <x v="3"/>
    <x v="1"/>
    <x v="1"/>
    <x v="1"/>
    <n v="697"/>
    <x v="1"/>
    <n v="4"/>
    <x v="0"/>
    <n v="0.1"/>
    <x v="1"/>
    <x v="526"/>
    <n v="8437"/>
    <x v="0"/>
    <x v="532"/>
    <x v="2"/>
    <n v="48"/>
    <x v="1"/>
    <x v="0"/>
    <x v="0"/>
    <x v="1"/>
    <x v="1"/>
    <x v="2"/>
    <x v="0"/>
  </r>
  <r>
    <x v="565"/>
    <n v="8996"/>
    <n v="1939"/>
    <n v="10935"/>
    <x v="0"/>
    <x v="33"/>
    <x v="4"/>
    <x v="1"/>
    <x v="3"/>
    <x v="3"/>
    <n v="674"/>
    <x v="1"/>
    <n v="0"/>
    <x v="1"/>
    <n v="0.22"/>
    <x v="1"/>
    <x v="527"/>
    <n v="43118"/>
    <x v="0"/>
    <x v="533"/>
    <x v="2"/>
    <n v="24"/>
    <x v="5"/>
    <x v="4"/>
    <x v="2"/>
    <x v="0"/>
    <x v="1"/>
    <x v="1"/>
    <x v="0"/>
  </r>
  <r>
    <x v="566"/>
    <n v="14173"/>
    <n v="3953"/>
    <n v="18126"/>
    <x v="0"/>
    <x v="22"/>
    <x v="2"/>
    <x v="0"/>
    <x v="1"/>
    <x v="1"/>
    <n v="715"/>
    <x v="1"/>
    <n v="2"/>
    <x v="0"/>
    <n v="0.2"/>
    <x v="1"/>
    <x v="528"/>
    <n v="12521"/>
    <x v="0"/>
    <x v="534"/>
    <x v="0"/>
    <n v="48"/>
    <x v="1"/>
    <x v="1"/>
    <x v="0"/>
    <x v="1"/>
    <x v="1"/>
    <x v="0"/>
    <x v="1"/>
  </r>
  <r>
    <x v="567"/>
    <n v="6673"/>
    <n v="968"/>
    <n v="7641"/>
    <x v="0"/>
    <x v="28"/>
    <x v="0"/>
    <x v="0"/>
    <x v="0"/>
    <x v="0"/>
    <n v="550"/>
    <x v="2"/>
    <n v="1"/>
    <x v="0"/>
    <n v="0.23"/>
    <x v="1"/>
    <x v="529"/>
    <n v="24028"/>
    <x v="0"/>
    <x v="535"/>
    <x v="2"/>
    <n v="84"/>
    <x v="0"/>
    <x v="1"/>
    <x v="2"/>
    <x v="1"/>
    <x v="0"/>
    <x v="2"/>
    <x v="0"/>
  </r>
  <r>
    <x v="568"/>
    <n v="17781"/>
    <n v="9508"/>
    <n v="27289"/>
    <x v="1"/>
    <x v="19"/>
    <x v="4"/>
    <x v="1"/>
    <x v="1"/>
    <x v="1"/>
    <n v="550"/>
    <x v="2"/>
    <n v="3"/>
    <x v="0"/>
    <n v="0.5"/>
    <x v="3"/>
    <x v="2"/>
    <n v="0"/>
    <x v="1"/>
    <x v="536"/>
    <x v="0"/>
    <n v="36"/>
    <x v="4"/>
    <x v="2"/>
    <x v="2"/>
    <x v="1"/>
    <x v="0"/>
    <x v="3"/>
    <x v="0"/>
  </r>
  <r>
    <x v="569"/>
    <n v="15051"/>
    <n v="9235"/>
    <n v="24286"/>
    <x v="2"/>
    <x v="9"/>
    <x v="2"/>
    <x v="0"/>
    <x v="0"/>
    <x v="0"/>
    <n v="756"/>
    <x v="3"/>
    <n v="2"/>
    <x v="0"/>
    <n v="0.24"/>
    <x v="1"/>
    <x v="530"/>
    <n v="27301"/>
    <x v="0"/>
    <x v="537"/>
    <x v="2"/>
    <n v="84"/>
    <x v="0"/>
    <x v="4"/>
    <x v="0"/>
    <x v="1"/>
    <x v="1"/>
    <x v="0"/>
    <x v="1"/>
  </r>
  <r>
    <x v="570"/>
    <n v="8881"/>
    <n v="281"/>
    <n v="9162"/>
    <x v="4"/>
    <x v="20"/>
    <x v="0"/>
    <x v="0"/>
    <x v="0"/>
    <x v="0"/>
    <n v="637"/>
    <x v="0"/>
    <n v="0"/>
    <x v="1"/>
    <n v="0.2"/>
    <x v="1"/>
    <x v="531"/>
    <n v="38015"/>
    <x v="0"/>
    <x v="538"/>
    <x v="2"/>
    <n v="12"/>
    <x v="6"/>
    <x v="2"/>
    <x v="2"/>
    <x v="1"/>
    <x v="1"/>
    <x v="2"/>
    <x v="0"/>
  </r>
  <r>
    <x v="571"/>
    <n v="8949"/>
    <n v="6262"/>
    <n v="15211"/>
    <x v="2"/>
    <x v="10"/>
    <x v="0"/>
    <x v="0"/>
    <x v="0"/>
    <x v="0"/>
    <n v="766"/>
    <x v="3"/>
    <n v="4"/>
    <x v="0"/>
    <n v="0.35"/>
    <x v="2"/>
    <x v="532"/>
    <n v="21740"/>
    <x v="0"/>
    <x v="539"/>
    <x v="2"/>
    <n v="24"/>
    <x v="5"/>
    <x v="4"/>
    <x v="2"/>
    <x v="1"/>
    <x v="0"/>
    <x v="0"/>
    <x v="1"/>
  </r>
  <r>
    <x v="572"/>
    <n v="11521"/>
    <n v="1058"/>
    <n v="12579"/>
    <x v="3"/>
    <x v="1"/>
    <x v="0"/>
    <x v="0"/>
    <x v="3"/>
    <x v="3"/>
    <n v="550"/>
    <x v="2"/>
    <n v="1"/>
    <x v="0"/>
    <n v="0.53"/>
    <x v="0"/>
    <x v="533"/>
    <n v="36845"/>
    <x v="0"/>
    <x v="540"/>
    <x v="0"/>
    <n v="24"/>
    <x v="5"/>
    <x v="1"/>
    <x v="0"/>
    <x v="1"/>
    <x v="1"/>
    <x v="0"/>
    <x v="0"/>
  </r>
  <r>
    <x v="573"/>
    <n v="10017"/>
    <n v="4293"/>
    <n v="14310"/>
    <x v="2"/>
    <x v="3"/>
    <x v="2"/>
    <x v="0"/>
    <x v="1"/>
    <x v="1"/>
    <n v="684"/>
    <x v="1"/>
    <n v="2"/>
    <x v="0"/>
    <n v="0.22"/>
    <x v="1"/>
    <x v="534"/>
    <n v="21282"/>
    <x v="0"/>
    <x v="541"/>
    <x v="1"/>
    <n v="12"/>
    <x v="6"/>
    <x v="2"/>
    <x v="0"/>
    <x v="1"/>
    <x v="1"/>
    <x v="4"/>
    <x v="1"/>
  </r>
  <r>
    <x v="574"/>
    <n v="8941"/>
    <n v="5178"/>
    <n v="14119"/>
    <x v="4"/>
    <x v="28"/>
    <x v="0"/>
    <x v="0"/>
    <x v="3"/>
    <x v="3"/>
    <n v="734"/>
    <x v="1"/>
    <n v="3"/>
    <x v="0"/>
    <n v="0.14000000000000001"/>
    <x v="1"/>
    <x v="535"/>
    <n v="10858"/>
    <x v="0"/>
    <x v="542"/>
    <x v="2"/>
    <n v="48"/>
    <x v="1"/>
    <x v="0"/>
    <x v="0"/>
    <x v="1"/>
    <x v="1"/>
    <x v="0"/>
    <x v="1"/>
  </r>
  <r>
    <x v="575"/>
    <n v="12209"/>
    <n v="6980"/>
    <n v="19189"/>
    <x v="1"/>
    <x v="23"/>
    <x v="0"/>
    <x v="0"/>
    <x v="1"/>
    <x v="1"/>
    <n v="550"/>
    <x v="2"/>
    <n v="0"/>
    <x v="1"/>
    <n v="0.28000000000000003"/>
    <x v="1"/>
    <x v="536"/>
    <n v="44159"/>
    <x v="0"/>
    <x v="543"/>
    <x v="0"/>
    <n v="84"/>
    <x v="0"/>
    <x v="4"/>
    <x v="0"/>
    <x v="0"/>
    <x v="1"/>
    <x v="4"/>
    <x v="0"/>
  </r>
  <r>
    <x v="576"/>
    <n v="19715"/>
    <n v="9200"/>
    <n v="28915"/>
    <x v="0"/>
    <x v="36"/>
    <x v="1"/>
    <x v="0"/>
    <x v="3"/>
    <x v="3"/>
    <n v="689"/>
    <x v="1"/>
    <n v="0"/>
    <x v="1"/>
    <n v="0.35"/>
    <x v="2"/>
    <x v="537"/>
    <n v="43714"/>
    <x v="0"/>
    <x v="544"/>
    <x v="3"/>
    <n v="84"/>
    <x v="0"/>
    <x v="1"/>
    <x v="1"/>
    <x v="1"/>
    <x v="1"/>
    <x v="0"/>
    <x v="0"/>
  </r>
  <r>
    <x v="577"/>
    <n v="6637"/>
    <n v="9227"/>
    <n v="15864"/>
    <x v="0"/>
    <x v="20"/>
    <x v="0"/>
    <x v="0"/>
    <x v="0"/>
    <x v="0"/>
    <n v="682"/>
    <x v="1"/>
    <n v="3"/>
    <x v="0"/>
    <n v="0.51"/>
    <x v="0"/>
    <x v="538"/>
    <n v="34185"/>
    <x v="0"/>
    <x v="545"/>
    <x v="1"/>
    <n v="72"/>
    <x v="2"/>
    <x v="4"/>
    <x v="0"/>
    <x v="1"/>
    <x v="0"/>
    <x v="0"/>
    <x v="0"/>
  </r>
  <r>
    <x v="578"/>
    <n v="6854"/>
    <n v="4585"/>
    <n v="11439"/>
    <x v="3"/>
    <x v="3"/>
    <x v="2"/>
    <x v="1"/>
    <x v="0"/>
    <x v="0"/>
    <n v="657"/>
    <x v="0"/>
    <n v="0"/>
    <x v="1"/>
    <n v="0.57999999999999996"/>
    <x v="0"/>
    <x v="539"/>
    <n v="31194"/>
    <x v="0"/>
    <x v="546"/>
    <x v="0"/>
    <n v="72"/>
    <x v="2"/>
    <x v="4"/>
    <x v="0"/>
    <x v="1"/>
    <x v="1"/>
    <x v="1"/>
    <x v="0"/>
  </r>
  <r>
    <x v="579"/>
    <n v="12320"/>
    <n v="8467"/>
    <n v="20787"/>
    <x v="2"/>
    <x v="24"/>
    <x v="2"/>
    <x v="1"/>
    <x v="3"/>
    <x v="3"/>
    <n v="727"/>
    <x v="1"/>
    <n v="1"/>
    <x v="0"/>
    <n v="0.5"/>
    <x v="3"/>
    <x v="540"/>
    <n v="25230"/>
    <x v="0"/>
    <x v="547"/>
    <x v="3"/>
    <n v="72"/>
    <x v="2"/>
    <x v="0"/>
    <x v="0"/>
    <x v="1"/>
    <x v="0"/>
    <x v="0"/>
    <x v="0"/>
  </r>
  <r>
    <x v="580"/>
    <n v="6892"/>
    <n v="2740"/>
    <n v="9632"/>
    <x v="0"/>
    <x v="37"/>
    <x v="1"/>
    <x v="0"/>
    <x v="2"/>
    <x v="2"/>
    <n v="591"/>
    <x v="0"/>
    <n v="0"/>
    <x v="1"/>
    <n v="0.4"/>
    <x v="2"/>
    <x v="541"/>
    <n v="27018"/>
    <x v="0"/>
    <x v="548"/>
    <x v="2"/>
    <n v="72"/>
    <x v="2"/>
    <x v="4"/>
    <x v="0"/>
    <x v="1"/>
    <x v="1"/>
    <x v="2"/>
    <x v="0"/>
  </r>
  <r>
    <x v="581"/>
    <n v="9043"/>
    <n v="2289"/>
    <n v="11332"/>
    <x v="0"/>
    <x v="15"/>
    <x v="1"/>
    <x v="0"/>
    <x v="0"/>
    <x v="0"/>
    <n v="651"/>
    <x v="0"/>
    <n v="3"/>
    <x v="0"/>
    <n v="0.35"/>
    <x v="2"/>
    <x v="542"/>
    <n v="49262"/>
    <x v="0"/>
    <x v="549"/>
    <x v="2"/>
    <n v="72"/>
    <x v="2"/>
    <x v="4"/>
    <x v="2"/>
    <x v="1"/>
    <x v="1"/>
    <x v="1"/>
    <x v="1"/>
  </r>
  <r>
    <x v="582"/>
    <n v="18521"/>
    <n v="1239"/>
    <n v="19760"/>
    <x v="2"/>
    <x v="20"/>
    <x v="0"/>
    <x v="1"/>
    <x v="1"/>
    <x v="1"/>
    <n v="673"/>
    <x v="1"/>
    <n v="0"/>
    <x v="1"/>
    <n v="0.12"/>
    <x v="1"/>
    <x v="543"/>
    <n v="24665"/>
    <x v="0"/>
    <x v="550"/>
    <x v="1"/>
    <n v="12"/>
    <x v="6"/>
    <x v="0"/>
    <x v="1"/>
    <x v="0"/>
    <x v="1"/>
    <x v="0"/>
    <x v="1"/>
  </r>
  <r>
    <x v="583"/>
    <n v="0"/>
    <n v="5370"/>
    <n v="5370"/>
    <x v="0"/>
    <x v="29"/>
    <x v="2"/>
    <x v="0"/>
    <x v="0"/>
    <x v="0"/>
    <n v="689"/>
    <x v="1"/>
    <n v="4"/>
    <x v="0"/>
    <n v="0.59"/>
    <x v="0"/>
    <x v="544"/>
    <n v="41722"/>
    <x v="0"/>
    <x v="551"/>
    <x v="0"/>
    <n v="24"/>
    <x v="5"/>
    <x v="0"/>
    <x v="1"/>
    <x v="0"/>
    <x v="1"/>
    <x v="0"/>
    <x v="0"/>
  </r>
  <r>
    <x v="584"/>
    <n v="9941"/>
    <n v="125"/>
    <n v="10066"/>
    <x v="0"/>
    <x v="29"/>
    <x v="2"/>
    <x v="0"/>
    <x v="0"/>
    <x v="0"/>
    <n v="652"/>
    <x v="0"/>
    <n v="2"/>
    <x v="0"/>
    <n v="0.28999999999999998"/>
    <x v="1"/>
    <x v="545"/>
    <n v="46359"/>
    <x v="0"/>
    <x v="552"/>
    <x v="2"/>
    <n v="48"/>
    <x v="1"/>
    <x v="2"/>
    <x v="0"/>
    <x v="1"/>
    <x v="1"/>
    <x v="3"/>
    <x v="1"/>
  </r>
  <r>
    <x v="585"/>
    <n v="16388"/>
    <n v="7473"/>
    <n v="23861"/>
    <x v="2"/>
    <x v="31"/>
    <x v="4"/>
    <x v="1"/>
    <x v="0"/>
    <x v="0"/>
    <n v="695"/>
    <x v="1"/>
    <n v="3"/>
    <x v="0"/>
    <n v="0.35"/>
    <x v="2"/>
    <x v="546"/>
    <n v="40159"/>
    <x v="0"/>
    <x v="553"/>
    <x v="2"/>
    <n v="36"/>
    <x v="4"/>
    <x v="1"/>
    <x v="1"/>
    <x v="0"/>
    <x v="1"/>
    <x v="1"/>
    <x v="1"/>
  </r>
  <r>
    <x v="586"/>
    <n v="7569"/>
    <n v="9400"/>
    <n v="16969"/>
    <x v="0"/>
    <x v="9"/>
    <x v="2"/>
    <x v="1"/>
    <x v="3"/>
    <x v="3"/>
    <n v="743"/>
    <x v="3"/>
    <n v="0"/>
    <x v="1"/>
    <n v="0.43"/>
    <x v="3"/>
    <x v="547"/>
    <n v="44132"/>
    <x v="0"/>
    <x v="554"/>
    <x v="2"/>
    <n v="72"/>
    <x v="2"/>
    <x v="1"/>
    <x v="1"/>
    <x v="0"/>
    <x v="1"/>
    <x v="0"/>
    <x v="0"/>
  </r>
  <r>
    <x v="587"/>
    <n v="6300"/>
    <n v="5342"/>
    <n v="11642"/>
    <x v="0"/>
    <x v="19"/>
    <x v="4"/>
    <x v="1"/>
    <x v="3"/>
    <x v="3"/>
    <n v="623"/>
    <x v="0"/>
    <n v="0"/>
    <x v="1"/>
    <n v="0.24"/>
    <x v="1"/>
    <x v="548"/>
    <n v="43139"/>
    <x v="0"/>
    <x v="555"/>
    <x v="3"/>
    <n v="12"/>
    <x v="6"/>
    <x v="2"/>
    <x v="1"/>
    <x v="1"/>
    <x v="1"/>
    <x v="0"/>
    <x v="0"/>
  </r>
  <r>
    <x v="588"/>
    <n v="8269"/>
    <n v="7351"/>
    <n v="15620"/>
    <x v="1"/>
    <x v="4"/>
    <x v="1"/>
    <x v="0"/>
    <x v="1"/>
    <x v="1"/>
    <n v="756"/>
    <x v="3"/>
    <n v="4"/>
    <x v="0"/>
    <n v="0.39"/>
    <x v="2"/>
    <x v="549"/>
    <n v="21516"/>
    <x v="0"/>
    <x v="556"/>
    <x v="2"/>
    <n v="84"/>
    <x v="0"/>
    <x v="1"/>
    <x v="0"/>
    <x v="1"/>
    <x v="0"/>
    <x v="1"/>
    <x v="1"/>
  </r>
  <r>
    <x v="589"/>
    <n v="5818"/>
    <n v="6638"/>
    <n v="12456"/>
    <x v="2"/>
    <x v="3"/>
    <x v="2"/>
    <x v="1"/>
    <x v="1"/>
    <x v="1"/>
    <n v="771"/>
    <x v="3"/>
    <n v="4"/>
    <x v="0"/>
    <n v="0.39"/>
    <x v="2"/>
    <x v="550"/>
    <n v="35272"/>
    <x v="0"/>
    <x v="557"/>
    <x v="2"/>
    <n v="48"/>
    <x v="1"/>
    <x v="4"/>
    <x v="2"/>
    <x v="1"/>
    <x v="0"/>
    <x v="0"/>
    <x v="0"/>
  </r>
  <r>
    <x v="590"/>
    <n v="14015"/>
    <n v="6570"/>
    <n v="20585"/>
    <x v="1"/>
    <x v="14"/>
    <x v="2"/>
    <x v="0"/>
    <x v="0"/>
    <x v="0"/>
    <n v="657"/>
    <x v="0"/>
    <n v="1"/>
    <x v="0"/>
    <n v="0.32"/>
    <x v="2"/>
    <x v="551"/>
    <n v="24673"/>
    <x v="0"/>
    <x v="558"/>
    <x v="2"/>
    <n v="48"/>
    <x v="1"/>
    <x v="2"/>
    <x v="2"/>
    <x v="1"/>
    <x v="1"/>
    <x v="4"/>
    <x v="1"/>
  </r>
  <r>
    <x v="591"/>
    <n v="14234"/>
    <n v="3249"/>
    <n v="17483"/>
    <x v="0"/>
    <x v="31"/>
    <x v="4"/>
    <x v="1"/>
    <x v="0"/>
    <x v="0"/>
    <n v="550"/>
    <x v="2"/>
    <n v="4"/>
    <x v="0"/>
    <n v="0.52"/>
    <x v="0"/>
    <x v="552"/>
    <n v="5239"/>
    <x v="0"/>
    <x v="559"/>
    <x v="3"/>
    <n v="48"/>
    <x v="1"/>
    <x v="2"/>
    <x v="0"/>
    <x v="0"/>
    <x v="0"/>
    <x v="2"/>
    <x v="0"/>
  </r>
  <r>
    <x v="592"/>
    <n v="8254"/>
    <n v="9110"/>
    <n v="17364"/>
    <x v="0"/>
    <x v="10"/>
    <x v="0"/>
    <x v="0"/>
    <x v="3"/>
    <x v="3"/>
    <n v="566"/>
    <x v="2"/>
    <n v="1"/>
    <x v="0"/>
    <n v="0.23"/>
    <x v="1"/>
    <x v="553"/>
    <n v="0"/>
    <x v="1"/>
    <x v="560"/>
    <x v="2"/>
    <n v="12"/>
    <x v="6"/>
    <x v="1"/>
    <x v="1"/>
    <x v="1"/>
    <x v="0"/>
    <x v="0"/>
    <x v="0"/>
  </r>
  <r>
    <x v="593"/>
    <n v="19144"/>
    <n v="7595"/>
    <n v="26739"/>
    <x v="0"/>
    <x v="21"/>
    <x v="1"/>
    <x v="0"/>
    <x v="0"/>
    <x v="0"/>
    <n v="745"/>
    <x v="3"/>
    <n v="0"/>
    <x v="1"/>
    <n v="0.32"/>
    <x v="2"/>
    <x v="554"/>
    <n v="26415"/>
    <x v="0"/>
    <x v="561"/>
    <x v="0"/>
    <n v="36"/>
    <x v="4"/>
    <x v="3"/>
    <x v="0"/>
    <x v="1"/>
    <x v="1"/>
    <x v="3"/>
    <x v="1"/>
  </r>
  <r>
    <x v="594"/>
    <n v="9350"/>
    <n v="6294"/>
    <n v="15644"/>
    <x v="1"/>
    <x v="13"/>
    <x v="2"/>
    <x v="1"/>
    <x v="0"/>
    <x v="0"/>
    <n v="620"/>
    <x v="0"/>
    <n v="1"/>
    <x v="0"/>
    <n v="0.37"/>
    <x v="2"/>
    <x v="555"/>
    <n v="37888"/>
    <x v="0"/>
    <x v="562"/>
    <x v="2"/>
    <n v="72"/>
    <x v="2"/>
    <x v="1"/>
    <x v="0"/>
    <x v="1"/>
    <x v="1"/>
    <x v="2"/>
    <x v="0"/>
  </r>
  <r>
    <x v="595"/>
    <n v="17183"/>
    <n v="6527"/>
    <n v="23710"/>
    <x v="2"/>
    <x v="12"/>
    <x v="1"/>
    <x v="0"/>
    <x v="3"/>
    <x v="3"/>
    <n v="611"/>
    <x v="0"/>
    <n v="1"/>
    <x v="0"/>
    <n v="0.43"/>
    <x v="3"/>
    <x v="556"/>
    <n v="27195"/>
    <x v="0"/>
    <x v="563"/>
    <x v="2"/>
    <n v="48"/>
    <x v="1"/>
    <x v="3"/>
    <x v="1"/>
    <x v="1"/>
    <x v="1"/>
    <x v="2"/>
    <x v="0"/>
  </r>
  <r>
    <x v="596"/>
    <n v="8090"/>
    <n v="1969"/>
    <n v="10059"/>
    <x v="2"/>
    <x v="32"/>
    <x v="3"/>
    <x v="1"/>
    <x v="0"/>
    <x v="0"/>
    <n v="772"/>
    <x v="3"/>
    <n v="4"/>
    <x v="0"/>
    <n v="0.3"/>
    <x v="1"/>
    <x v="557"/>
    <n v="29323"/>
    <x v="0"/>
    <x v="564"/>
    <x v="2"/>
    <n v="84"/>
    <x v="0"/>
    <x v="3"/>
    <x v="1"/>
    <x v="1"/>
    <x v="1"/>
    <x v="3"/>
    <x v="1"/>
  </r>
  <r>
    <x v="597"/>
    <n v="13637"/>
    <n v="891"/>
    <n v="14528"/>
    <x v="0"/>
    <x v="9"/>
    <x v="2"/>
    <x v="0"/>
    <x v="2"/>
    <x v="2"/>
    <n v="792"/>
    <x v="3"/>
    <n v="1"/>
    <x v="0"/>
    <n v="0.42"/>
    <x v="3"/>
    <x v="558"/>
    <n v="34964"/>
    <x v="0"/>
    <x v="565"/>
    <x v="0"/>
    <n v="24"/>
    <x v="5"/>
    <x v="4"/>
    <x v="2"/>
    <x v="1"/>
    <x v="1"/>
    <x v="1"/>
    <x v="0"/>
  </r>
  <r>
    <x v="598"/>
    <n v="11911"/>
    <n v="7175"/>
    <n v="19086"/>
    <x v="0"/>
    <x v="14"/>
    <x v="2"/>
    <x v="0"/>
    <x v="3"/>
    <x v="3"/>
    <n v="780"/>
    <x v="3"/>
    <n v="3"/>
    <x v="0"/>
    <n v="0.56999999999999995"/>
    <x v="0"/>
    <x v="559"/>
    <n v="30763"/>
    <x v="0"/>
    <x v="566"/>
    <x v="2"/>
    <n v="12"/>
    <x v="6"/>
    <x v="3"/>
    <x v="0"/>
    <x v="0"/>
    <x v="0"/>
    <x v="1"/>
    <x v="0"/>
  </r>
  <r>
    <x v="599"/>
    <n v="10472"/>
    <n v="9556"/>
    <n v="20028"/>
    <x v="0"/>
    <x v="31"/>
    <x v="4"/>
    <x v="1"/>
    <x v="2"/>
    <x v="2"/>
    <n v="668"/>
    <x v="0"/>
    <n v="1"/>
    <x v="0"/>
    <n v="0.28999999999999998"/>
    <x v="1"/>
    <x v="560"/>
    <n v="0"/>
    <x v="1"/>
    <x v="567"/>
    <x v="0"/>
    <n v="12"/>
    <x v="6"/>
    <x v="0"/>
    <x v="2"/>
    <x v="0"/>
    <x v="0"/>
    <x v="3"/>
    <x v="1"/>
  </r>
  <r>
    <x v="600"/>
    <n v="5266"/>
    <n v="8320"/>
    <n v="13586"/>
    <x v="1"/>
    <x v="17"/>
    <x v="1"/>
    <x v="0"/>
    <x v="1"/>
    <x v="1"/>
    <n v="711"/>
    <x v="1"/>
    <n v="4"/>
    <x v="0"/>
    <n v="0.46"/>
    <x v="3"/>
    <x v="561"/>
    <n v="18105"/>
    <x v="0"/>
    <x v="568"/>
    <x v="2"/>
    <n v="12"/>
    <x v="6"/>
    <x v="4"/>
    <x v="2"/>
    <x v="0"/>
    <x v="1"/>
    <x v="0"/>
    <x v="0"/>
  </r>
  <r>
    <x v="601"/>
    <n v="2666"/>
    <n v="9206"/>
    <n v="11872"/>
    <x v="1"/>
    <x v="9"/>
    <x v="2"/>
    <x v="0"/>
    <x v="1"/>
    <x v="1"/>
    <n v="747"/>
    <x v="3"/>
    <n v="2"/>
    <x v="0"/>
    <n v="0.11"/>
    <x v="1"/>
    <x v="562"/>
    <n v="0"/>
    <x v="1"/>
    <x v="569"/>
    <x v="0"/>
    <n v="48"/>
    <x v="1"/>
    <x v="0"/>
    <x v="1"/>
    <x v="0"/>
    <x v="1"/>
    <x v="0"/>
    <x v="1"/>
  </r>
  <r>
    <x v="602"/>
    <n v="6188"/>
    <n v="9991"/>
    <n v="16179"/>
    <x v="0"/>
    <x v="3"/>
    <x v="2"/>
    <x v="1"/>
    <x v="1"/>
    <x v="1"/>
    <n v="791"/>
    <x v="3"/>
    <n v="0"/>
    <x v="1"/>
    <n v="0.35"/>
    <x v="2"/>
    <x v="563"/>
    <n v="29739"/>
    <x v="0"/>
    <x v="570"/>
    <x v="0"/>
    <n v="12"/>
    <x v="6"/>
    <x v="4"/>
    <x v="1"/>
    <x v="1"/>
    <x v="0"/>
    <x v="0"/>
    <x v="1"/>
  </r>
  <r>
    <x v="603"/>
    <n v="19055"/>
    <n v="6812"/>
    <n v="25867"/>
    <x v="1"/>
    <x v="20"/>
    <x v="0"/>
    <x v="0"/>
    <x v="2"/>
    <x v="2"/>
    <n v="550"/>
    <x v="2"/>
    <n v="2"/>
    <x v="0"/>
    <n v="0.34"/>
    <x v="2"/>
    <x v="564"/>
    <n v="48205"/>
    <x v="0"/>
    <x v="36"/>
    <x v="3"/>
    <n v="24"/>
    <x v="5"/>
    <x v="0"/>
    <x v="0"/>
    <x v="1"/>
    <x v="1"/>
    <x v="3"/>
    <x v="1"/>
  </r>
  <r>
    <x v="604"/>
    <n v="12161"/>
    <n v="7519"/>
    <n v="19680"/>
    <x v="0"/>
    <x v="20"/>
    <x v="0"/>
    <x v="1"/>
    <x v="2"/>
    <x v="2"/>
    <n v="594"/>
    <x v="0"/>
    <n v="3"/>
    <x v="0"/>
    <n v="0.54"/>
    <x v="0"/>
    <x v="565"/>
    <n v="31969"/>
    <x v="0"/>
    <x v="571"/>
    <x v="1"/>
    <n v="48"/>
    <x v="1"/>
    <x v="0"/>
    <x v="0"/>
    <x v="1"/>
    <x v="1"/>
    <x v="0"/>
    <x v="0"/>
  </r>
  <r>
    <x v="605"/>
    <n v="13314"/>
    <n v="4612"/>
    <n v="17926"/>
    <x v="2"/>
    <x v="19"/>
    <x v="4"/>
    <x v="0"/>
    <x v="1"/>
    <x v="1"/>
    <n v="607"/>
    <x v="0"/>
    <n v="1"/>
    <x v="0"/>
    <n v="0.36"/>
    <x v="2"/>
    <x v="566"/>
    <n v="14497"/>
    <x v="0"/>
    <x v="36"/>
    <x v="3"/>
    <n v="84"/>
    <x v="0"/>
    <x v="1"/>
    <x v="1"/>
    <x v="1"/>
    <x v="1"/>
    <x v="1"/>
    <x v="0"/>
  </r>
  <r>
    <x v="606"/>
    <n v="14891"/>
    <n v="9710"/>
    <n v="24601"/>
    <x v="3"/>
    <x v="29"/>
    <x v="2"/>
    <x v="0"/>
    <x v="0"/>
    <x v="0"/>
    <n v="728"/>
    <x v="1"/>
    <n v="1"/>
    <x v="0"/>
    <n v="0.56000000000000005"/>
    <x v="0"/>
    <x v="567"/>
    <n v="1816"/>
    <x v="0"/>
    <x v="36"/>
    <x v="3"/>
    <n v="24"/>
    <x v="5"/>
    <x v="3"/>
    <x v="2"/>
    <x v="1"/>
    <x v="0"/>
    <x v="0"/>
    <x v="0"/>
  </r>
  <r>
    <x v="607"/>
    <n v="6777"/>
    <n v="1198"/>
    <n v="7975"/>
    <x v="0"/>
    <x v="19"/>
    <x v="4"/>
    <x v="1"/>
    <x v="0"/>
    <x v="0"/>
    <n v="675"/>
    <x v="1"/>
    <n v="4"/>
    <x v="0"/>
    <n v="0.34"/>
    <x v="2"/>
    <x v="568"/>
    <n v="26483"/>
    <x v="0"/>
    <x v="572"/>
    <x v="0"/>
    <n v="60"/>
    <x v="3"/>
    <x v="0"/>
    <x v="0"/>
    <x v="0"/>
    <x v="0"/>
    <x v="4"/>
    <x v="1"/>
  </r>
  <r>
    <x v="608"/>
    <n v="5900"/>
    <n v="5238"/>
    <n v="11138"/>
    <x v="1"/>
    <x v="15"/>
    <x v="1"/>
    <x v="0"/>
    <x v="2"/>
    <x v="2"/>
    <n v="711"/>
    <x v="1"/>
    <n v="0"/>
    <x v="1"/>
    <n v="0.35"/>
    <x v="2"/>
    <x v="569"/>
    <n v="43481"/>
    <x v="0"/>
    <x v="573"/>
    <x v="1"/>
    <n v="84"/>
    <x v="0"/>
    <x v="2"/>
    <x v="1"/>
    <x v="1"/>
    <x v="0"/>
    <x v="0"/>
    <x v="0"/>
  </r>
  <r>
    <x v="609"/>
    <n v="15716"/>
    <n v="6089"/>
    <n v="21805"/>
    <x v="0"/>
    <x v="25"/>
    <x v="4"/>
    <x v="0"/>
    <x v="2"/>
    <x v="2"/>
    <n v="593"/>
    <x v="0"/>
    <n v="0"/>
    <x v="1"/>
    <n v="0.16"/>
    <x v="1"/>
    <x v="570"/>
    <n v="22159"/>
    <x v="0"/>
    <x v="574"/>
    <x v="2"/>
    <n v="12"/>
    <x v="6"/>
    <x v="1"/>
    <x v="1"/>
    <x v="1"/>
    <x v="1"/>
    <x v="0"/>
    <x v="0"/>
  </r>
  <r>
    <x v="610"/>
    <n v="8981"/>
    <n v="6257"/>
    <n v="15238"/>
    <x v="0"/>
    <x v="4"/>
    <x v="1"/>
    <x v="0"/>
    <x v="2"/>
    <x v="2"/>
    <n v="564"/>
    <x v="2"/>
    <n v="3"/>
    <x v="0"/>
    <n v="0.5"/>
    <x v="3"/>
    <x v="571"/>
    <n v="3849"/>
    <x v="0"/>
    <x v="575"/>
    <x v="1"/>
    <n v="72"/>
    <x v="2"/>
    <x v="3"/>
    <x v="0"/>
    <x v="1"/>
    <x v="1"/>
    <x v="0"/>
    <x v="0"/>
  </r>
  <r>
    <x v="611"/>
    <n v="8376"/>
    <n v="7705"/>
    <n v="16081"/>
    <x v="0"/>
    <x v="0"/>
    <x v="0"/>
    <x v="1"/>
    <x v="1"/>
    <x v="1"/>
    <n v="627"/>
    <x v="0"/>
    <n v="2"/>
    <x v="0"/>
    <n v="0.22"/>
    <x v="1"/>
    <x v="572"/>
    <n v="21612"/>
    <x v="0"/>
    <x v="576"/>
    <x v="2"/>
    <n v="72"/>
    <x v="2"/>
    <x v="1"/>
    <x v="0"/>
    <x v="1"/>
    <x v="1"/>
    <x v="2"/>
    <x v="0"/>
  </r>
  <r>
    <x v="612"/>
    <n v="18907"/>
    <n v="3719"/>
    <n v="22626"/>
    <x v="2"/>
    <x v="10"/>
    <x v="0"/>
    <x v="0"/>
    <x v="0"/>
    <x v="0"/>
    <n v="619"/>
    <x v="0"/>
    <n v="3"/>
    <x v="0"/>
    <n v="0.55000000000000004"/>
    <x v="0"/>
    <x v="573"/>
    <n v="39617"/>
    <x v="0"/>
    <x v="577"/>
    <x v="3"/>
    <n v="48"/>
    <x v="1"/>
    <x v="3"/>
    <x v="2"/>
    <x v="0"/>
    <x v="0"/>
    <x v="1"/>
    <x v="0"/>
  </r>
  <r>
    <x v="613"/>
    <n v="12160"/>
    <n v="302"/>
    <n v="12462"/>
    <x v="1"/>
    <x v="7"/>
    <x v="0"/>
    <x v="0"/>
    <x v="2"/>
    <x v="2"/>
    <n v="727"/>
    <x v="1"/>
    <n v="1"/>
    <x v="0"/>
    <n v="0.56000000000000005"/>
    <x v="0"/>
    <x v="574"/>
    <n v="33826"/>
    <x v="0"/>
    <x v="578"/>
    <x v="3"/>
    <n v="72"/>
    <x v="2"/>
    <x v="4"/>
    <x v="2"/>
    <x v="1"/>
    <x v="1"/>
    <x v="0"/>
    <x v="0"/>
  </r>
  <r>
    <x v="614"/>
    <n v="0"/>
    <n v="0"/>
    <n v="0"/>
    <x v="4"/>
    <x v="3"/>
    <x v="2"/>
    <x v="0"/>
    <x v="2"/>
    <x v="2"/>
    <n v="550"/>
    <x v="2"/>
    <n v="2"/>
    <x v="0"/>
    <n v="0.56999999999999995"/>
    <x v="0"/>
    <x v="575"/>
    <n v="44498"/>
    <x v="0"/>
    <x v="579"/>
    <x v="2"/>
    <n v="48"/>
    <x v="1"/>
    <x v="0"/>
    <x v="1"/>
    <x v="1"/>
    <x v="1"/>
    <x v="4"/>
    <x v="0"/>
  </r>
  <r>
    <x v="615"/>
    <n v="12488"/>
    <n v="4909"/>
    <n v="17397"/>
    <x v="1"/>
    <x v="36"/>
    <x v="1"/>
    <x v="0"/>
    <x v="1"/>
    <x v="1"/>
    <n v="709"/>
    <x v="1"/>
    <n v="3"/>
    <x v="0"/>
    <n v="0.44"/>
    <x v="3"/>
    <x v="576"/>
    <n v="24563"/>
    <x v="0"/>
    <x v="580"/>
    <x v="2"/>
    <n v="84"/>
    <x v="0"/>
    <x v="1"/>
    <x v="2"/>
    <x v="0"/>
    <x v="1"/>
    <x v="0"/>
    <x v="0"/>
  </r>
  <r>
    <x v="616"/>
    <n v="7240"/>
    <n v="3072"/>
    <n v="10312"/>
    <x v="2"/>
    <x v="23"/>
    <x v="0"/>
    <x v="1"/>
    <x v="3"/>
    <x v="3"/>
    <n v="744"/>
    <x v="3"/>
    <n v="2"/>
    <x v="0"/>
    <n v="0.49"/>
    <x v="3"/>
    <x v="577"/>
    <n v="4359"/>
    <x v="0"/>
    <x v="581"/>
    <x v="2"/>
    <n v="12"/>
    <x v="6"/>
    <x v="2"/>
    <x v="2"/>
    <x v="1"/>
    <x v="1"/>
    <x v="1"/>
    <x v="0"/>
  </r>
  <r>
    <x v="617"/>
    <n v="12453"/>
    <n v="3124"/>
    <n v="15577"/>
    <x v="1"/>
    <x v="0"/>
    <x v="0"/>
    <x v="1"/>
    <x v="0"/>
    <x v="0"/>
    <n v="552"/>
    <x v="2"/>
    <n v="2"/>
    <x v="0"/>
    <n v="0.17"/>
    <x v="1"/>
    <x v="578"/>
    <n v="30669"/>
    <x v="0"/>
    <x v="582"/>
    <x v="0"/>
    <n v="36"/>
    <x v="4"/>
    <x v="1"/>
    <x v="1"/>
    <x v="1"/>
    <x v="0"/>
    <x v="0"/>
    <x v="0"/>
  </r>
  <r>
    <x v="618"/>
    <n v="12478"/>
    <n v="9519"/>
    <n v="21997"/>
    <x v="1"/>
    <x v="8"/>
    <x v="0"/>
    <x v="0"/>
    <x v="3"/>
    <x v="3"/>
    <n v="763"/>
    <x v="3"/>
    <n v="2"/>
    <x v="0"/>
    <n v="0.4"/>
    <x v="2"/>
    <x v="579"/>
    <n v="12809"/>
    <x v="0"/>
    <x v="583"/>
    <x v="2"/>
    <n v="36"/>
    <x v="4"/>
    <x v="1"/>
    <x v="0"/>
    <x v="0"/>
    <x v="1"/>
    <x v="1"/>
    <x v="0"/>
  </r>
  <r>
    <x v="619"/>
    <n v="14394"/>
    <n v="8125"/>
    <n v="22519"/>
    <x v="0"/>
    <x v="9"/>
    <x v="2"/>
    <x v="0"/>
    <x v="3"/>
    <x v="3"/>
    <n v="635"/>
    <x v="0"/>
    <n v="0"/>
    <x v="1"/>
    <n v="0.12"/>
    <x v="1"/>
    <x v="11"/>
    <n v="0"/>
    <x v="1"/>
    <x v="584"/>
    <x v="2"/>
    <n v="24"/>
    <x v="5"/>
    <x v="0"/>
    <x v="0"/>
    <x v="1"/>
    <x v="1"/>
    <x v="4"/>
    <x v="0"/>
  </r>
  <r>
    <x v="620"/>
    <n v="6432"/>
    <n v="3291"/>
    <n v="9723"/>
    <x v="0"/>
    <x v="28"/>
    <x v="0"/>
    <x v="0"/>
    <x v="3"/>
    <x v="3"/>
    <n v="623"/>
    <x v="0"/>
    <n v="3"/>
    <x v="0"/>
    <n v="0.35"/>
    <x v="2"/>
    <x v="580"/>
    <n v="29454"/>
    <x v="0"/>
    <x v="585"/>
    <x v="0"/>
    <n v="12"/>
    <x v="6"/>
    <x v="3"/>
    <x v="1"/>
    <x v="1"/>
    <x v="1"/>
    <x v="2"/>
    <x v="0"/>
  </r>
  <r>
    <x v="621"/>
    <n v="15568"/>
    <n v="4033"/>
    <n v="19601"/>
    <x v="3"/>
    <x v="32"/>
    <x v="3"/>
    <x v="0"/>
    <x v="1"/>
    <x v="1"/>
    <n v="600"/>
    <x v="0"/>
    <n v="2"/>
    <x v="0"/>
    <n v="0.18"/>
    <x v="1"/>
    <x v="581"/>
    <n v="7254"/>
    <x v="0"/>
    <x v="586"/>
    <x v="2"/>
    <n v="72"/>
    <x v="2"/>
    <x v="0"/>
    <x v="0"/>
    <x v="1"/>
    <x v="1"/>
    <x v="3"/>
    <x v="0"/>
  </r>
  <r>
    <x v="622"/>
    <n v="16178"/>
    <n v="0"/>
    <n v="16178"/>
    <x v="0"/>
    <x v="21"/>
    <x v="1"/>
    <x v="1"/>
    <x v="0"/>
    <x v="0"/>
    <n v="616"/>
    <x v="0"/>
    <n v="0"/>
    <x v="1"/>
    <n v="0.19"/>
    <x v="1"/>
    <x v="582"/>
    <n v="45590"/>
    <x v="0"/>
    <x v="587"/>
    <x v="1"/>
    <n v="12"/>
    <x v="6"/>
    <x v="4"/>
    <x v="0"/>
    <x v="0"/>
    <x v="1"/>
    <x v="4"/>
    <x v="0"/>
  </r>
  <r>
    <x v="623"/>
    <n v="19660"/>
    <n v="703"/>
    <n v="20363"/>
    <x v="3"/>
    <x v="36"/>
    <x v="1"/>
    <x v="0"/>
    <x v="3"/>
    <x v="3"/>
    <n v="625"/>
    <x v="0"/>
    <n v="2"/>
    <x v="0"/>
    <n v="0.28000000000000003"/>
    <x v="1"/>
    <x v="583"/>
    <n v="24785"/>
    <x v="0"/>
    <x v="588"/>
    <x v="2"/>
    <n v="60"/>
    <x v="3"/>
    <x v="0"/>
    <x v="0"/>
    <x v="1"/>
    <x v="0"/>
    <x v="4"/>
    <x v="0"/>
  </r>
  <r>
    <x v="624"/>
    <n v="2302"/>
    <n v="8133"/>
    <n v="10435"/>
    <x v="1"/>
    <x v="27"/>
    <x v="3"/>
    <x v="0"/>
    <x v="1"/>
    <x v="1"/>
    <n v="642"/>
    <x v="0"/>
    <n v="4"/>
    <x v="0"/>
    <n v="0.32"/>
    <x v="2"/>
    <x v="584"/>
    <n v="2093"/>
    <x v="0"/>
    <x v="589"/>
    <x v="2"/>
    <n v="36"/>
    <x v="4"/>
    <x v="0"/>
    <x v="0"/>
    <x v="1"/>
    <x v="1"/>
    <x v="2"/>
    <x v="0"/>
  </r>
  <r>
    <x v="625"/>
    <n v="19022"/>
    <n v="574"/>
    <n v="19596"/>
    <x v="0"/>
    <x v="34"/>
    <x v="3"/>
    <x v="1"/>
    <x v="0"/>
    <x v="0"/>
    <n v="725"/>
    <x v="1"/>
    <n v="4"/>
    <x v="0"/>
    <n v="0.41"/>
    <x v="3"/>
    <x v="585"/>
    <n v="44498"/>
    <x v="0"/>
    <x v="590"/>
    <x v="0"/>
    <n v="72"/>
    <x v="2"/>
    <x v="4"/>
    <x v="0"/>
    <x v="1"/>
    <x v="0"/>
    <x v="2"/>
    <x v="0"/>
  </r>
  <r>
    <x v="626"/>
    <n v="2055"/>
    <n v="5704"/>
    <n v="7759"/>
    <x v="0"/>
    <x v="10"/>
    <x v="0"/>
    <x v="0"/>
    <x v="2"/>
    <x v="2"/>
    <n v="694"/>
    <x v="1"/>
    <n v="0"/>
    <x v="1"/>
    <n v="0.14000000000000001"/>
    <x v="1"/>
    <x v="586"/>
    <n v="40985"/>
    <x v="0"/>
    <x v="591"/>
    <x v="2"/>
    <n v="84"/>
    <x v="0"/>
    <x v="0"/>
    <x v="0"/>
    <x v="1"/>
    <x v="1"/>
    <x v="2"/>
    <x v="0"/>
  </r>
  <r>
    <x v="627"/>
    <n v="15013"/>
    <n v="7848"/>
    <n v="22861"/>
    <x v="0"/>
    <x v="22"/>
    <x v="2"/>
    <x v="1"/>
    <x v="3"/>
    <x v="3"/>
    <n v="556"/>
    <x v="2"/>
    <n v="1"/>
    <x v="0"/>
    <n v="0.35"/>
    <x v="2"/>
    <x v="587"/>
    <n v="32009"/>
    <x v="0"/>
    <x v="592"/>
    <x v="1"/>
    <n v="84"/>
    <x v="0"/>
    <x v="3"/>
    <x v="1"/>
    <x v="1"/>
    <x v="1"/>
    <x v="4"/>
    <x v="0"/>
  </r>
  <r>
    <x v="628"/>
    <n v="10717"/>
    <n v="5208"/>
    <n v="15925"/>
    <x v="3"/>
    <x v="26"/>
    <x v="3"/>
    <x v="0"/>
    <x v="0"/>
    <x v="0"/>
    <n v="562"/>
    <x v="2"/>
    <n v="2"/>
    <x v="0"/>
    <n v="0.19"/>
    <x v="1"/>
    <x v="588"/>
    <n v="16558"/>
    <x v="0"/>
    <x v="36"/>
    <x v="3"/>
    <n v="36"/>
    <x v="4"/>
    <x v="2"/>
    <x v="2"/>
    <x v="1"/>
    <x v="1"/>
    <x v="0"/>
    <x v="0"/>
  </r>
  <r>
    <x v="629"/>
    <n v="10150"/>
    <n v="6924"/>
    <n v="17074"/>
    <x v="0"/>
    <x v="27"/>
    <x v="3"/>
    <x v="1"/>
    <x v="3"/>
    <x v="3"/>
    <n v="669"/>
    <x v="0"/>
    <n v="1"/>
    <x v="0"/>
    <n v="0.39"/>
    <x v="2"/>
    <x v="589"/>
    <n v="17718"/>
    <x v="0"/>
    <x v="593"/>
    <x v="0"/>
    <n v="12"/>
    <x v="6"/>
    <x v="4"/>
    <x v="2"/>
    <x v="1"/>
    <x v="0"/>
    <x v="0"/>
    <x v="1"/>
  </r>
  <r>
    <x v="630"/>
    <n v="4125"/>
    <n v="3828"/>
    <n v="7953"/>
    <x v="0"/>
    <x v="29"/>
    <x v="2"/>
    <x v="1"/>
    <x v="0"/>
    <x v="0"/>
    <n v="615"/>
    <x v="0"/>
    <n v="3"/>
    <x v="0"/>
    <n v="0.35"/>
    <x v="2"/>
    <x v="590"/>
    <n v="16705"/>
    <x v="0"/>
    <x v="594"/>
    <x v="2"/>
    <n v="72"/>
    <x v="2"/>
    <x v="1"/>
    <x v="0"/>
    <x v="1"/>
    <x v="1"/>
    <x v="0"/>
    <x v="0"/>
  </r>
  <r>
    <x v="631"/>
    <n v="17745"/>
    <n v="0"/>
    <n v="17745"/>
    <x v="0"/>
    <x v="37"/>
    <x v="1"/>
    <x v="1"/>
    <x v="1"/>
    <x v="1"/>
    <n v="687"/>
    <x v="1"/>
    <n v="3"/>
    <x v="0"/>
    <n v="0.47"/>
    <x v="3"/>
    <x v="591"/>
    <n v="12342"/>
    <x v="0"/>
    <x v="595"/>
    <x v="0"/>
    <n v="84"/>
    <x v="0"/>
    <x v="2"/>
    <x v="2"/>
    <x v="1"/>
    <x v="0"/>
    <x v="3"/>
    <x v="0"/>
  </r>
  <r>
    <x v="632"/>
    <n v="18748"/>
    <n v="7114"/>
    <n v="25862"/>
    <x v="4"/>
    <x v="23"/>
    <x v="0"/>
    <x v="0"/>
    <x v="0"/>
    <x v="0"/>
    <n v="780"/>
    <x v="3"/>
    <n v="3"/>
    <x v="0"/>
    <n v="0.27"/>
    <x v="1"/>
    <x v="592"/>
    <n v="12239"/>
    <x v="0"/>
    <x v="596"/>
    <x v="0"/>
    <n v="12"/>
    <x v="6"/>
    <x v="2"/>
    <x v="2"/>
    <x v="1"/>
    <x v="0"/>
    <x v="1"/>
    <x v="1"/>
  </r>
  <r>
    <x v="633"/>
    <n v="8809"/>
    <n v="9539"/>
    <n v="18348"/>
    <x v="0"/>
    <x v="36"/>
    <x v="1"/>
    <x v="0"/>
    <x v="1"/>
    <x v="1"/>
    <n v="637"/>
    <x v="0"/>
    <n v="3"/>
    <x v="0"/>
    <n v="0.48"/>
    <x v="3"/>
    <x v="593"/>
    <n v="46622"/>
    <x v="0"/>
    <x v="597"/>
    <x v="0"/>
    <n v="24"/>
    <x v="5"/>
    <x v="3"/>
    <x v="0"/>
    <x v="1"/>
    <x v="0"/>
    <x v="1"/>
    <x v="0"/>
  </r>
  <r>
    <x v="634"/>
    <n v="6621"/>
    <n v="3173"/>
    <n v="9794"/>
    <x v="2"/>
    <x v="23"/>
    <x v="0"/>
    <x v="1"/>
    <x v="0"/>
    <x v="0"/>
    <n v="566"/>
    <x v="2"/>
    <n v="1"/>
    <x v="0"/>
    <n v="0.32"/>
    <x v="2"/>
    <x v="594"/>
    <n v="46665"/>
    <x v="0"/>
    <x v="598"/>
    <x v="2"/>
    <n v="72"/>
    <x v="2"/>
    <x v="1"/>
    <x v="0"/>
    <x v="1"/>
    <x v="1"/>
    <x v="0"/>
    <x v="0"/>
  </r>
  <r>
    <x v="635"/>
    <n v="17034"/>
    <n v="1667"/>
    <n v="18701"/>
    <x v="0"/>
    <x v="12"/>
    <x v="1"/>
    <x v="0"/>
    <x v="1"/>
    <x v="1"/>
    <n v="601"/>
    <x v="0"/>
    <n v="2"/>
    <x v="0"/>
    <n v="0.34"/>
    <x v="2"/>
    <x v="595"/>
    <n v="32274"/>
    <x v="0"/>
    <x v="36"/>
    <x v="3"/>
    <n v="36"/>
    <x v="4"/>
    <x v="2"/>
    <x v="1"/>
    <x v="0"/>
    <x v="0"/>
    <x v="1"/>
    <x v="0"/>
  </r>
  <r>
    <x v="636"/>
    <n v="15623"/>
    <n v="9829"/>
    <n v="25452"/>
    <x v="0"/>
    <x v="20"/>
    <x v="0"/>
    <x v="0"/>
    <x v="2"/>
    <x v="2"/>
    <n v="683"/>
    <x v="1"/>
    <n v="1"/>
    <x v="0"/>
    <n v="0.42"/>
    <x v="3"/>
    <x v="596"/>
    <n v="11419"/>
    <x v="0"/>
    <x v="599"/>
    <x v="0"/>
    <n v="60"/>
    <x v="3"/>
    <x v="3"/>
    <x v="2"/>
    <x v="1"/>
    <x v="0"/>
    <x v="4"/>
    <x v="0"/>
  </r>
  <r>
    <x v="637"/>
    <n v="7126"/>
    <n v="4114"/>
    <n v="11240"/>
    <x v="0"/>
    <x v="22"/>
    <x v="2"/>
    <x v="0"/>
    <x v="2"/>
    <x v="2"/>
    <n v="760"/>
    <x v="3"/>
    <n v="2"/>
    <x v="0"/>
    <n v="0.11"/>
    <x v="1"/>
    <x v="597"/>
    <n v="42832"/>
    <x v="0"/>
    <x v="600"/>
    <x v="0"/>
    <n v="48"/>
    <x v="1"/>
    <x v="2"/>
    <x v="2"/>
    <x v="1"/>
    <x v="0"/>
    <x v="1"/>
    <x v="1"/>
  </r>
  <r>
    <x v="638"/>
    <n v="7870"/>
    <n v="1000"/>
    <n v="8870"/>
    <x v="1"/>
    <x v="0"/>
    <x v="0"/>
    <x v="0"/>
    <x v="2"/>
    <x v="2"/>
    <n v="751"/>
    <x v="3"/>
    <n v="1"/>
    <x v="0"/>
    <n v="0.25"/>
    <x v="1"/>
    <x v="598"/>
    <n v="21988"/>
    <x v="0"/>
    <x v="601"/>
    <x v="0"/>
    <n v="12"/>
    <x v="6"/>
    <x v="0"/>
    <x v="2"/>
    <x v="0"/>
    <x v="1"/>
    <x v="0"/>
    <x v="1"/>
  </r>
  <r>
    <x v="639"/>
    <n v="3531"/>
    <n v="9042"/>
    <n v="12573"/>
    <x v="0"/>
    <x v="19"/>
    <x v="4"/>
    <x v="0"/>
    <x v="3"/>
    <x v="3"/>
    <n v="686"/>
    <x v="1"/>
    <n v="2"/>
    <x v="0"/>
    <n v="0.14000000000000001"/>
    <x v="1"/>
    <x v="599"/>
    <n v="43027"/>
    <x v="0"/>
    <x v="602"/>
    <x v="1"/>
    <n v="48"/>
    <x v="1"/>
    <x v="1"/>
    <x v="0"/>
    <x v="1"/>
    <x v="1"/>
    <x v="2"/>
    <x v="0"/>
  </r>
  <r>
    <x v="640"/>
    <n v="10172"/>
    <n v="1388"/>
    <n v="11560"/>
    <x v="1"/>
    <x v="11"/>
    <x v="2"/>
    <x v="0"/>
    <x v="0"/>
    <x v="0"/>
    <n v="768"/>
    <x v="3"/>
    <n v="4"/>
    <x v="0"/>
    <n v="0.15"/>
    <x v="1"/>
    <x v="600"/>
    <n v="24908"/>
    <x v="0"/>
    <x v="36"/>
    <x v="3"/>
    <n v="72"/>
    <x v="2"/>
    <x v="1"/>
    <x v="2"/>
    <x v="1"/>
    <x v="0"/>
    <x v="0"/>
    <x v="1"/>
  </r>
  <r>
    <x v="641"/>
    <n v="9673"/>
    <n v="5450"/>
    <n v="15123"/>
    <x v="4"/>
    <x v="1"/>
    <x v="0"/>
    <x v="0"/>
    <x v="1"/>
    <x v="1"/>
    <n v="754"/>
    <x v="3"/>
    <n v="0"/>
    <x v="1"/>
    <n v="0.56000000000000005"/>
    <x v="0"/>
    <x v="601"/>
    <n v="5674"/>
    <x v="0"/>
    <x v="603"/>
    <x v="1"/>
    <n v="36"/>
    <x v="4"/>
    <x v="1"/>
    <x v="1"/>
    <x v="1"/>
    <x v="0"/>
    <x v="2"/>
    <x v="0"/>
  </r>
  <r>
    <x v="642"/>
    <n v="8882"/>
    <n v="0"/>
    <n v="8882"/>
    <x v="0"/>
    <x v="32"/>
    <x v="3"/>
    <x v="0"/>
    <x v="1"/>
    <x v="1"/>
    <n v="760"/>
    <x v="3"/>
    <n v="4"/>
    <x v="0"/>
    <n v="0.44"/>
    <x v="3"/>
    <x v="602"/>
    <n v="5002"/>
    <x v="0"/>
    <x v="604"/>
    <x v="0"/>
    <n v="84"/>
    <x v="0"/>
    <x v="3"/>
    <x v="2"/>
    <x v="1"/>
    <x v="1"/>
    <x v="0"/>
    <x v="0"/>
  </r>
  <r>
    <x v="643"/>
    <n v="3906"/>
    <n v="1367"/>
    <n v="5273"/>
    <x v="3"/>
    <x v="3"/>
    <x v="2"/>
    <x v="0"/>
    <x v="1"/>
    <x v="1"/>
    <n v="570"/>
    <x v="2"/>
    <n v="1"/>
    <x v="0"/>
    <n v="0.16"/>
    <x v="1"/>
    <x v="603"/>
    <n v="27567"/>
    <x v="0"/>
    <x v="36"/>
    <x v="3"/>
    <n v="84"/>
    <x v="0"/>
    <x v="2"/>
    <x v="0"/>
    <x v="1"/>
    <x v="0"/>
    <x v="0"/>
    <x v="0"/>
  </r>
  <r>
    <x v="644"/>
    <n v="5086"/>
    <n v="8189"/>
    <n v="13275"/>
    <x v="2"/>
    <x v="3"/>
    <x v="2"/>
    <x v="1"/>
    <x v="0"/>
    <x v="0"/>
    <n v="573"/>
    <x v="2"/>
    <n v="1"/>
    <x v="0"/>
    <n v="0.28000000000000003"/>
    <x v="1"/>
    <x v="604"/>
    <n v="910"/>
    <x v="0"/>
    <x v="605"/>
    <x v="3"/>
    <n v="60"/>
    <x v="3"/>
    <x v="1"/>
    <x v="0"/>
    <x v="1"/>
    <x v="1"/>
    <x v="4"/>
    <x v="0"/>
  </r>
  <r>
    <x v="645"/>
    <n v="15503"/>
    <n v="9013"/>
    <n v="24516"/>
    <x v="3"/>
    <x v="38"/>
    <x v="1"/>
    <x v="0"/>
    <x v="3"/>
    <x v="3"/>
    <n v="779"/>
    <x v="3"/>
    <n v="1"/>
    <x v="0"/>
    <n v="0.4"/>
    <x v="2"/>
    <x v="605"/>
    <n v="29072"/>
    <x v="0"/>
    <x v="36"/>
    <x v="3"/>
    <n v="72"/>
    <x v="2"/>
    <x v="1"/>
    <x v="2"/>
    <x v="0"/>
    <x v="1"/>
    <x v="3"/>
    <x v="0"/>
  </r>
  <r>
    <x v="646"/>
    <n v="10152"/>
    <n v="454"/>
    <n v="10606"/>
    <x v="0"/>
    <x v="17"/>
    <x v="1"/>
    <x v="0"/>
    <x v="2"/>
    <x v="2"/>
    <n v="553"/>
    <x v="2"/>
    <n v="2"/>
    <x v="0"/>
    <n v="0.52"/>
    <x v="0"/>
    <x v="606"/>
    <n v="33717"/>
    <x v="0"/>
    <x v="606"/>
    <x v="3"/>
    <n v="24"/>
    <x v="5"/>
    <x v="0"/>
    <x v="1"/>
    <x v="0"/>
    <x v="1"/>
    <x v="1"/>
    <x v="0"/>
  </r>
  <r>
    <x v="647"/>
    <n v="7750"/>
    <n v="9816"/>
    <n v="17566"/>
    <x v="1"/>
    <x v="4"/>
    <x v="1"/>
    <x v="1"/>
    <x v="3"/>
    <x v="3"/>
    <n v="701"/>
    <x v="1"/>
    <n v="0"/>
    <x v="1"/>
    <n v="0.12"/>
    <x v="1"/>
    <x v="607"/>
    <n v="21809"/>
    <x v="0"/>
    <x v="607"/>
    <x v="0"/>
    <n v="72"/>
    <x v="2"/>
    <x v="0"/>
    <x v="2"/>
    <x v="1"/>
    <x v="1"/>
    <x v="0"/>
    <x v="1"/>
  </r>
  <r>
    <x v="648"/>
    <n v="14772"/>
    <n v="0"/>
    <n v="14772"/>
    <x v="0"/>
    <x v="24"/>
    <x v="2"/>
    <x v="0"/>
    <x v="3"/>
    <x v="3"/>
    <n v="736"/>
    <x v="1"/>
    <n v="2"/>
    <x v="0"/>
    <n v="0.22"/>
    <x v="1"/>
    <x v="608"/>
    <n v="26651"/>
    <x v="0"/>
    <x v="608"/>
    <x v="0"/>
    <n v="48"/>
    <x v="1"/>
    <x v="4"/>
    <x v="2"/>
    <x v="1"/>
    <x v="0"/>
    <x v="0"/>
    <x v="1"/>
  </r>
  <r>
    <x v="649"/>
    <n v="12267"/>
    <n v="0"/>
    <n v="12267"/>
    <x v="4"/>
    <x v="21"/>
    <x v="1"/>
    <x v="0"/>
    <x v="1"/>
    <x v="1"/>
    <n v="776"/>
    <x v="3"/>
    <n v="2"/>
    <x v="0"/>
    <n v="0.54"/>
    <x v="0"/>
    <x v="609"/>
    <n v="44291"/>
    <x v="0"/>
    <x v="609"/>
    <x v="2"/>
    <n v="12"/>
    <x v="6"/>
    <x v="4"/>
    <x v="0"/>
    <x v="0"/>
    <x v="1"/>
    <x v="4"/>
    <x v="0"/>
  </r>
  <r>
    <x v="650"/>
    <n v="3062"/>
    <n v="7232"/>
    <n v="10294"/>
    <x v="2"/>
    <x v="31"/>
    <x v="4"/>
    <x v="0"/>
    <x v="1"/>
    <x v="1"/>
    <n v="552"/>
    <x v="2"/>
    <n v="3"/>
    <x v="0"/>
    <n v="0.35"/>
    <x v="2"/>
    <x v="610"/>
    <n v="43989"/>
    <x v="0"/>
    <x v="610"/>
    <x v="0"/>
    <n v="48"/>
    <x v="1"/>
    <x v="0"/>
    <x v="2"/>
    <x v="1"/>
    <x v="1"/>
    <x v="0"/>
    <x v="0"/>
  </r>
  <r>
    <x v="651"/>
    <n v="19680"/>
    <n v="4806"/>
    <n v="24486"/>
    <x v="0"/>
    <x v="18"/>
    <x v="0"/>
    <x v="1"/>
    <x v="1"/>
    <x v="1"/>
    <n v="617"/>
    <x v="0"/>
    <n v="3"/>
    <x v="0"/>
    <n v="0.35"/>
    <x v="2"/>
    <x v="611"/>
    <n v="16484"/>
    <x v="0"/>
    <x v="36"/>
    <x v="3"/>
    <n v="84"/>
    <x v="0"/>
    <x v="2"/>
    <x v="2"/>
    <x v="1"/>
    <x v="1"/>
    <x v="0"/>
    <x v="0"/>
  </r>
  <r>
    <x v="652"/>
    <n v="8229"/>
    <n v="2190"/>
    <n v="10419"/>
    <x v="2"/>
    <x v="18"/>
    <x v="0"/>
    <x v="0"/>
    <x v="0"/>
    <x v="0"/>
    <n v="798"/>
    <x v="3"/>
    <n v="2"/>
    <x v="0"/>
    <n v="0.57999999999999996"/>
    <x v="0"/>
    <x v="612"/>
    <n v="4646"/>
    <x v="0"/>
    <x v="611"/>
    <x v="1"/>
    <n v="24"/>
    <x v="5"/>
    <x v="4"/>
    <x v="1"/>
    <x v="0"/>
    <x v="1"/>
    <x v="4"/>
    <x v="0"/>
  </r>
  <r>
    <x v="653"/>
    <n v="18509"/>
    <n v="9108"/>
    <n v="27617"/>
    <x v="2"/>
    <x v="38"/>
    <x v="1"/>
    <x v="0"/>
    <x v="0"/>
    <x v="0"/>
    <n v="650"/>
    <x v="0"/>
    <n v="4"/>
    <x v="0"/>
    <n v="0.41"/>
    <x v="3"/>
    <x v="613"/>
    <n v="39713"/>
    <x v="0"/>
    <x v="612"/>
    <x v="0"/>
    <n v="12"/>
    <x v="6"/>
    <x v="2"/>
    <x v="0"/>
    <x v="1"/>
    <x v="0"/>
    <x v="0"/>
    <x v="0"/>
  </r>
  <r>
    <x v="654"/>
    <n v="17147"/>
    <n v="2875"/>
    <n v="20022"/>
    <x v="0"/>
    <x v="16"/>
    <x v="1"/>
    <x v="0"/>
    <x v="3"/>
    <x v="3"/>
    <n v="717"/>
    <x v="1"/>
    <n v="3"/>
    <x v="0"/>
    <n v="0.23"/>
    <x v="1"/>
    <x v="614"/>
    <n v="2400"/>
    <x v="0"/>
    <x v="613"/>
    <x v="2"/>
    <n v="84"/>
    <x v="0"/>
    <x v="0"/>
    <x v="2"/>
    <x v="1"/>
    <x v="1"/>
    <x v="0"/>
    <x v="1"/>
  </r>
  <r>
    <x v="655"/>
    <n v="6632"/>
    <n v="5592"/>
    <n v="12224"/>
    <x v="1"/>
    <x v="4"/>
    <x v="1"/>
    <x v="0"/>
    <x v="0"/>
    <x v="0"/>
    <n v="725"/>
    <x v="1"/>
    <n v="2"/>
    <x v="0"/>
    <n v="0.13"/>
    <x v="1"/>
    <x v="615"/>
    <n v="44331"/>
    <x v="0"/>
    <x v="614"/>
    <x v="0"/>
    <n v="48"/>
    <x v="1"/>
    <x v="4"/>
    <x v="0"/>
    <x v="1"/>
    <x v="1"/>
    <x v="0"/>
    <x v="1"/>
  </r>
  <r>
    <x v="656"/>
    <n v="8288"/>
    <n v="1440"/>
    <n v="9728"/>
    <x v="1"/>
    <x v="9"/>
    <x v="2"/>
    <x v="0"/>
    <x v="0"/>
    <x v="0"/>
    <n v="603"/>
    <x v="0"/>
    <n v="0"/>
    <x v="1"/>
    <n v="0.11"/>
    <x v="1"/>
    <x v="616"/>
    <n v="22185"/>
    <x v="0"/>
    <x v="615"/>
    <x v="0"/>
    <n v="12"/>
    <x v="6"/>
    <x v="1"/>
    <x v="2"/>
    <x v="1"/>
    <x v="0"/>
    <x v="2"/>
    <x v="0"/>
  </r>
  <r>
    <x v="657"/>
    <n v="0"/>
    <n v="8927"/>
    <n v="8927"/>
    <x v="0"/>
    <x v="24"/>
    <x v="2"/>
    <x v="0"/>
    <x v="0"/>
    <x v="0"/>
    <n v="584"/>
    <x v="0"/>
    <n v="4"/>
    <x v="0"/>
    <n v="0.22"/>
    <x v="1"/>
    <x v="617"/>
    <n v="0"/>
    <x v="1"/>
    <x v="36"/>
    <x v="3"/>
    <n v="48"/>
    <x v="1"/>
    <x v="0"/>
    <x v="1"/>
    <x v="0"/>
    <x v="1"/>
    <x v="0"/>
    <x v="0"/>
  </r>
  <r>
    <x v="658"/>
    <n v="13475"/>
    <n v="6059"/>
    <n v="19534"/>
    <x v="2"/>
    <x v="22"/>
    <x v="2"/>
    <x v="0"/>
    <x v="3"/>
    <x v="3"/>
    <n v="772"/>
    <x v="3"/>
    <n v="1"/>
    <x v="0"/>
    <n v="0.54"/>
    <x v="0"/>
    <x v="618"/>
    <n v="33120"/>
    <x v="0"/>
    <x v="616"/>
    <x v="0"/>
    <n v="48"/>
    <x v="1"/>
    <x v="4"/>
    <x v="0"/>
    <x v="1"/>
    <x v="0"/>
    <x v="2"/>
    <x v="0"/>
  </r>
  <r>
    <x v="659"/>
    <n v="8168"/>
    <n v="7010"/>
    <n v="15178"/>
    <x v="4"/>
    <x v="1"/>
    <x v="0"/>
    <x v="0"/>
    <x v="3"/>
    <x v="3"/>
    <n v="550"/>
    <x v="2"/>
    <n v="2"/>
    <x v="0"/>
    <n v="0.31"/>
    <x v="2"/>
    <x v="619"/>
    <n v="48257"/>
    <x v="0"/>
    <x v="617"/>
    <x v="2"/>
    <n v="48"/>
    <x v="1"/>
    <x v="2"/>
    <x v="0"/>
    <x v="0"/>
    <x v="1"/>
    <x v="0"/>
    <x v="0"/>
  </r>
  <r>
    <x v="660"/>
    <n v="11795"/>
    <n v="7117"/>
    <n v="18912"/>
    <x v="0"/>
    <x v="31"/>
    <x v="4"/>
    <x v="1"/>
    <x v="1"/>
    <x v="1"/>
    <n v="657"/>
    <x v="0"/>
    <n v="2"/>
    <x v="0"/>
    <n v="0.46"/>
    <x v="3"/>
    <x v="620"/>
    <n v="1018"/>
    <x v="0"/>
    <x v="618"/>
    <x v="3"/>
    <n v="12"/>
    <x v="6"/>
    <x v="2"/>
    <x v="2"/>
    <x v="1"/>
    <x v="1"/>
    <x v="3"/>
    <x v="0"/>
  </r>
  <r>
    <x v="661"/>
    <n v="9561"/>
    <n v="9153"/>
    <n v="18714"/>
    <x v="1"/>
    <x v="3"/>
    <x v="2"/>
    <x v="0"/>
    <x v="1"/>
    <x v="1"/>
    <n v="766"/>
    <x v="3"/>
    <n v="4"/>
    <x v="0"/>
    <n v="0.56000000000000005"/>
    <x v="0"/>
    <x v="621"/>
    <n v="17563"/>
    <x v="0"/>
    <x v="619"/>
    <x v="3"/>
    <n v="72"/>
    <x v="2"/>
    <x v="4"/>
    <x v="2"/>
    <x v="1"/>
    <x v="0"/>
    <x v="0"/>
    <x v="0"/>
  </r>
  <r>
    <x v="662"/>
    <n v="10258"/>
    <n v="2989"/>
    <n v="13247"/>
    <x v="3"/>
    <x v="1"/>
    <x v="0"/>
    <x v="1"/>
    <x v="3"/>
    <x v="3"/>
    <n v="589"/>
    <x v="0"/>
    <n v="3"/>
    <x v="0"/>
    <n v="0.3"/>
    <x v="1"/>
    <x v="11"/>
    <n v="5193"/>
    <x v="0"/>
    <x v="620"/>
    <x v="2"/>
    <n v="48"/>
    <x v="1"/>
    <x v="2"/>
    <x v="0"/>
    <x v="1"/>
    <x v="0"/>
    <x v="1"/>
    <x v="0"/>
  </r>
  <r>
    <x v="663"/>
    <n v="18616"/>
    <n v="9218"/>
    <n v="27834"/>
    <x v="4"/>
    <x v="30"/>
    <x v="2"/>
    <x v="0"/>
    <x v="1"/>
    <x v="1"/>
    <n v="754"/>
    <x v="3"/>
    <n v="3"/>
    <x v="0"/>
    <n v="0.2"/>
    <x v="1"/>
    <x v="622"/>
    <n v="15701"/>
    <x v="0"/>
    <x v="621"/>
    <x v="1"/>
    <n v="72"/>
    <x v="2"/>
    <x v="4"/>
    <x v="0"/>
    <x v="1"/>
    <x v="1"/>
    <x v="3"/>
    <x v="0"/>
  </r>
  <r>
    <x v="664"/>
    <n v="8371"/>
    <n v="6228"/>
    <n v="14599"/>
    <x v="2"/>
    <x v="14"/>
    <x v="2"/>
    <x v="0"/>
    <x v="0"/>
    <x v="0"/>
    <n v="617"/>
    <x v="0"/>
    <n v="3"/>
    <x v="0"/>
    <n v="0.36"/>
    <x v="2"/>
    <x v="623"/>
    <n v="3536"/>
    <x v="0"/>
    <x v="622"/>
    <x v="0"/>
    <n v="84"/>
    <x v="0"/>
    <x v="4"/>
    <x v="2"/>
    <x v="1"/>
    <x v="0"/>
    <x v="0"/>
    <x v="0"/>
  </r>
  <r>
    <x v="665"/>
    <n v="16369"/>
    <n v="6471"/>
    <n v="22840"/>
    <x v="0"/>
    <x v="10"/>
    <x v="0"/>
    <x v="1"/>
    <x v="0"/>
    <x v="0"/>
    <n v="595"/>
    <x v="0"/>
    <n v="0"/>
    <x v="1"/>
    <n v="0.55000000000000004"/>
    <x v="0"/>
    <x v="624"/>
    <n v="48217"/>
    <x v="0"/>
    <x v="623"/>
    <x v="2"/>
    <n v="84"/>
    <x v="0"/>
    <x v="2"/>
    <x v="1"/>
    <x v="1"/>
    <x v="0"/>
    <x v="3"/>
    <x v="0"/>
  </r>
  <r>
    <x v="666"/>
    <n v="0"/>
    <n v="0"/>
    <n v="0"/>
    <x v="2"/>
    <x v="3"/>
    <x v="2"/>
    <x v="1"/>
    <x v="1"/>
    <x v="1"/>
    <n v="627"/>
    <x v="0"/>
    <n v="4"/>
    <x v="0"/>
    <n v="0.5"/>
    <x v="3"/>
    <x v="625"/>
    <n v="44610"/>
    <x v="0"/>
    <x v="624"/>
    <x v="2"/>
    <n v="24"/>
    <x v="5"/>
    <x v="3"/>
    <x v="0"/>
    <x v="0"/>
    <x v="1"/>
    <x v="3"/>
    <x v="0"/>
  </r>
  <r>
    <x v="667"/>
    <n v="9943"/>
    <n v="1177"/>
    <n v="11120"/>
    <x v="2"/>
    <x v="19"/>
    <x v="4"/>
    <x v="1"/>
    <x v="3"/>
    <x v="3"/>
    <n v="690"/>
    <x v="1"/>
    <n v="4"/>
    <x v="0"/>
    <n v="0.13"/>
    <x v="1"/>
    <x v="626"/>
    <n v="18886"/>
    <x v="0"/>
    <x v="625"/>
    <x v="2"/>
    <n v="60"/>
    <x v="3"/>
    <x v="1"/>
    <x v="1"/>
    <x v="0"/>
    <x v="1"/>
    <x v="0"/>
    <x v="1"/>
  </r>
  <r>
    <x v="668"/>
    <n v="14199"/>
    <n v="4760"/>
    <n v="18959"/>
    <x v="0"/>
    <x v="6"/>
    <x v="3"/>
    <x v="0"/>
    <x v="1"/>
    <x v="1"/>
    <n v="704"/>
    <x v="1"/>
    <n v="3"/>
    <x v="0"/>
    <n v="0.45"/>
    <x v="3"/>
    <x v="627"/>
    <n v="36587"/>
    <x v="0"/>
    <x v="626"/>
    <x v="2"/>
    <n v="72"/>
    <x v="2"/>
    <x v="0"/>
    <x v="0"/>
    <x v="1"/>
    <x v="1"/>
    <x v="1"/>
    <x v="0"/>
  </r>
  <r>
    <x v="669"/>
    <n v="17728"/>
    <n v="11"/>
    <n v="17739"/>
    <x v="0"/>
    <x v="19"/>
    <x v="4"/>
    <x v="1"/>
    <x v="1"/>
    <x v="1"/>
    <n v="555"/>
    <x v="2"/>
    <n v="3"/>
    <x v="0"/>
    <n v="0.39"/>
    <x v="2"/>
    <x v="628"/>
    <n v="29410"/>
    <x v="0"/>
    <x v="627"/>
    <x v="1"/>
    <n v="84"/>
    <x v="0"/>
    <x v="1"/>
    <x v="0"/>
    <x v="1"/>
    <x v="1"/>
    <x v="1"/>
    <x v="0"/>
  </r>
  <r>
    <x v="670"/>
    <n v="8738"/>
    <n v="5252"/>
    <n v="13990"/>
    <x v="2"/>
    <x v="18"/>
    <x v="0"/>
    <x v="0"/>
    <x v="1"/>
    <x v="1"/>
    <n v="566"/>
    <x v="2"/>
    <n v="0"/>
    <x v="1"/>
    <n v="0.55000000000000004"/>
    <x v="0"/>
    <x v="629"/>
    <n v="33744"/>
    <x v="0"/>
    <x v="628"/>
    <x v="0"/>
    <n v="60"/>
    <x v="3"/>
    <x v="0"/>
    <x v="0"/>
    <x v="0"/>
    <x v="1"/>
    <x v="3"/>
    <x v="0"/>
  </r>
  <r>
    <x v="671"/>
    <n v="17913"/>
    <n v="4399"/>
    <n v="22312"/>
    <x v="4"/>
    <x v="33"/>
    <x v="4"/>
    <x v="1"/>
    <x v="2"/>
    <x v="2"/>
    <n v="550"/>
    <x v="2"/>
    <n v="0"/>
    <x v="1"/>
    <n v="0.35"/>
    <x v="2"/>
    <x v="630"/>
    <n v="38665"/>
    <x v="0"/>
    <x v="629"/>
    <x v="0"/>
    <n v="48"/>
    <x v="1"/>
    <x v="0"/>
    <x v="1"/>
    <x v="1"/>
    <x v="1"/>
    <x v="0"/>
    <x v="1"/>
  </r>
  <r>
    <x v="672"/>
    <n v="4472"/>
    <n v="8234"/>
    <n v="12706"/>
    <x v="2"/>
    <x v="18"/>
    <x v="0"/>
    <x v="1"/>
    <x v="0"/>
    <x v="0"/>
    <n v="781"/>
    <x v="3"/>
    <n v="2"/>
    <x v="0"/>
    <n v="0.37"/>
    <x v="2"/>
    <x v="631"/>
    <n v="15957"/>
    <x v="0"/>
    <x v="630"/>
    <x v="0"/>
    <n v="48"/>
    <x v="1"/>
    <x v="1"/>
    <x v="0"/>
    <x v="1"/>
    <x v="1"/>
    <x v="2"/>
    <x v="1"/>
  </r>
  <r>
    <x v="673"/>
    <n v="17679"/>
    <n v="9135"/>
    <n v="26814"/>
    <x v="0"/>
    <x v="10"/>
    <x v="0"/>
    <x v="0"/>
    <x v="3"/>
    <x v="3"/>
    <n v="790"/>
    <x v="3"/>
    <n v="2"/>
    <x v="0"/>
    <n v="0.54"/>
    <x v="0"/>
    <x v="632"/>
    <n v="48127"/>
    <x v="0"/>
    <x v="631"/>
    <x v="0"/>
    <n v="48"/>
    <x v="1"/>
    <x v="4"/>
    <x v="2"/>
    <x v="0"/>
    <x v="0"/>
    <x v="1"/>
    <x v="0"/>
  </r>
  <r>
    <x v="674"/>
    <n v="3761"/>
    <n v="5445"/>
    <n v="9206"/>
    <x v="2"/>
    <x v="23"/>
    <x v="0"/>
    <x v="1"/>
    <x v="2"/>
    <x v="2"/>
    <n v="648"/>
    <x v="0"/>
    <n v="4"/>
    <x v="0"/>
    <n v="0.35"/>
    <x v="2"/>
    <x v="633"/>
    <n v="46008"/>
    <x v="0"/>
    <x v="632"/>
    <x v="0"/>
    <n v="48"/>
    <x v="1"/>
    <x v="2"/>
    <x v="0"/>
    <x v="1"/>
    <x v="1"/>
    <x v="4"/>
    <x v="0"/>
  </r>
  <r>
    <x v="675"/>
    <n v="12167"/>
    <n v="6570"/>
    <n v="18737"/>
    <x v="2"/>
    <x v="11"/>
    <x v="2"/>
    <x v="0"/>
    <x v="3"/>
    <x v="3"/>
    <n v="630"/>
    <x v="0"/>
    <n v="4"/>
    <x v="0"/>
    <n v="0.34"/>
    <x v="2"/>
    <x v="634"/>
    <n v="32875"/>
    <x v="0"/>
    <x v="633"/>
    <x v="2"/>
    <n v="48"/>
    <x v="1"/>
    <x v="3"/>
    <x v="1"/>
    <x v="1"/>
    <x v="1"/>
    <x v="0"/>
    <x v="0"/>
  </r>
  <r>
    <x v="676"/>
    <n v="12554"/>
    <n v="9196"/>
    <n v="21750"/>
    <x v="3"/>
    <x v="17"/>
    <x v="1"/>
    <x v="0"/>
    <x v="3"/>
    <x v="3"/>
    <n v="782"/>
    <x v="3"/>
    <n v="1"/>
    <x v="0"/>
    <n v="0.14000000000000001"/>
    <x v="1"/>
    <x v="635"/>
    <n v="48292"/>
    <x v="0"/>
    <x v="634"/>
    <x v="2"/>
    <n v="48"/>
    <x v="1"/>
    <x v="3"/>
    <x v="1"/>
    <x v="1"/>
    <x v="0"/>
    <x v="1"/>
    <x v="0"/>
  </r>
  <r>
    <x v="677"/>
    <n v="19260"/>
    <n v="8212"/>
    <n v="27472"/>
    <x v="0"/>
    <x v="7"/>
    <x v="0"/>
    <x v="0"/>
    <x v="3"/>
    <x v="3"/>
    <n v="551"/>
    <x v="2"/>
    <n v="1"/>
    <x v="0"/>
    <n v="0.24"/>
    <x v="1"/>
    <x v="636"/>
    <n v="1626"/>
    <x v="0"/>
    <x v="635"/>
    <x v="2"/>
    <n v="24"/>
    <x v="5"/>
    <x v="3"/>
    <x v="2"/>
    <x v="1"/>
    <x v="1"/>
    <x v="4"/>
    <x v="0"/>
  </r>
  <r>
    <x v="678"/>
    <n v="16277"/>
    <n v="406"/>
    <n v="16683"/>
    <x v="1"/>
    <x v="32"/>
    <x v="3"/>
    <x v="0"/>
    <x v="2"/>
    <x v="2"/>
    <n v="798"/>
    <x v="3"/>
    <n v="0"/>
    <x v="1"/>
    <n v="0.26"/>
    <x v="1"/>
    <x v="637"/>
    <n v="25279"/>
    <x v="0"/>
    <x v="636"/>
    <x v="3"/>
    <n v="36"/>
    <x v="4"/>
    <x v="1"/>
    <x v="1"/>
    <x v="1"/>
    <x v="1"/>
    <x v="1"/>
    <x v="1"/>
  </r>
  <r>
    <x v="679"/>
    <n v="5812"/>
    <n v="9206"/>
    <n v="15018"/>
    <x v="1"/>
    <x v="3"/>
    <x v="2"/>
    <x v="1"/>
    <x v="0"/>
    <x v="0"/>
    <n v="626"/>
    <x v="0"/>
    <n v="2"/>
    <x v="0"/>
    <n v="0.56999999999999995"/>
    <x v="0"/>
    <x v="638"/>
    <n v="6229"/>
    <x v="0"/>
    <x v="637"/>
    <x v="1"/>
    <n v="12"/>
    <x v="6"/>
    <x v="1"/>
    <x v="2"/>
    <x v="1"/>
    <x v="1"/>
    <x v="2"/>
    <x v="0"/>
  </r>
  <r>
    <x v="680"/>
    <n v="19844"/>
    <n v="4431"/>
    <n v="24275"/>
    <x v="0"/>
    <x v="13"/>
    <x v="2"/>
    <x v="1"/>
    <x v="3"/>
    <x v="3"/>
    <n v="729"/>
    <x v="1"/>
    <n v="0"/>
    <x v="1"/>
    <n v="0.24"/>
    <x v="1"/>
    <x v="639"/>
    <n v="6877"/>
    <x v="0"/>
    <x v="638"/>
    <x v="2"/>
    <n v="48"/>
    <x v="1"/>
    <x v="4"/>
    <x v="1"/>
    <x v="0"/>
    <x v="0"/>
    <x v="4"/>
    <x v="1"/>
  </r>
  <r>
    <x v="681"/>
    <n v="3605"/>
    <n v="5243"/>
    <n v="8848"/>
    <x v="0"/>
    <x v="16"/>
    <x v="1"/>
    <x v="0"/>
    <x v="0"/>
    <x v="0"/>
    <n v="615"/>
    <x v="0"/>
    <n v="0"/>
    <x v="1"/>
    <n v="0.33"/>
    <x v="2"/>
    <x v="640"/>
    <n v="33642"/>
    <x v="0"/>
    <x v="639"/>
    <x v="0"/>
    <n v="48"/>
    <x v="1"/>
    <x v="3"/>
    <x v="0"/>
    <x v="1"/>
    <x v="1"/>
    <x v="1"/>
    <x v="0"/>
  </r>
  <r>
    <x v="682"/>
    <n v="7622"/>
    <n v="6542"/>
    <n v="14164"/>
    <x v="0"/>
    <x v="34"/>
    <x v="3"/>
    <x v="1"/>
    <x v="0"/>
    <x v="0"/>
    <n v="601"/>
    <x v="0"/>
    <n v="2"/>
    <x v="0"/>
    <n v="0.44"/>
    <x v="3"/>
    <x v="641"/>
    <n v="38311"/>
    <x v="0"/>
    <x v="640"/>
    <x v="2"/>
    <n v="60"/>
    <x v="3"/>
    <x v="4"/>
    <x v="0"/>
    <x v="1"/>
    <x v="1"/>
    <x v="0"/>
    <x v="0"/>
  </r>
  <r>
    <x v="683"/>
    <n v="8767"/>
    <n v="6936"/>
    <n v="15703"/>
    <x v="2"/>
    <x v="9"/>
    <x v="2"/>
    <x v="1"/>
    <x v="1"/>
    <x v="1"/>
    <n v="641"/>
    <x v="0"/>
    <n v="1"/>
    <x v="0"/>
    <n v="0.18"/>
    <x v="1"/>
    <x v="642"/>
    <n v="32356"/>
    <x v="0"/>
    <x v="641"/>
    <x v="2"/>
    <n v="24"/>
    <x v="5"/>
    <x v="3"/>
    <x v="2"/>
    <x v="1"/>
    <x v="0"/>
    <x v="4"/>
    <x v="0"/>
  </r>
  <r>
    <x v="684"/>
    <n v="13613"/>
    <n v="8906"/>
    <n v="22519"/>
    <x v="1"/>
    <x v="9"/>
    <x v="2"/>
    <x v="0"/>
    <x v="2"/>
    <x v="2"/>
    <n v="720"/>
    <x v="1"/>
    <n v="2"/>
    <x v="0"/>
    <n v="0.34"/>
    <x v="2"/>
    <x v="643"/>
    <n v="3809"/>
    <x v="0"/>
    <x v="642"/>
    <x v="0"/>
    <n v="84"/>
    <x v="0"/>
    <x v="1"/>
    <x v="0"/>
    <x v="0"/>
    <x v="0"/>
    <x v="4"/>
    <x v="1"/>
  </r>
  <r>
    <x v="685"/>
    <n v="12589"/>
    <n v="4146"/>
    <n v="16735"/>
    <x v="0"/>
    <x v="25"/>
    <x v="4"/>
    <x v="1"/>
    <x v="2"/>
    <x v="2"/>
    <n v="767"/>
    <x v="3"/>
    <n v="3"/>
    <x v="0"/>
    <n v="0.47"/>
    <x v="3"/>
    <x v="644"/>
    <n v="43371"/>
    <x v="0"/>
    <x v="643"/>
    <x v="0"/>
    <n v="84"/>
    <x v="0"/>
    <x v="2"/>
    <x v="0"/>
    <x v="0"/>
    <x v="1"/>
    <x v="0"/>
    <x v="0"/>
  </r>
  <r>
    <x v="686"/>
    <n v="15918"/>
    <n v="140"/>
    <n v="16058"/>
    <x v="1"/>
    <x v="10"/>
    <x v="0"/>
    <x v="0"/>
    <x v="1"/>
    <x v="1"/>
    <n v="571"/>
    <x v="2"/>
    <n v="3"/>
    <x v="0"/>
    <n v="0.53"/>
    <x v="0"/>
    <x v="645"/>
    <n v="34875"/>
    <x v="0"/>
    <x v="644"/>
    <x v="3"/>
    <n v="60"/>
    <x v="3"/>
    <x v="2"/>
    <x v="2"/>
    <x v="0"/>
    <x v="1"/>
    <x v="0"/>
    <x v="0"/>
  </r>
  <r>
    <x v="687"/>
    <n v="15046"/>
    <n v="4882"/>
    <n v="19928"/>
    <x v="0"/>
    <x v="30"/>
    <x v="2"/>
    <x v="0"/>
    <x v="1"/>
    <x v="1"/>
    <n v="660"/>
    <x v="0"/>
    <n v="3"/>
    <x v="0"/>
    <n v="0.41"/>
    <x v="3"/>
    <x v="11"/>
    <n v="44513"/>
    <x v="0"/>
    <x v="645"/>
    <x v="2"/>
    <n v="72"/>
    <x v="2"/>
    <x v="2"/>
    <x v="0"/>
    <x v="1"/>
    <x v="0"/>
    <x v="4"/>
    <x v="0"/>
  </r>
  <r>
    <x v="688"/>
    <n v="4590"/>
    <n v="6012"/>
    <n v="10602"/>
    <x v="0"/>
    <x v="12"/>
    <x v="1"/>
    <x v="0"/>
    <x v="0"/>
    <x v="0"/>
    <n v="656"/>
    <x v="0"/>
    <n v="4"/>
    <x v="0"/>
    <n v="0.43"/>
    <x v="3"/>
    <x v="646"/>
    <n v="9465"/>
    <x v="0"/>
    <x v="646"/>
    <x v="0"/>
    <n v="48"/>
    <x v="1"/>
    <x v="2"/>
    <x v="2"/>
    <x v="0"/>
    <x v="0"/>
    <x v="3"/>
    <x v="0"/>
  </r>
  <r>
    <x v="689"/>
    <n v="19447"/>
    <n v="963"/>
    <n v="20410"/>
    <x v="3"/>
    <x v="35"/>
    <x v="2"/>
    <x v="0"/>
    <x v="3"/>
    <x v="3"/>
    <n v="732"/>
    <x v="1"/>
    <n v="1"/>
    <x v="0"/>
    <n v="0.16"/>
    <x v="1"/>
    <x v="647"/>
    <n v="559"/>
    <x v="0"/>
    <x v="647"/>
    <x v="2"/>
    <n v="48"/>
    <x v="1"/>
    <x v="0"/>
    <x v="0"/>
    <x v="1"/>
    <x v="1"/>
    <x v="0"/>
    <x v="1"/>
  </r>
  <r>
    <x v="690"/>
    <n v="6324"/>
    <n v="7151"/>
    <n v="13475"/>
    <x v="3"/>
    <x v="3"/>
    <x v="2"/>
    <x v="0"/>
    <x v="2"/>
    <x v="2"/>
    <n v="616"/>
    <x v="0"/>
    <n v="1"/>
    <x v="0"/>
    <n v="0.56999999999999995"/>
    <x v="0"/>
    <x v="648"/>
    <n v="8308"/>
    <x v="0"/>
    <x v="648"/>
    <x v="2"/>
    <n v="60"/>
    <x v="3"/>
    <x v="3"/>
    <x v="1"/>
    <x v="1"/>
    <x v="1"/>
    <x v="0"/>
    <x v="0"/>
  </r>
  <r>
    <x v="691"/>
    <n v="12787"/>
    <n v="8564"/>
    <n v="21351"/>
    <x v="1"/>
    <x v="27"/>
    <x v="3"/>
    <x v="1"/>
    <x v="0"/>
    <x v="0"/>
    <n v="776"/>
    <x v="3"/>
    <n v="4"/>
    <x v="0"/>
    <n v="0.17"/>
    <x v="1"/>
    <x v="649"/>
    <n v="21353"/>
    <x v="0"/>
    <x v="649"/>
    <x v="2"/>
    <n v="48"/>
    <x v="1"/>
    <x v="2"/>
    <x v="1"/>
    <x v="1"/>
    <x v="0"/>
    <x v="1"/>
    <x v="1"/>
  </r>
  <r>
    <x v="692"/>
    <n v="11111"/>
    <n v="3610"/>
    <n v="14721"/>
    <x v="0"/>
    <x v="3"/>
    <x v="2"/>
    <x v="0"/>
    <x v="3"/>
    <x v="3"/>
    <n v="737"/>
    <x v="1"/>
    <n v="0"/>
    <x v="1"/>
    <n v="0.49"/>
    <x v="3"/>
    <x v="650"/>
    <n v="15250"/>
    <x v="0"/>
    <x v="36"/>
    <x v="3"/>
    <n v="48"/>
    <x v="1"/>
    <x v="0"/>
    <x v="1"/>
    <x v="1"/>
    <x v="0"/>
    <x v="0"/>
    <x v="0"/>
  </r>
  <r>
    <x v="693"/>
    <n v="7342"/>
    <n v="9884"/>
    <n v="17226"/>
    <x v="2"/>
    <x v="38"/>
    <x v="1"/>
    <x v="0"/>
    <x v="1"/>
    <x v="1"/>
    <n v="735"/>
    <x v="1"/>
    <n v="3"/>
    <x v="0"/>
    <n v="0.23"/>
    <x v="1"/>
    <x v="651"/>
    <n v="46023"/>
    <x v="0"/>
    <x v="650"/>
    <x v="1"/>
    <n v="36"/>
    <x v="4"/>
    <x v="0"/>
    <x v="0"/>
    <x v="0"/>
    <x v="0"/>
    <x v="4"/>
    <x v="1"/>
  </r>
  <r>
    <x v="694"/>
    <n v="18389"/>
    <n v="6894"/>
    <n v="25283"/>
    <x v="0"/>
    <x v="5"/>
    <x v="0"/>
    <x v="0"/>
    <x v="3"/>
    <x v="3"/>
    <n v="689"/>
    <x v="1"/>
    <n v="0"/>
    <x v="1"/>
    <n v="0.35"/>
    <x v="2"/>
    <x v="102"/>
    <n v="35814"/>
    <x v="0"/>
    <x v="651"/>
    <x v="1"/>
    <n v="12"/>
    <x v="6"/>
    <x v="0"/>
    <x v="2"/>
    <x v="1"/>
    <x v="1"/>
    <x v="4"/>
    <x v="0"/>
  </r>
  <r>
    <x v="695"/>
    <n v="10659"/>
    <n v="7311"/>
    <n v="17970"/>
    <x v="4"/>
    <x v="23"/>
    <x v="0"/>
    <x v="1"/>
    <x v="0"/>
    <x v="0"/>
    <n v="765"/>
    <x v="3"/>
    <n v="0"/>
    <x v="1"/>
    <n v="0.46"/>
    <x v="3"/>
    <x v="652"/>
    <n v="46624"/>
    <x v="0"/>
    <x v="652"/>
    <x v="2"/>
    <n v="12"/>
    <x v="6"/>
    <x v="4"/>
    <x v="1"/>
    <x v="1"/>
    <x v="1"/>
    <x v="0"/>
    <x v="0"/>
  </r>
  <r>
    <x v="696"/>
    <n v="16043"/>
    <n v="105"/>
    <n v="16148"/>
    <x v="0"/>
    <x v="21"/>
    <x v="1"/>
    <x v="0"/>
    <x v="1"/>
    <x v="1"/>
    <n v="618"/>
    <x v="0"/>
    <n v="0"/>
    <x v="1"/>
    <n v="0.48"/>
    <x v="3"/>
    <x v="653"/>
    <n v="16427"/>
    <x v="0"/>
    <x v="653"/>
    <x v="2"/>
    <n v="12"/>
    <x v="6"/>
    <x v="4"/>
    <x v="1"/>
    <x v="1"/>
    <x v="0"/>
    <x v="3"/>
    <x v="0"/>
  </r>
  <r>
    <x v="697"/>
    <n v="10837"/>
    <n v="5539"/>
    <n v="16376"/>
    <x v="1"/>
    <x v="33"/>
    <x v="4"/>
    <x v="0"/>
    <x v="3"/>
    <x v="3"/>
    <n v="633"/>
    <x v="0"/>
    <n v="2"/>
    <x v="0"/>
    <n v="0.35"/>
    <x v="2"/>
    <x v="654"/>
    <n v="33276"/>
    <x v="0"/>
    <x v="654"/>
    <x v="0"/>
    <n v="36"/>
    <x v="4"/>
    <x v="0"/>
    <x v="2"/>
    <x v="1"/>
    <x v="1"/>
    <x v="1"/>
    <x v="0"/>
  </r>
  <r>
    <x v="698"/>
    <n v="2117"/>
    <n v="9873"/>
    <n v="11990"/>
    <x v="1"/>
    <x v="27"/>
    <x v="3"/>
    <x v="0"/>
    <x v="1"/>
    <x v="1"/>
    <n v="652"/>
    <x v="0"/>
    <n v="1"/>
    <x v="0"/>
    <n v="0.32"/>
    <x v="2"/>
    <x v="655"/>
    <n v="6107"/>
    <x v="0"/>
    <x v="655"/>
    <x v="2"/>
    <n v="48"/>
    <x v="1"/>
    <x v="2"/>
    <x v="0"/>
    <x v="1"/>
    <x v="1"/>
    <x v="4"/>
    <x v="0"/>
  </r>
  <r>
    <x v="699"/>
    <n v="15917"/>
    <n v="6787"/>
    <n v="22704"/>
    <x v="0"/>
    <x v="13"/>
    <x v="2"/>
    <x v="0"/>
    <x v="0"/>
    <x v="0"/>
    <n v="588"/>
    <x v="0"/>
    <n v="4"/>
    <x v="0"/>
    <n v="0.41"/>
    <x v="3"/>
    <x v="656"/>
    <n v="13476"/>
    <x v="0"/>
    <x v="36"/>
    <x v="3"/>
    <n v="60"/>
    <x v="3"/>
    <x v="3"/>
    <x v="2"/>
    <x v="1"/>
    <x v="1"/>
    <x v="0"/>
    <x v="0"/>
  </r>
  <r>
    <x v="700"/>
    <n v="16309"/>
    <n v="2137"/>
    <n v="18446"/>
    <x v="1"/>
    <x v="12"/>
    <x v="1"/>
    <x v="1"/>
    <x v="0"/>
    <x v="0"/>
    <n v="562"/>
    <x v="2"/>
    <n v="1"/>
    <x v="0"/>
    <n v="0.48"/>
    <x v="3"/>
    <x v="657"/>
    <n v="0"/>
    <x v="1"/>
    <x v="656"/>
    <x v="1"/>
    <n v="84"/>
    <x v="0"/>
    <x v="1"/>
    <x v="2"/>
    <x v="1"/>
    <x v="1"/>
    <x v="1"/>
    <x v="0"/>
  </r>
  <r>
    <x v="701"/>
    <n v="7560"/>
    <n v="3530"/>
    <n v="11090"/>
    <x v="0"/>
    <x v="10"/>
    <x v="0"/>
    <x v="0"/>
    <x v="1"/>
    <x v="1"/>
    <n v="606"/>
    <x v="0"/>
    <n v="0"/>
    <x v="1"/>
    <n v="0.57999999999999996"/>
    <x v="0"/>
    <x v="11"/>
    <n v="21795"/>
    <x v="0"/>
    <x v="657"/>
    <x v="0"/>
    <n v="48"/>
    <x v="1"/>
    <x v="2"/>
    <x v="2"/>
    <x v="0"/>
    <x v="0"/>
    <x v="0"/>
    <x v="0"/>
  </r>
  <r>
    <x v="702"/>
    <n v="12954"/>
    <n v="7052"/>
    <n v="20006"/>
    <x v="4"/>
    <x v="9"/>
    <x v="2"/>
    <x v="1"/>
    <x v="3"/>
    <x v="3"/>
    <n v="550"/>
    <x v="2"/>
    <n v="3"/>
    <x v="0"/>
    <n v="0.24"/>
    <x v="1"/>
    <x v="658"/>
    <n v="14167"/>
    <x v="0"/>
    <x v="658"/>
    <x v="2"/>
    <n v="72"/>
    <x v="2"/>
    <x v="2"/>
    <x v="2"/>
    <x v="0"/>
    <x v="0"/>
    <x v="0"/>
    <x v="1"/>
  </r>
  <r>
    <x v="703"/>
    <n v="15703"/>
    <n v="3654"/>
    <n v="19357"/>
    <x v="0"/>
    <x v="2"/>
    <x v="1"/>
    <x v="0"/>
    <x v="1"/>
    <x v="1"/>
    <n v="550"/>
    <x v="2"/>
    <n v="0"/>
    <x v="1"/>
    <n v="0.51"/>
    <x v="0"/>
    <x v="659"/>
    <n v="17300"/>
    <x v="0"/>
    <x v="659"/>
    <x v="1"/>
    <n v="36"/>
    <x v="4"/>
    <x v="1"/>
    <x v="0"/>
    <x v="0"/>
    <x v="0"/>
    <x v="0"/>
    <x v="0"/>
  </r>
  <r>
    <x v="704"/>
    <n v="17385"/>
    <n v="7102"/>
    <n v="24487"/>
    <x v="0"/>
    <x v="12"/>
    <x v="1"/>
    <x v="1"/>
    <x v="3"/>
    <x v="3"/>
    <n v="562"/>
    <x v="2"/>
    <n v="0"/>
    <x v="1"/>
    <n v="0.36"/>
    <x v="2"/>
    <x v="660"/>
    <n v="17182"/>
    <x v="0"/>
    <x v="660"/>
    <x v="2"/>
    <n v="48"/>
    <x v="1"/>
    <x v="2"/>
    <x v="2"/>
    <x v="1"/>
    <x v="1"/>
    <x v="0"/>
    <x v="0"/>
  </r>
  <r>
    <x v="705"/>
    <n v="15746"/>
    <n v="2359"/>
    <n v="18105"/>
    <x v="1"/>
    <x v="28"/>
    <x v="0"/>
    <x v="1"/>
    <x v="0"/>
    <x v="0"/>
    <n v="669"/>
    <x v="0"/>
    <n v="2"/>
    <x v="0"/>
    <n v="0.33"/>
    <x v="2"/>
    <x v="661"/>
    <n v="0"/>
    <x v="1"/>
    <x v="661"/>
    <x v="0"/>
    <n v="12"/>
    <x v="6"/>
    <x v="1"/>
    <x v="0"/>
    <x v="0"/>
    <x v="1"/>
    <x v="0"/>
    <x v="1"/>
  </r>
  <r>
    <x v="706"/>
    <n v="8469"/>
    <n v="8105"/>
    <n v="16574"/>
    <x v="1"/>
    <x v="20"/>
    <x v="0"/>
    <x v="1"/>
    <x v="1"/>
    <x v="1"/>
    <n v="751"/>
    <x v="3"/>
    <n v="0"/>
    <x v="1"/>
    <n v="0.26"/>
    <x v="1"/>
    <x v="662"/>
    <n v="0"/>
    <x v="1"/>
    <x v="662"/>
    <x v="1"/>
    <n v="48"/>
    <x v="1"/>
    <x v="2"/>
    <x v="2"/>
    <x v="1"/>
    <x v="1"/>
    <x v="2"/>
    <x v="1"/>
  </r>
  <r>
    <x v="707"/>
    <n v="11333"/>
    <n v="8636"/>
    <n v="19969"/>
    <x v="2"/>
    <x v="37"/>
    <x v="1"/>
    <x v="0"/>
    <x v="1"/>
    <x v="1"/>
    <n v="646"/>
    <x v="0"/>
    <n v="3"/>
    <x v="0"/>
    <n v="0.35"/>
    <x v="2"/>
    <x v="663"/>
    <n v="19659"/>
    <x v="0"/>
    <x v="663"/>
    <x v="3"/>
    <n v="84"/>
    <x v="0"/>
    <x v="1"/>
    <x v="2"/>
    <x v="0"/>
    <x v="1"/>
    <x v="4"/>
    <x v="0"/>
  </r>
  <r>
    <x v="708"/>
    <n v="18608"/>
    <n v="6441"/>
    <n v="25049"/>
    <x v="0"/>
    <x v="17"/>
    <x v="1"/>
    <x v="0"/>
    <x v="1"/>
    <x v="1"/>
    <n v="606"/>
    <x v="0"/>
    <n v="4"/>
    <x v="0"/>
    <n v="0.46"/>
    <x v="3"/>
    <x v="664"/>
    <n v="31403"/>
    <x v="0"/>
    <x v="664"/>
    <x v="2"/>
    <n v="48"/>
    <x v="1"/>
    <x v="1"/>
    <x v="2"/>
    <x v="1"/>
    <x v="0"/>
    <x v="0"/>
    <x v="0"/>
  </r>
  <r>
    <x v="709"/>
    <n v="14819"/>
    <n v="5047"/>
    <n v="19866"/>
    <x v="3"/>
    <x v="6"/>
    <x v="3"/>
    <x v="1"/>
    <x v="1"/>
    <x v="1"/>
    <n v="550"/>
    <x v="2"/>
    <n v="1"/>
    <x v="0"/>
    <n v="0.31"/>
    <x v="2"/>
    <x v="665"/>
    <n v="48651"/>
    <x v="0"/>
    <x v="665"/>
    <x v="0"/>
    <n v="24"/>
    <x v="5"/>
    <x v="2"/>
    <x v="2"/>
    <x v="0"/>
    <x v="1"/>
    <x v="3"/>
    <x v="0"/>
  </r>
  <r>
    <x v="710"/>
    <n v="6208"/>
    <n v="8227"/>
    <n v="14435"/>
    <x v="0"/>
    <x v="14"/>
    <x v="2"/>
    <x v="0"/>
    <x v="3"/>
    <x v="3"/>
    <n v="667"/>
    <x v="0"/>
    <n v="2"/>
    <x v="0"/>
    <n v="0.41"/>
    <x v="3"/>
    <x v="666"/>
    <n v="33586"/>
    <x v="0"/>
    <x v="666"/>
    <x v="3"/>
    <n v="72"/>
    <x v="2"/>
    <x v="0"/>
    <x v="2"/>
    <x v="1"/>
    <x v="1"/>
    <x v="0"/>
    <x v="0"/>
  </r>
  <r>
    <x v="711"/>
    <n v="8283"/>
    <n v="5203"/>
    <n v="13486"/>
    <x v="0"/>
    <x v="31"/>
    <x v="4"/>
    <x v="1"/>
    <x v="3"/>
    <x v="3"/>
    <n v="629"/>
    <x v="0"/>
    <n v="1"/>
    <x v="0"/>
    <n v="0.45"/>
    <x v="3"/>
    <x v="667"/>
    <n v="10360"/>
    <x v="0"/>
    <x v="667"/>
    <x v="0"/>
    <n v="12"/>
    <x v="6"/>
    <x v="2"/>
    <x v="0"/>
    <x v="1"/>
    <x v="1"/>
    <x v="1"/>
    <x v="0"/>
  </r>
  <r>
    <x v="712"/>
    <n v="4048"/>
    <n v="9667"/>
    <n v="13715"/>
    <x v="1"/>
    <x v="21"/>
    <x v="1"/>
    <x v="0"/>
    <x v="0"/>
    <x v="0"/>
    <n v="677"/>
    <x v="1"/>
    <n v="2"/>
    <x v="0"/>
    <n v="0.46"/>
    <x v="3"/>
    <x v="668"/>
    <n v="21424"/>
    <x v="0"/>
    <x v="668"/>
    <x v="3"/>
    <n v="24"/>
    <x v="5"/>
    <x v="3"/>
    <x v="0"/>
    <x v="1"/>
    <x v="1"/>
    <x v="0"/>
    <x v="0"/>
  </r>
  <r>
    <x v="713"/>
    <n v="8233"/>
    <n v="1798"/>
    <n v="10031"/>
    <x v="0"/>
    <x v="4"/>
    <x v="1"/>
    <x v="1"/>
    <x v="2"/>
    <x v="2"/>
    <n v="722"/>
    <x v="1"/>
    <n v="3"/>
    <x v="0"/>
    <n v="0.13"/>
    <x v="1"/>
    <x v="669"/>
    <n v="32499"/>
    <x v="0"/>
    <x v="669"/>
    <x v="0"/>
    <n v="36"/>
    <x v="4"/>
    <x v="2"/>
    <x v="0"/>
    <x v="1"/>
    <x v="0"/>
    <x v="0"/>
    <x v="1"/>
  </r>
  <r>
    <x v="714"/>
    <n v="14941"/>
    <n v="9600"/>
    <n v="24541"/>
    <x v="0"/>
    <x v="5"/>
    <x v="0"/>
    <x v="0"/>
    <x v="2"/>
    <x v="2"/>
    <n v="584"/>
    <x v="0"/>
    <n v="4"/>
    <x v="0"/>
    <n v="0.53"/>
    <x v="0"/>
    <x v="670"/>
    <n v="44695"/>
    <x v="0"/>
    <x v="670"/>
    <x v="3"/>
    <n v="12"/>
    <x v="6"/>
    <x v="4"/>
    <x v="0"/>
    <x v="0"/>
    <x v="1"/>
    <x v="3"/>
    <x v="0"/>
  </r>
  <r>
    <x v="715"/>
    <n v="14607"/>
    <n v="5291"/>
    <n v="19898"/>
    <x v="0"/>
    <x v="6"/>
    <x v="3"/>
    <x v="0"/>
    <x v="0"/>
    <x v="0"/>
    <n v="552"/>
    <x v="2"/>
    <n v="1"/>
    <x v="0"/>
    <n v="0.33"/>
    <x v="2"/>
    <x v="671"/>
    <n v="48791"/>
    <x v="0"/>
    <x v="671"/>
    <x v="0"/>
    <n v="12"/>
    <x v="6"/>
    <x v="1"/>
    <x v="0"/>
    <x v="1"/>
    <x v="1"/>
    <x v="0"/>
    <x v="0"/>
  </r>
  <r>
    <x v="716"/>
    <n v="11765"/>
    <n v="5495"/>
    <n v="17260"/>
    <x v="0"/>
    <x v="7"/>
    <x v="0"/>
    <x v="0"/>
    <x v="2"/>
    <x v="2"/>
    <n v="669"/>
    <x v="0"/>
    <n v="3"/>
    <x v="0"/>
    <n v="0.23"/>
    <x v="1"/>
    <x v="672"/>
    <n v="3065"/>
    <x v="0"/>
    <x v="672"/>
    <x v="2"/>
    <n v="60"/>
    <x v="3"/>
    <x v="3"/>
    <x v="0"/>
    <x v="1"/>
    <x v="1"/>
    <x v="3"/>
    <x v="1"/>
  </r>
  <r>
    <x v="717"/>
    <n v="3828"/>
    <n v="9900"/>
    <n v="13728"/>
    <x v="0"/>
    <x v="3"/>
    <x v="2"/>
    <x v="1"/>
    <x v="0"/>
    <x v="0"/>
    <n v="554"/>
    <x v="2"/>
    <n v="2"/>
    <x v="0"/>
    <n v="0.22"/>
    <x v="1"/>
    <x v="673"/>
    <n v="3259"/>
    <x v="0"/>
    <x v="673"/>
    <x v="0"/>
    <n v="72"/>
    <x v="2"/>
    <x v="4"/>
    <x v="1"/>
    <x v="0"/>
    <x v="0"/>
    <x v="1"/>
    <x v="0"/>
  </r>
  <r>
    <x v="718"/>
    <n v="3917"/>
    <n v="6284"/>
    <n v="10201"/>
    <x v="3"/>
    <x v="3"/>
    <x v="2"/>
    <x v="1"/>
    <x v="3"/>
    <x v="3"/>
    <n v="767"/>
    <x v="3"/>
    <n v="1"/>
    <x v="0"/>
    <n v="0.34"/>
    <x v="2"/>
    <x v="674"/>
    <n v="12300"/>
    <x v="0"/>
    <x v="674"/>
    <x v="1"/>
    <n v="72"/>
    <x v="2"/>
    <x v="4"/>
    <x v="0"/>
    <x v="1"/>
    <x v="1"/>
    <x v="0"/>
    <x v="0"/>
  </r>
  <r>
    <x v="719"/>
    <n v="8988"/>
    <n v="7285"/>
    <n v="16273"/>
    <x v="0"/>
    <x v="0"/>
    <x v="0"/>
    <x v="0"/>
    <x v="1"/>
    <x v="1"/>
    <n v="560"/>
    <x v="2"/>
    <n v="1"/>
    <x v="0"/>
    <n v="0.54"/>
    <x v="0"/>
    <x v="675"/>
    <n v="33370"/>
    <x v="0"/>
    <x v="675"/>
    <x v="0"/>
    <n v="84"/>
    <x v="0"/>
    <x v="2"/>
    <x v="0"/>
    <x v="1"/>
    <x v="1"/>
    <x v="4"/>
    <x v="0"/>
  </r>
  <r>
    <x v="720"/>
    <n v="16594"/>
    <n v="1300"/>
    <n v="17894"/>
    <x v="2"/>
    <x v="7"/>
    <x v="0"/>
    <x v="0"/>
    <x v="1"/>
    <x v="1"/>
    <n v="675"/>
    <x v="1"/>
    <n v="3"/>
    <x v="0"/>
    <n v="0.28999999999999998"/>
    <x v="1"/>
    <x v="676"/>
    <n v="4295"/>
    <x v="0"/>
    <x v="676"/>
    <x v="0"/>
    <n v="36"/>
    <x v="4"/>
    <x v="0"/>
    <x v="0"/>
    <x v="1"/>
    <x v="1"/>
    <x v="1"/>
    <x v="1"/>
  </r>
  <r>
    <x v="721"/>
    <n v="14977"/>
    <n v="6869"/>
    <n v="21846"/>
    <x v="2"/>
    <x v="10"/>
    <x v="0"/>
    <x v="1"/>
    <x v="3"/>
    <x v="3"/>
    <n v="620"/>
    <x v="0"/>
    <n v="1"/>
    <x v="0"/>
    <n v="0.47"/>
    <x v="3"/>
    <x v="677"/>
    <n v="27209"/>
    <x v="0"/>
    <x v="677"/>
    <x v="2"/>
    <n v="60"/>
    <x v="3"/>
    <x v="2"/>
    <x v="2"/>
    <x v="1"/>
    <x v="1"/>
    <x v="0"/>
    <x v="0"/>
  </r>
  <r>
    <x v="722"/>
    <n v="2009"/>
    <n v="9435"/>
    <n v="11444"/>
    <x v="3"/>
    <x v="16"/>
    <x v="1"/>
    <x v="0"/>
    <x v="1"/>
    <x v="1"/>
    <n v="666"/>
    <x v="0"/>
    <n v="4"/>
    <x v="0"/>
    <n v="0.15"/>
    <x v="1"/>
    <x v="678"/>
    <n v="0"/>
    <x v="1"/>
    <x v="678"/>
    <x v="0"/>
    <n v="84"/>
    <x v="0"/>
    <x v="2"/>
    <x v="0"/>
    <x v="0"/>
    <x v="1"/>
    <x v="0"/>
    <x v="0"/>
  </r>
  <r>
    <x v="723"/>
    <n v="18644"/>
    <n v="3097"/>
    <n v="21741"/>
    <x v="0"/>
    <x v="19"/>
    <x v="4"/>
    <x v="0"/>
    <x v="1"/>
    <x v="1"/>
    <n v="733"/>
    <x v="1"/>
    <n v="4"/>
    <x v="0"/>
    <n v="0.34"/>
    <x v="2"/>
    <x v="679"/>
    <n v="36295"/>
    <x v="0"/>
    <x v="679"/>
    <x v="0"/>
    <n v="24"/>
    <x v="5"/>
    <x v="4"/>
    <x v="0"/>
    <x v="0"/>
    <x v="0"/>
    <x v="0"/>
    <x v="1"/>
  </r>
  <r>
    <x v="724"/>
    <n v="11865"/>
    <n v="4616"/>
    <n v="16481"/>
    <x v="2"/>
    <x v="7"/>
    <x v="0"/>
    <x v="0"/>
    <x v="2"/>
    <x v="2"/>
    <n v="687"/>
    <x v="1"/>
    <n v="3"/>
    <x v="0"/>
    <n v="0.6"/>
    <x v="0"/>
    <x v="680"/>
    <n v="20927"/>
    <x v="0"/>
    <x v="680"/>
    <x v="0"/>
    <n v="84"/>
    <x v="0"/>
    <x v="0"/>
    <x v="0"/>
    <x v="0"/>
    <x v="0"/>
    <x v="2"/>
    <x v="0"/>
  </r>
  <r>
    <x v="725"/>
    <n v="4219"/>
    <n v="9"/>
    <n v="4228"/>
    <x v="1"/>
    <x v="26"/>
    <x v="3"/>
    <x v="0"/>
    <x v="3"/>
    <x v="3"/>
    <n v="550"/>
    <x v="2"/>
    <n v="2"/>
    <x v="0"/>
    <n v="0.49"/>
    <x v="3"/>
    <x v="11"/>
    <n v="34579"/>
    <x v="0"/>
    <x v="681"/>
    <x v="2"/>
    <n v="24"/>
    <x v="5"/>
    <x v="1"/>
    <x v="1"/>
    <x v="1"/>
    <x v="0"/>
    <x v="1"/>
    <x v="0"/>
  </r>
  <r>
    <x v="726"/>
    <n v="9041"/>
    <n v="5752"/>
    <n v="14793"/>
    <x v="1"/>
    <x v="0"/>
    <x v="0"/>
    <x v="0"/>
    <x v="2"/>
    <x v="2"/>
    <n v="665"/>
    <x v="0"/>
    <n v="3"/>
    <x v="0"/>
    <n v="0.21"/>
    <x v="1"/>
    <x v="681"/>
    <n v="44871"/>
    <x v="0"/>
    <x v="682"/>
    <x v="0"/>
    <n v="36"/>
    <x v="4"/>
    <x v="0"/>
    <x v="1"/>
    <x v="1"/>
    <x v="1"/>
    <x v="0"/>
    <x v="1"/>
  </r>
  <r>
    <x v="727"/>
    <n v="7287"/>
    <n v="9852"/>
    <n v="17139"/>
    <x v="1"/>
    <x v="3"/>
    <x v="2"/>
    <x v="0"/>
    <x v="2"/>
    <x v="2"/>
    <n v="711"/>
    <x v="1"/>
    <n v="4"/>
    <x v="0"/>
    <n v="0.35"/>
    <x v="2"/>
    <x v="682"/>
    <n v="9032"/>
    <x v="0"/>
    <x v="683"/>
    <x v="0"/>
    <n v="72"/>
    <x v="2"/>
    <x v="2"/>
    <x v="1"/>
    <x v="1"/>
    <x v="1"/>
    <x v="3"/>
    <x v="1"/>
  </r>
  <r>
    <x v="728"/>
    <n v="3619"/>
    <n v="6295"/>
    <n v="9914"/>
    <x v="2"/>
    <x v="24"/>
    <x v="2"/>
    <x v="0"/>
    <x v="1"/>
    <x v="1"/>
    <n v="616"/>
    <x v="0"/>
    <n v="0"/>
    <x v="1"/>
    <n v="0.35"/>
    <x v="2"/>
    <x v="683"/>
    <n v="27718"/>
    <x v="0"/>
    <x v="684"/>
    <x v="0"/>
    <n v="24"/>
    <x v="5"/>
    <x v="1"/>
    <x v="0"/>
    <x v="0"/>
    <x v="1"/>
    <x v="0"/>
    <x v="0"/>
  </r>
  <r>
    <x v="729"/>
    <n v="10512"/>
    <n v="4815"/>
    <n v="15327"/>
    <x v="0"/>
    <x v="17"/>
    <x v="1"/>
    <x v="0"/>
    <x v="1"/>
    <x v="1"/>
    <n v="749"/>
    <x v="3"/>
    <n v="0"/>
    <x v="1"/>
    <n v="0.3"/>
    <x v="1"/>
    <x v="684"/>
    <n v="12877"/>
    <x v="0"/>
    <x v="36"/>
    <x v="3"/>
    <n v="36"/>
    <x v="4"/>
    <x v="2"/>
    <x v="2"/>
    <x v="1"/>
    <x v="1"/>
    <x v="0"/>
    <x v="1"/>
  </r>
  <r>
    <x v="730"/>
    <n v="3342"/>
    <n v="1072"/>
    <n v="4414"/>
    <x v="2"/>
    <x v="26"/>
    <x v="3"/>
    <x v="0"/>
    <x v="3"/>
    <x v="3"/>
    <n v="580"/>
    <x v="2"/>
    <n v="1"/>
    <x v="0"/>
    <n v="0.49"/>
    <x v="3"/>
    <x v="685"/>
    <n v="40731"/>
    <x v="0"/>
    <x v="685"/>
    <x v="2"/>
    <n v="84"/>
    <x v="0"/>
    <x v="0"/>
    <x v="2"/>
    <x v="1"/>
    <x v="1"/>
    <x v="0"/>
    <x v="0"/>
  </r>
  <r>
    <x v="731"/>
    <n v="12568"/>
    <n v="3225"/>
    <n v="15793"/>
    <x v="1"/>
    <x v="4"/>
    <x v="1"/>
    <x v="0"/>
    <x v="1"/>
    <x v="1"/>
    <n v="624"/>
    <x v="0"/>
    <n v="1"/>
    <x v="0"/>
    <n v="0.35"/>
    <x v="2"/>
    <x v="11"/>
    <n v="0"/>
    <x v="1"/>
    <x v="686"/>
    <x v="2"/>
    <n v="24"/>
    <x v="5"/>
    <x v="1"/>
    <x v="0"/>
    <x v="1"/>
    <x v="1"/>
    <x v="1"/>
    <x v="0"/>
  </r>
  <r>
    <x v="732"/>
    <n v="5490"/>
    <n v="5699"/>
    <n v="11189"/>
    <x v="3"/>
    <x v="4"/>
    <x v="1"/>
    <x v="1"/>
    <x v="3"/>
    <x v="3"/>
    <n v="620"/>
    <x v="0"/>
    <n v="4"/>
    <x v="0"/>
    <n v="0.56000000000000005"/>
    <x v="0"/>
    <x v="686"/>
    <n v="41684"/>
    <x v="0"/>
    <x v="687"/>
    <x v="2"/>
    <n v="12"/>
    <x v="6"/>
    <x v="3"/>
    <x v="0"/>
    <x v="0"/>
    <x v="0"/>
    <x v="1"/>
    <x v="0"/>
  </r>
  <r>
    <x v="733"/>
    <n v="0"/>
    <n v="6807"/>
    <n v="6807"/>
    <x v="0"/>
    <x v="18"/>
    <x v="0"/>
    <x v="0"/>
    <x v="1"/>
    <x v="1"/>
    <n v="786"/>
    <x v="3"/>
    <n v="1"/>
    <x v="0"/>
    <n v="0.4"/>
    <x v="2"/>
    <x v="687"/>
    <n v="6766"/>
    <x v="0"/>
    <x v="688"/>
    <x v="2"/>
    <n v="84"/>
    <x v="0"/>
    <x v="4"/>
    <x v="2"/>
    <x v="1"/>
    <x v="0"/>
    <x v="3"/>
    <x v="0"/>
  </r>
  <r>
    <x v="734"/>
    <n v="9984"/>
    <n v="6674"/>
    <n v="16658"/>
    <x v="3"/>
    <x v="26"/>
    <x v="3"/>
    <x v="0"/>
    <x v="2"/>
    <x v="2"/>
    <n v="615"/>
    <x v="0"/>
    <n v="3"/>
    <x v="0"/>
    <n v="0.28999999999999998"/>
    <x v="1"/>
    <x v="688"/>
    <n v="49954"/>
    <x v="0"/>
    <x v="689"/>
    <x v="0"/>
    <n v="72"/>
    <x v="2"/>
    <x v="1"/>
    <x v="0"/>
    <x v="1"/>
    <x v="0"/>
    <x v="0"/>
    <x v="0"/>
  </r>
  <r>
    <x v="735"/>
    <n v="19988"/>
    <n v="3683"/>
    <n v="23671"/>
    <x v="0"/>
    <x v="3"/>
    <x v="2"/>
    <x v="0"/>
    <x v="3"/>
    <x v="3"/>
    <n v="619"/>
    <x v="0"/>
    <n v="3"/>
    <x v="0"/>
    <n v="0.35"/>
    <x v="2"/>
    <x v="689"/>
    <n v="22829"/>
    <x v="0"/>
    <x v="690"/>
    <x v="1"/>
    <n v="84"/>
    <x v="0"/>
    <x v="4"/>
    <x v="0"/>
    <x v="1"/>
    <x v="1"/>
    <x v="0"/>
    <x v="0"/>
  </r>
  <r>
    <x v="736"/>
    <n v="14219"/>
    <n v="7227"/>
    <n v="21446"/>
    <x v="0"/>
    <x v="6"/>
    <x v="3"/>
    <x v="0"/>
    <x v="1"/>
    <x v="1"/>
    <n v="590"/>
    <x v="0"/>
    <n v="4"/>
    <x v="0"/>
    <n v="0.4"/>
    <x v="2"/>
    <x v="690"/>
    <n v="20221"/>
    <x v="0"/>
    <x v="691"/>
    <x v="2"/>
    <n v="48"/>
    <x v="1"/>
    <x v="3"/>
    <x v="0"/>
    <x v="1"/>
    <x v="1"/>
    <x v="0"/>
    <x v="0"/>
  </r>
  <r>
    <x v="737"/>
    <n v="2235"/>
    <n v="3273"/>
    <n v="5508"/>
    <x v="0"/>
    <x v="0"/>
    <x v="0"/>
    <x v="0"/>
    <x v="0"/>
    <x v="0"/>
    <n v="740"/>
    <x v="1"/>
    <n v="1"/>
    <x v="0"/>
    <n v="0.38"/>
    <x v="2"/>
    <x v="691"/>
    <n v="25102"/>
    <x v="0"/>
    <x v="692"/>
    <x v="1"/>
    <n v="36"/>
    <x v="4"/>
    <x v="1"/>
    <x v="2"/>
    <x v="1"/>
    <x v="1"/>
    <x v="1"/>
    <x v="0"/>
  </r>
  <r>
    <x v="738"/>
    <n v="12161"/>
    <n v="7000"/>
    <n v="19161"/>
    <x v="0"/>
    <x v="15"/>
    <x v="1"/>
    <x v="0"/>
    <x v="3"/>
    <x v="3"/>
    <n v="709"/>
    <x v="1"/>
    <n v="3"/>
    <x v="0"/>
    <n v="0.34"/>
    <x v="2"/>
    <x v="692"/>
    <n v="34433"/>
    <x v="0"/>
    <x v="693"/>
    <x v="0"/>
    <n v="36"/>
    <x v="4"/>
    <x v="4"/>
    <x v="1"/>
    <x v="1"/>
    <x v="1"/>
    <x v="2"/>
    <x v="1"/>
  </r>
  <r>
    <x v="739"/>
    <n v="3908"/>
    <n v="145"/>
    <n v="4053"/>
    <x v="1"/>
    <x v="35"/>
    <x v="2"/>
    <x v="1"/>
    <x v="3"/>
    <x v="3"/>
    <n v="569"/>
    <x v="2"/>
    <n v="1"/>
    <x v="0"/>
    <n v="0.35"/>
    <x v="2"/>
    <x v="693"/>
    <n v="15932"/>
    <x v="0"/>
    <x v="694"/>
    <x v="0"/>
    <n v="84"/>
    <x v="0"/>
    <x v="4"/>
    <x v="2"/>
    <x v="1"/>
    <x v="1"/>
    <x v="0"/>
    <x v="0"/>
  </r>
  <r>
    <x v="740"/>
    <n v="10567"/>
    <n v="5010"/>
    <n v="15577"/>
    <x v="0"/>
    <x v="10"/>
    <x v="0"/>
    <x v="0"/>
    <x v="0"/>
    <x v="0"/>
    <n v="734"/>
    <x v="1"/>
    <n v="1"/>
    <x v="0"/>
    <n v="0.19"/>
    <x v="1"/>
    <x v="694"/>
    <n v="25714"/>
    <x v="0"/>
    <x v="695"/>
    <x v="2"/>
    <n v="48"/>
    <x v="1"/>
    <x v="1"/>
    <x v="2"/>
    <x v="1"/>
    <x v="1"/>
    <x v="0"/>
    <x v="1"/>
  </r>
  <r>
    <x v="741"/>
    <n v="5530"/>
    <n v="3040"/>
    <n v="8570"/>
    <x v="0"/>
    <x v="32"/>
    <x v="3"/>
    <x v="1"/>
    <x v="1"/>
    <x v="1"/>
    <n v="775"/>
    <x v="3"/>
    <n v="3"/>
    <x v="0"/>
    <n v="0.51"/>
    <x v="0"/>
    <x v="695"/>
    <n v="39743"/>
    <x v="0"/>
    <x v="696"/>
    <x v="0"/>
    <n v="84"/>
    <x v="0"/>
    <x v="2"/>
    <x v="2"/>
    <x v="0"/>
    <x v="1"/>
    <x v="0"/>
    <x v="0"/>
  </r>
  <r>
    <x v="742"/>
    <n v="7256"/>
    <n v="9654"/>
    <n v="16910"/>
    <x v="3"/>
    <x v="10"/>
    <x v="0"/>
    <x v="0"/>
    <x v="1"/>
    <x v="1"/>
    <n v="727"/>
    <x v="1"/>
    <n v="0"/>
    <x v="1"/>
    <n v="0.37"/>
    <x v="2"/>
    <x v="696"/>
    <n v="2552"/>
    <x v="0"/>
    <x v="697"/>
    <x v="1"/>
    <n v="12"/>
    <x v="6"/>
    <x v="4"/>
    <x v="0"/>
    <x v="1"/>
    <x v="0"/>
    <x v="0"/>
    <x v="0"/>
  </r>
  <r>
    <x v="743"/>
    <n v="0"/>
    <n v="9776"/>
    <n v="9776"/>
    <x v="2"/>
    <x v="9"/>
    <x v="2"/>
    <x v="0"/>
    <x v="3"/>
    <x v="3"/>
    <n v="757"/>
    <x v="3"/>
    <n v="3"/>
    <x v="0"/>
    <n v="0.17"/>
    <x v="1"/>
    <x v="697"/>
    <n v="45987"/>
    <x v="0"/>
    <x v="698"/>
    <x v="0"/>
    <n v="12"/>
    <x v="6"/>
    <x v="1"/>
    <x v="0"/>
    <x v="0"/>
    <x v="0"/>
    <x v="4"/>
    <x v="1"/>
  </r>
  <r>
    <x v="744"/>
    <n v="7415"/>
    <n v="482"/>
    <n v="7897"/>
    <x v="2"/>
    <x v="26"/>
    <x v="3"/>
    <x v="0"/>
    <x v="3"/>
    <x v="3"/>
    <n v="702"/>
    <x v="1"/>
    <n v="4"/>
    <x v="0"/>
    <n v="0.48"/>
    <x v="3"/>
    <x v="698"/>
    <n v="14274"/>
    <x v="0"/>
    <x v="699"/>
    <x v="1"/>
    <n v="60"/>
    <x v="3"/>
    <x v="4"/>
    <x v="0"/>
    <x v="1"/>
    <x v="1"/>
    <x v="0"/>
    <x v="0"/>
  </r>
  <r>
    <x v="745"/>
    <n v="13157"/>
    <n v="1249"/>
    <n v="14406"/>
    <x v="2"/>
    <x v="24"/>
    <x v="2"/>
    <x v="0"/>
    <x v="1"/>
    <x v="1"/>
    <n v="748"/>
    <x v="3"/>
    <n v="3"/>
    <x v="0"/>
    <n v="0.56999999999999995"/>
    <x v="0"/>
    <x v="699"/>
    <n v="29250"/>
    <x v="0"/>
    <x v="700"/>
    <x v="1"/>
    <n v="60"/>
    <x v="3"/>
    <x v="2"/>
    <x v="2"/>
    <x v="0"/>
    <x v="1"/>
    <x v="1"/>
    <x v="0"/>
  </r>
  <r>
    <x v="746"/>
    <n v="7951"/>
    <n v="630"/>
    <n v="8581"/>
    <x v="0"/>
    <x v="2"/>
    <x v="1"/>
    <x v="1"/>
    <x v="2"/>
    <x v="2"/>
    <n v="588"/>
    <x v="0"/>
    <n v="1"/>
    <x v="0"/>
    <n v="0.28000000000000003"/>
    <x v="1"/>
    <x v="700"/>
    <n v="2808"/>
    <x v="0"/>
    <x v="701"/>
    <x v="3"/>
    <n v="12"/>
    <x v="6"/>
    <x v="2"/>
    <x v="0"/>
    <x v="1"/>
    <x v="0"/>
    <x v="0"/>
    <x v="0"/>
  </r>
  <r>
    <x v="747"/>
    <n v="10007"/>
    <n v="8853"/>
    <n v="18860"/>
    <x v="0"/>
    <x v="11"/>
    <x v="2"/>
    <x v="0"/>
    <x v="3"/>
    <x v="3"/>
    <n v="694"/>
    <x v="1"/>
    <n v="1"/>
    <x v="0"/>
    <n v="0.17"/>
    <x v="1"/>
    <x v="11"/>
    <n v="43858"/>
    <x v="0"/>
    <x v="702"/>
    <x v="2"/>
    <n v="48"/>
    <x v="1"/>
    <x v="3"/>
    <x v="0"/>
    <x v="1"/>
    <x v="1"/>
    <x v="1"/>
    <x v="1"/>
  </r>
  <r>
    <x v="748"/>
    <n v="0"/>
    <n v="2852"/>
    <n v="2852"/>
    <x v="2"/>
    <x v="16"/>
    <x v="1"/>
    <x v="1"/>
    <x v="3"/>
    <x v="3"/>
    <n v="594"/>
    <x v="0"/>
    <n v="3"/>
    <x v="0"/>
    <n v="0.36"/>
    <x v="2"/>
    <x v="701"/>
    <n v="45028"/>
    <x v="0"/>
    <x v="703"/>
    <x v="2"/>
    <n v="24"/>
    <x v="5"/>
    <x v="2"/>
    <x v="0"/>
    <x v="1"/>
    <x v="0"/>
    <x v="0"/>
    <x v="0"/>
  </r>
  <r>
    <x v="749"/>
    <n v="17524"/>
    <n v="987"/>
    <n v="18511"/>
    <x v="0"/>
    <x v="29"/>
    <x v="2"/>
    <x v="1"/>
    <x v="0"/>
    <x v="0"/>
    <n v="688"/>
    <x v="1"/>
    <n v="2"/>
    <x v="0"/>
    <n v="0.16"/>
    <x v="1"/>
    <x v="702"/>
    <n v="15295"/>
    <x v="0"/>
    <x v="704"/>
    <x v="3"/>
    <n v="48"/>
    <x v="1"/>
    <x v="2"/>
    <x v="1"/>
    <x v="1"/>
    <x v="1"/>
    <x v="2"/>
    <x v="0"/>
  </r>
  <r>
    <x v="750"/>
    <n v="2077"/>
    <n v="7622"/>
    <n v="9699"/>
    <x v="1"/>
    <x v="28"/>
    <x v="0"/>
    <x v="0"/>
    <x v="0"/>
    <x v="0"/>
    <n v="619"/>
    <x v="0"/>
    <n v="3"/>
    <x v="0"/>
    <n v="0.56999999999999995"/>
    <x v="0"/>
    <x v="703"/>
    <n v="47605"/>
    <x v="0"/>
    <x v="705"/>
    <x v="1"/>
    <n v="60"/>
    <x v="3"/>
    <x v="3"/>
    <x v="2"/>
    <x v="1"/>
    <x v="1"/>
    <x v="0"/>
    <x v="0"/>
  </r>
  <r>
    <x v="751"/>
    <n v="9577"/>
    <n v="7327"/>
    <n v="16904"/>
    <x v="0"/>
    <x v="25"/>
    <x v="4"/>
    <x v="0"/>
    <x v="0"/>
    <x v="0"/>
    <n v="674"/>
    <x v="1"/>
    <n v="2"/>
    <x v="0"/>
    <n v="0.19"/>
    <x v="1"/>
    <x v="704"/>
    <n v="14669"/>
    <x v="0"/>
    <x v="706"/>
    <x v="2"/>
    <n v="36"/>
    <x v="4"/>
    <x v="4"/>
    <x v="1"/>
    <x v="1"/>
    <x v="1"/>
    <x v="2"/>
    <x v="1"/>
  </r>
  <r>
    <x v="752"/>
    <n v="18984"/>
    <n v="9738"/>
    <n v="28722"/>
    <x v="0"/>
    <x v="20"/>
    <x v="0"/>
    <x v="0"/>
    <x v="2"/>
    <x v="2"/>
    <n v="700"/>
    <x v="1"/>
    <n v="2"/>
    <x v="0"/>
    <n v="0.23"/>
    <x v="1"/>
    <x v="705"/>
    <n v="10523"/>
    <x v="0"/>
    <x v="707"/>
    <x v="0"/>
    <n v="48"/>
    <x v="1"/>
    <x v="4"/>
    <x v="2"/>
    <x v="0"/>
    <x v="1"/>
    <x v="0"/>
    <x v="1"/>
  </r>
  <r>
    <x v="753"/>
    <n v="16060"/>
    <n v="8841"/>
    <n v="24901"/>
    <x v="1"/>
    <x v="29"/>
    <x v="2"/>
    <x v="0"/>
    <x v="1"/>
    <x v="1"/>
    <n v="640"/>
    <x v="0"/>
    <n v="4"/>
    <x v="0"/>
    <n v="0.35"/>
    <x v="2"/>
    <x v="706"/>
    <n v="45530"/>
    <x v="0"/>
    <x v="139"/>
    <x v="0"/>
    <n v="60"/>
    <x v="3"/>
    <x v="2"/>
    <x v="0"/>
    <x v="1"/>
    <x v="1"/>
    <x v="0"/>
    <x v="0"/>
  </r>
  <r>
    <x v="754"/>
    <n v="19449"/>
    <n v="9160"/>
    <n v="28609"/>
    <x v="1"/>
    <x v="31"/>
    <x v="4"/>
    <x v="0"/>
    <x v="1"/>
    <x v="1"/>
    <n v="787"/>
    <x v="3"/>
    <n v="1"/>
    <x v="0"/>
    <n v="0.28999999999999998"/>
    <x v="1"/>
    <x v="707"/>
    <n v="13769"/>
    <x v="0"/>
    <x v="708"/>
    <x v="0"/>
    <n v="60"/>
    <x v="3"/>
    <x v="3"/>
    <x v="0"/>
    <x v="0"/>
    <x v="0"/>
    <x v="0"/>
    <x v="1"/>
  </r>
  <r>
    <x v="755"/>
    <n v="0"/>
    <n v="1100"/>
    <n v="1100"/>
    <x v="1"/>
    <x v="16"/>
    <x v="1"/>
    <x v="0"/>
    <x v="2"/>
    <x v="2"/>
    <n v="619"/>
    <x v="0"/>
    <n v="0"/>
    <x v="1"/>
    <n v="0.5"/>
    <x v="3"/>
    <x v="708"/>
    <n v="46499"/>
    <x v="0"/>
    <x v="709"/>
    <x v="3"/>
    <n v="60"/>
    <x v="3"/>
    <x v="4"/>
    <x v="0"/>
    <x v="1"/>
    <x v="1"/>
    <x v="4"/>
    <x v="0"/>
  </r>
  <r>
    <x v="756"/>
    <n v="11510"/>
    <n v="6652"/>
    <n v="18162"/>
    <x v="1"/>
    <x v="28"/>
    <x v="0"/>
    <x v="0"/>
    <x v="3"/>
    <x v="3"/>
    <n v="715"/>
    <x v="1"/>
    <n v="2"/>
    <x v="0"/>
    <n v="0.33"/>
    <x v="2"/>
    <x v="709"/>
    <n v="44645"/>
    <x v="0"/>
    <x v="710"/>
    <x v="2"/>
    <n v="36"/>
    <x v="4"/>
    <x v="0"/>
    <x v="2"/>
    <x v="1"/>
    <x v="1"/>
    <x v="0"/>
    <x v="1"/>
  </r>
  <r>
    <x v="757"/>
    <n v="8943"/>
    <n v="8632"/>
    <n v="17575"/>
    <x v="0"/>
    <x v="3"/>
    <x v="2"/>
    <x v="0"/>
    <x v="1"/>
    <x v="1"/>
    <n v="679"/>
    <x v="1"/>
    <n v="1"/>
    <x v="0"/>
    <n v="0.19"/>
    <x v="1"/>
    <x v="710"/>
    <n v="25207"/>
    <x v="0"/>
    <x v="711"/>
    <x v="3"/>
    <n v="36"/>
    <x v="4"/>
    <x v="1"/>
    <x v="0"/>
    <x v="0"/>
    <x v="0"/>
    <x v="1"/>
    <x v="1"/>
  </r>
  <r>
    <x v="758"/>
    <n v="13954"/>
    <n v="7421"/>
    <n v="21375"/>
    <x v="0"/>
    <x v="29"/>
    <x v="2"/>
    <x v="1"/>
    <x v="2"/>
    <x v="2"/>
    <n v="763"/>
    <x v="3"/>
    <n v="0"/>
    <x v="1"/>
    <n v="0.23"/>
    <x v="1"/>
    <x v="711"/>
    <n v="35224"/>
    <x v="0"/>
    <x v="712"/>
    <x v="2"/>
    <n v="84"/>
    <x v="0"/>
    <x v="1"/>
    <x v="2"/>
    <x v="1"/>
    <x v="1"/>
    <x v="4"/>
    <x v="0"/>
  </r>
  <r>
    <x v="759"/>
    <n v="9804"/>
    <n v="5016"/>
    <n v="14820"/>
    <x v="2"/>
    <x v="3"/>
    <x v="2"/>
    <x v="1"/>
    <x v="0"/>
    <x v="0"/>
    <n v="633"/>
    <x v="0"/>
    <n v="2"/>
    <x v="0"/>
    <n v="0.35"/>
    <x v="2"/>
    <x v="712"/>
    <n v="25557"/>
    <x v="0"/>
    <x v="713"/>
    <x v="0"/>
    <n v="36"/>
    <x v="4"/>
    <x v="1"/>
    <x v="2"/>
    <x v="1"/>
    <x v="1"/>
    <x v="1"/>
    <x v="0"/>
  </r>
  <r>
    <x v="760"/>
    <n v="8565"/>
    <n v="769"/>
    <n v="9334"/>
    <x v="1"/>
    <x v="35"/>
    <x v="2"/>
    <x v="1"/>
    <x v="2"/>
    <x v="2"/>
    <n v="638"/>
    <x v="0"/>
    <n v="1"/>
    <x v="0"/>
    <n v="0.17"/>
    <x v="1"/>
    <x v="713"/>
    <n v="38191"/>
    <x v="0"/>
    <x v="714"/>
    <x v="1"/>
    <n v="24"/>
    <x v="5"/>
    <x v="2"/>
    <x v="0"/>
    <x v="0"/>
    <x v="1"/>
    <x v="1"/>
    <x v="0"/>
  </r>
  <r>
    <x v="761"/>
    <n v="7984"/>
    <n v="1343"/>
    <n v="9327"/>
    <x v="0"/>
    <x v="4"/>
    <x v="1"/>
    <x v="0"/>
    <x v="0"/>
    <x v="0"/>
    <n v="628"/>
    <x v="0"/>
    <n v="0"/>
    <x v="1"/>
    <n v="0.41"/>
    <x v="3"/>
    <x v="714"/>
    <n v="14246"/>
    <x v="0"/>
    <x v="715"/>
    <x v="1"/>
    <n v="36"/>
    <x v="4"/>
    <x v="1"/>
    <x v="0"/>
    <x v="0"/>
    <x v="0"/>
    <x v="0"/>
    <x v="0"/>
  </r>
  <r>
    <x v="762"/>
    <n v="6670"/>
    <n v="4358"/>
    <n v="11028"/>
    <x v="2"/>
    <x v="8"/>
    <x v="0"/>
    <x v="0"/>
    <x v="1"/>
    <x v="1"/>
    <n v="662"/>
    <x v="0"/>
    <n v="4"/>
    <x v="0"/>
    <n v="0.38"/>
    <x v="2"/>
    <x v="715"/>
    <n v="12846"/>
    <x v="0"/>
    <x v="716"/>
    <x v="0"/>
    <n v="36"/>
    <x v="4"/>
    <x v="1"/>
    <x v="0"/>
    <x v="1"/>
    <x v="0"/>
    <x v="0"/>
    <x v="1"/>
  </r>
  <r>
    <x v="763"/>
    <n v="11184"/>
    <n v="9769"/>
    <n v="20953"/>
    <x v="0"/>
    <x v="23"/>
    <x v="0"/>
    <x v="0"/>
    <x v="2"/>
    <x v="2"/>
    <n v="550"/>
    <x v="2"/>
    <n v="1"/>
    <x v="0"/>
    <n v="0.46"/>
    <x v="3"/>
    <x v="716"/>
    <n v="37085"/>
    <x v="0"/>
    <x v="717"/>
    <x v="1"/>
    <n v="36"/>
    <x v="4"/>
    <x v="0"/>
    <x v="2"/>
    <x v="1"/>
    <x v="1"/>
    <x v="1"/>
    <x v="0"/>
  </r>
  <r>
    <x v="764"/>
    <n v="4192"/>
    <n v="6780"/>
    <n v="10972"/>
    <x v="0"/>
    <x v="2"/>
    <x v="1"/>
    <x v="0"/>
    <x v="2"/>
    <x v="2"/>
    <n v="621"/>
    <x v="0"/>
    <n v="0"/>
    <x v="1"/>
    <n v="0.56999999999999995"/>
    <x v="0"/>
    <x v="717"/>
    <n v="45403"/>
    <x v="0"/>
    <x v="718"/>
    <x v="0"/>
    <n v="48"/>
    <x v="1"/>
    <x v="4"/>
    <x v="0"/>
    <x v="1"/>
    <x v="0"/>
    <x v="0"/>
    <x v="0"/>
  </r>
  <r>
    <x v="765"/>
    <n v="0"/>
    <n v="6602"/>
    <n v="6602"/>
    <x v="0"/>
    <x v="2"/>
    <x v="1"/>
    <x v="0"/>
    <x v="0"/>
    <x v="0"/>
    <n v="714"/>
    <x v="1"/>
    <n v="0"/>
    <x v="1"/>
    <n v="0.56000000000000005"/>
    <x v="0"/>
    <x v="718"/>
    <n v="13470"/>
    <x v="0"/>
    <x v="719"/>
    <x v="0"/>
    <n v="36"/>
    <x v="4"/>
    <x v="0"/>
    <x v="0"/>
    <x v="1"/>
    <x v="0"/>
    <x v="0"/>
    <x v="0"/>
  </r>
  <r>
    <x v="766"/>
    <n v="13246"/>
    <n v="2349"/>
    <n v="15595"/>
    <x v="2"/>
    <x v="11"/>
    <x v="2"/>
    <x v="1"/>
    <x v="2"/>
    <x v="2"/>
    <n v="598"/>
    <x v="0"/>
    <n v="3"/>
    <x v="0"/>
    <n v="0.56999999999999995"/>
    <x v="0"/>
    <x v="719"/>
    <n v="13176"/>
    <x v="0"/>
    <x v="720"/>
    <x v="0"/>
    <n v="24"/>
    <x v="5"/>
    <x v="2"/>
    <x v="1"/>
    <x v="1"/>
    <x v="1"/>
    <x v="0"/>
    <x v="0"/>
  </r>
  <r>
    <x v="767"/>
    <n v="14790"/>
    <n v="5699"/>
    <n v="20489"/>
    <x v="1"/>
    <x v="38"/>
    <x v="1"/>
    <x v="1"/>
    <x v="2"/>
    <x v="2"/>
    <n v="601"/>
    <x v="0"/>
    <n v="0"/>
    <x v="1"/>
    <n v="0.22"/>
    <x v="1"/>
    <x v="11"/>
    <n v="41881"/>
    <x v="0"/>
    <x v="721"/>
    <x v="0"/>
    <n v="60"/>
    <x v="3"/>
    <x v="1"/>
    <x v="2"/>
    <x v="1"/>
    <x v="0"/>
    <x v="0"/>
    <x v="0"/>
  </r>
  <r>
    <x v="768"/>
    <n v="5687"/>
    <n v="1241"/>
    <n v="6928"/>
    <x v="0"/>
    <x v="25"/>
    <x v="4"/>
    <x v="0"/>
    <x v="1"/>
    <x v="1"/>
    <n v="582"/>
    <x v="0"/>
    <n v="2"/>
    <x v="0"/>
    <n v="0.17"/>
    <x v="1"/>
    <x v="11"/>
    <n v="13546"/>
    <x v="0"/>
    <x v="722"/>
    <x v="1"/>
    <n v="48"/>
    <x v="1"/>
    <x v="4"/>
    <x v="2"/>
    <x v="1"/>
    <x v="1"/>
    <x v="1"/>
    <x v="0"/>
  </r>
  <r>
    <x v="769"/>
    <n v="6018"/>
    <n v="1125"/>
    <n v="7143"/>
    <x v="2"/>
    <x v="3"/>
    <x v="2"/>
    <x v="0"/>
    <x v="2"/>
    <x v="2"/>
    <n v="571"/>
    <x v="2"/>
    <n v="2"/>
    <x v="0"/>
    <n v="0.25"/>
    <x v="1"/>
    <x v="720"/>
    <n v="6805"/>
    <x v="0"/>
    <x v="723"/>
    <x v="3"/>
    <n v="12"/>
    <x v="6"/>
    <x v="1"/>
    <x v="2"/>
    <x v="0"/>
    <x v="0"/>
    <x v="1"/>
    <x v="0"/>
  </r>
  <r>
    <x v="770"/>
    <n v="13302"/>
    <n v="9382"/>
    <n v="22684"/>
    <x v="4"/>
    <x v="6"/>
    <x v="3"/>
    <x v="0"/>
    <x v="3"/>
    <x v="3"/>
    <n v="663"/>
    <x v="0"/>
    <n v="1"/>
    <x v="0"/>
    <n v="0.55000000000000004"/>
    <x v="0"/>
    <x v="721"/>
    <n v="16788"/>
    <x v="0"/>
    <x v="724"/>
    <x v="1"/>
    <n v="36"/>
    <x v="4"/>
    <x v="1"/>
    <x v="1"/>
    <x v="0"/>
    <x v="1"/>
    <x v="2"/>
    <x v="0"/>
  </r>
  <r>
    <x v="771"/>
    <n v="3970"/>
    <n v="6764"/>
    <n v="10734"/>
    <x v="0"/>
    <x v="28"/>
    <x v="0"/>
    <x v="0"/>
    <x v="0"/>
    <x v="0"/>
    <n v="788"/>
    <x v="3"/>
    <n v="3"/>
    <x v="0"/>
    <n v="0.59"/>
    <x v="0"/>
    <x v="722"/>
    <n v="29348"/>
    <x v="0"/>
    <x v="725"/>
    <x v="3"/>
    <n v="84"/>
    <x v="0"/>
    <x v="2"/>
    <x v="2"/>
    <x v="1"/>
    <x v="0"/>
    <x v="0"/>
    <x v="0"/>
  </r>
  <r>
    <x v="772"/>
    <n v="10389"/>
    <n v="5101"/>
    <n v="15490"/>
    <x v="0"/>
    <x v="15"/>
    <x v="1"/>
    <x v="0"/>
    <x v="2"/>
    <x v="2"/>
    <n v="550"/>
    <x v="2"/>
    <n v="2"/>
    <x v="0"/>
    <n v="0.53"/>
    <x v="0"/>
    <x v="723"/>
    <n v="8080"/>
    <x v="0"/>
    <x v="62"/>
    <x v="1"/>
    <n v="84"/>
    <x v="0"/>
    <x v="1"/>
    <x v="0"/>
    <x v="1"/>
    <x v="1"/>
    <x v="2"/>
    <x v="0"/>
  </r>
  <r>
    <x v="773"/>
    <n v="19586"/>
    <n v="7843"/>
    <n v="27429"/>
    <x v="0"/>
    <x v="4"/>
    <x v="1"/>
    <x v="0"/>
    <x v="0"/>
    <x v="0"/>
    <n v="780"/>
    <x v="3"/>
    <n v="2"/>
    <x v="0"/>
    <n v="0.16"/>
    <x v="1"/>
    <x v="724"/>
    <n v="35886"/>
    <x v="0"/>
    <x v="726"/>
    <x v="2"/>
    <n v="60"/>
    <x v="3"/>
    <x v="3"/>
    <x v="0"/>
    <x v="1"/>
    <x v="0"/>
    <x v="4"/>
    <x v="1"/>
  </r>
  <r>
    <x v="774"/>
    <n v="17374"/>
    <n v="72"/>
    <n v="17446"/>
    <x v="0"/>
    <x v="10"/>
    <x v="0"/>
    <x v="0"/>
    <x v="0"/>
    <x v="0"/>
    <n v="567"/>
    <x v="2"/>
    <n v="3"/>
    <x v="0"/>
    <n v="0.56999999999999995"/>
    <x v="0"/>
    <x v="11"/>
    <n v="23764"/>
    <x v="0"/>
    <x v="727"/>
    <x v="3"/>
    <n v="60"/>
    <x v="3"/>
    <x v="4"/>
    <x v="2"/>
    <x v="1"/>
    <x v="1"/>
    <x v="2"/>
    <x v="0"/>
  </r>
  <r>
    <x v="775"/>
    <n v="7408"/>
    <n v="0"/>
    <n v="7408"/>
    <x v="4"/>
    <x v="14"/>
    <x v="2"/>
    <x v="0"/>
    <x v="2"/>
    <x v="2"/>
    <n v="667"/>
    <x v="0"/>
    <n v="2"/>
    <x v="0"/>
    <n v="0.1"/>
    <x v="1"/>
    <x v="725"/>
    <n v="33333"/>
    <x v="0"/>
    <x v="728"/>
    <x v="0"/>
    <n v="84"/>
    <x v="0"/>
    <x v="2"/>
    <x v="2"/>
    <x v="1"/>
    <x v="1"/>
    <x v="4"/>
    <x v="1"/>
  </r>
  <r>
    <x v="776"/>
    <n v="11446"/>
    <n v="2472"/>
    <n v="13918"/>
    <x v="1"/>
    <x v="7"/>
    <x v="0"/>
    <x v="1"/>
    <x v="2"/>
    <x v="2"/>
    <n v="666"/>
    <x v="0"/>
    <n v="0"/>
    <x v="1"/>
    <n v="0.32"/>
    <x v="2"/>
    <x v="726"/>
    <n v="15701"/>
    <x v="0"/>
    <x v="729"/>
    <x v="1"/>
    <n v="12"/>
    <x v="6"/>
    <x v="2"/>
    <x v="1"/>
    <x v="1"/>
    <x v="0"/>
    <x v="0"/>
    <x v="1"/>
  </r>
  <r>
    <x v="777"/>
    <n v="2922"/>
    <n v="707"/>
    <n v="3629"/>
    <x v="0"/>
    <x v="14"/>
    <x v="2"/>
    <x v="0"/>
    <x v="0"/>
    <x v="0"/>
    <n v="586"/>
    <x v="0"/>
    <n v="1"/>
    <x v="0"/>
    <n v="0.12"/>
    <x v="1"/>
    <x v="727"/>
    <n v="14859"/>
    <x v="0"/>
    <x v="718"/>
    <x v="0"/>
    <n v="72"/>
    <x v="2"/>
    <x v="1"/>
    <x v="0"/>
    <x v="0"/>
    <x v="0"/>
    <x v="0"/>
    <x v="0"/>
  </r>
  <r>
    <x v="778"/>
    <n v="2419"/>
    <n v="1804"/>
    <n v="4223"/>
    <x v="0"/>
    <x v="30"/>
    <x v="2"/>
    <x v="0"/>
    <x v="3"/>
    <x v="3"/>
    <n v="771"/>
    <x v="3"/>
    <n v="2"/>
    <x v="0"/>
    <n v="0.37"/>
    <x v="2"/>
    <x v="728"/>
    <n v="21183"/>
    <x v="0"/>
    <x v="730"/>
    <x v="2"/>
    <n v="48"/>
    <x v="1"/>
    <x v="1"/>
    <x v="0"/>
    <x v="0"/>
    <x v="1"/>
    <x v="0"/>
    <x v="0"/>
  </r>
  <r>
    <x v="779"/>
    <n v="3120"/>
    <n v="3713"/>
    <n v="6833"/>
    <x v="0"/>
    <x v="11"/>
    <x v="2"/>
    <x v="0"/>
    <x v="3"/>
    <x v="3"/>
    <n v="772"/>
    <x v="3"/>
    <n v="4"/>
    <x v="0"/>
    <n v="0.34"/>
    <x v="2"/>
    <x v="729"/>
    <n v="31749"/>
    <x v="0"/>
    <x v="731"/>
    <x v="3"/>
    <n v="24"/>
    <x v="5"/>
    <x v="2"/>
    <x v="0"/>
    <x v="1"/>
    <x v="1"/>
    <x v="2"/>
    <x v="1"/>
  </r>
  <r>
    <x v="780"/>
    <n v="13260"/>
    <n v="5051"/>
    <n v="18311"/>
    <x v="2"/>
    <x v="2"/>
    <x v="1"/>
    <x v="0"/>
    <x v="0"/>
    <x v="0"/>
    <n v="613"/>
    <x v="0"/>
    <n v="0"/>
    <x v="1"/>
    <n v="0.41"/>
    <x v="3"/>
    <x v="730"/>
    <n v="31887"/>
    <x v="0"/>
    <x v="732"/>
    <x v="0"/>
    <n v="72"/>
    <x v="2"/>
    <x v="2"/>
    <x v="2"/>
    <x v="1"/>
    <x v="0"/>
    <x v="4"/>
    <x v="0"/>
  </r>
  <r>
    <x v="781"/>
    <n v="19334"/>
    <n v="2475"/>
    <n v="21809"/>
    <x v="0"/>
    <x v="30"/>
    <x v="2"/>
    <x v="0"/>
    <x v="1"/>
    <x v="1"/>
    <n v="687"/>
    <x v="1"/>
    <n v="1"/>
    <x v="0"/>
    <n v="0.53"/>
    <x v="0"/>
    <x v="731"/>
    <n v="42244"/>
    <x v="0"/>
    <x v="733"/>
    <x v="0"/>
    <n v="60"/>
    <x v="3"/>
    <x v="2"/>
    <x v="0"/>
    <x v="1"/>
    <x v="0"/>
    <x v="3"/>
    <x v="0"/>
  </r>
  <r>
    <x v="782"/>
    <n v="4336"/>
    <n v="3610"/>
    <n v="7946"/>
    <x v="2"/>
    <x v="28"/>
    <x v="0"/>
    <x v="1"/>
    <x v="0"/>
    <x v="0"/>
    <n v="628"/>
    <x v="0"/>
    <n v="2"/>
    <x v="0"/>
    <n v="0.43"/>
    <x v="3"/>
    <x v="732"/>
    <n v="8776"/>
    <x v="0"/>
    <x v="734"/>
    <x v="2"/>
    <n v="72"/>
    <x v="2"/>
    <x v="1"/>
    <x v="0"/>
    <x v="0"/>
    <x v="1"/>
    <x v="2"/>
    <x v="0"/>
  </r>
  <r>
    <x v="783"/>
    <n v="7373"/>
    <n v="4255"/>
    <n v="11628"/>
    <x v="2"/>
    <x v="16"/>
    <x v="1"/>
    <x v="0"/>
    <x v="0"/>
    <x v="0"/>
    <n v="719"/>
    <x v="1"/>
    <n v="1"/>
    <x v="0"/>
    <n v="0.32"/>
    <x v="2"/>
    <x v="733"/>
    <n v="15021"/>
    <x v="0"/>
    <x v="735"/>
    <x v="2"/>
    <n v="84"/>
    <x v="0"/>
    <x v="2"/>
    <x v="0"/>
    <x v="1"/>
    <x v="0"/>
    <x v="1"/>
    <x v="1"/>
  </r>
  <r>
    <x v="784"/>
    <n v="4243"/>
    <n v="7397"/>
    <n v="11640"/>
    <x v="0"/>
    <x v="13"/>
    <x v="2"/>
    <x v="0"/>
    <x v="2"/>
    <x v="2"/>
    <n v="672"/>
    <x v="1"/>
    <n v="3"/>
    <x v="0"/>
    <n v="0.51"/>
    <x v="0"/>
    <x v="11"/>
    <n v="4327"/>
    <x v="0"/>
    <x v="736"/>
    <x v="1"/>
    <n v="60"/>
    <x v="3"/>
    <x v="3"/>
    <x v="0"/>
    <x v="1"/>
    <x v="1"/>
    <x v="4"/>
    <x v="0"/>
  </r>
  <r>
    <x v="785"/>
    <n v="6612"/>
    <n v="0"/>
    <n v="6612"/>
    <x v="2"/>
    <x v="29"/>
    <x v="2"/>
    <x v="1"/>
    <x v="3"/>
    <x v="3"/>
    <n v="725"/>
    <x v="1"/>
    <n v="2"/>
    <x v="0"/>
    <n v="0.55000000000000004"/>
    <x v="0"/>
    <x v="734"/>
    <n v="48043"/>
    <x v="0"/>
    <x v="737"/>
    <x v="2"/>
    <n v="72"/>
    <x v="2"/>
    <x v="0"/>
    <x v="0"/>
    <x v="1"/>
    <x v="1"/>
    <x v="1"/>
    <x v="0"/>
  </r>
  <r>
    <x v="786"/>
    <n v="15946"/>
    <n v="9777"/>
    <n v="25723"/>
    <x v="1"/>
    <x v="33"/>
    <x v="4"/>
    <x v="0"/>
    <x v="1"/>
    <x v="1"/>
    <n v="593"/>
    <x v="0"/>
    <n v="2"/>
    <x v="0"/>
    <n v="0.16"/>
    <x v="1"/>
    <x v="735"/>
    <n v="7614"/>
    <x v="0"/>
    <x v="36"/>
    <x v="3"/>
    <n v="60"/>
    <x v="3"/>
    <x v="2"/>
    <x v="0"/>
    <x v="1"/>
    <x v="0"/>
    <x v="1"/>
    <x v="0"/>
  </r>
  <r>
    <x v="787"/>
    <n v="13104"/>
    <n v="8258"/>
    <n v="21362"/>
    <x v="1"/>
    <x v="37"/>
    <x v="1"/>
    <x v="0"/>
    <x v="3"/>
    <x v="3"/>
    <n v="631"/>
    <x v="0"/>
    <n v="3"/>
    <x v="0"/>
    <n v="0.37"/>
    <x v="2"/>
    <x v="736"/>
    <n v="1245"/>
    <x v="0"/>
    <x v="738"/>
    <x v="3"/>
    <n v="60"/>
    <x v="3"/>
    <x v="0"/>
    <x v="2"/>
    <x v="1"/>
    <x v="0"/>
    <x v="0"/>
    <x v="0"/>
  </r>
  <r>
    <x v="788"/>
    <n v="15429"/>
    <n v="7979"/>
    <n v="23408"/>
    <x v="1"/>
    <x v="25"/>
    <x v="4"/>
    <x v="0"/>
    <x v="1"/>
    <x v="1"/>
    <n v="636"/>
    <x v="0"/>
    <n v="4"/>
    <x v="0"/>
    <n v="0.24"/>
    <x v="1"/>
    <x v="306"/>
    <n v="41011"/>
    <x v="0"/>
    <x v="739"/>
    <x v="2"/>
    <n v="48"/>
    <x v="1"/>
    <x v="1"/>
    <x v="0"/>
    <x v="1"/>
    <x v="1"/>
    <x v="1"/>
    <x v="0"/>
  </r>
  <r>
    <x v="789"/>
    <n v="8371"/>
    <n v="2428"/>
    <n v="10799"/>
    <x v="0"/>
    <x v="33"/>
    <x v="4"/>
    <x v="1"/>
    <x v="0"/>
    <x v="0"/>
    <n v="774"/>
    <x v="3"/>
    <n v="2"/>
    <x v="0"/>
    <n v="0.12"/>
    <x v="1"/>
    <x v="737"/>
    <n v="10355"/>
    <x v="0"/>
    <x v="740"/>
    <x v="0"/>
    <n v="12"/>
    <x v="6"/>
    <x v="2"/>
    <x v="0"/>
    <x v="1"/>
    <x v="1"/>
    <x v="4"/>
    <x v="1"/>
  </r>
  <r>
    <x v="790"/>
    <n v="8359"/>
    <n v="7426"/>
    <n v="15785"/>
    <x v="0"/>
    <x v="9"/>
    <x v="2"/>
    <x v="1"/>
    <x v="2"/>
    <x v="2"/>
    <n v="565"/>
    <x v="2"/>
    <n v="1"/>
    <x v="0"/>
    <n v="0.35"/>
    <x v="2"/>
    <x v="738"/>
    <n v="33305"/>
    <x v="0"/>
    <x v="63"/>
    <x v="2"/>
    <n v="60"/>
    <x v="3"/>
    <x v="4"/>
    <x v="1"/>
    <x v="1"/>
    <x v="0"/>
    <x v="1"/>
    <x v="0"/>
  </r>
  <r>
    <x v="791"/>
    <n v="9863"/>
    <n v="8533"/>
    <n v="18396"/>
    <x v="0"/>
    <x v="38"/>
    <x v="1"/>
    <x v="0"/>
    <x v="2"/>
    <x v="2"/>
    <n v="603"/>
    <x v="0"/>
    <n v="0"/>
    <x v="1"/>
    <n v="0.53"/>
    <x v="0"/>
    <x v="739"/>
    <n v="48692"/>
    <x v="0"/>
    <x v="741"/>
    <x v="1"/>
    <n v="24"/>
    <x v="5"/>
    <x v="1"/>
    <x v="1"/>
    <x v="1"/>
    <x v="1"/>
    <x v="3"/>
    <x v="0"/>
  </r>
  <r>
    <x v="792"/>
    <n v="5228"/>
    <n v="5249"/>
    <n v="10477"/>
    <x v="0"/>
    <x v="13"/>
    <x v="2"/>
    <x v="1"/>
    <x v="3"/>
    <x v="3"/>
    <n v="550"/>
    <x v="2"/>
    <n v="0"/>
    <x v="1"/>
    <n v="0.18"/>
    <x v="1"/>
    <x v="740"/>
    <n v="0"/>
    <x v="1"/>
    <x v="742"/>
    <x v="0"/>
    <n v="84"/>
    <x v="0"/>
    <x v="3"/>
    <x v="0"/>
    <x v="1"/>
    <x v="0"/>
    <x v="0"/>
    <x v="1"/>
  </r>
  <r>
    <x v="793"/>
    <n v="16382"/>
    <n v="5291"/>
    <n v="21673"/>
    <x v="1"/>
    <x v="13"/>
    <x v="2"/>
    <x v="1"/>
    <x v="2"/>
    <x v="2"/>
    <n v="712"/>
    <x v="1"/>
    <n v="4"/>
    <x v="0"/>
    <n v="0.51"/>
    <x v="0"/>
    <x v="11"/>
    <n v="49692"/>
    <x v="0"/>
    <x v="743"/>
    <x v="0"/>
    <n v="84"/>
    <x v="0"/>
    <x v="3"/>
    <x v="0"/>
    <x v="0"/>
    <x v="0"/>
    <x v="0"/>
    <x v="0"/>
  </r>
  <r>
    <x v="794"/>
    <n v="0"/>
    <n v="2817"/>
    <n v="2817"/>
    <x v="0"/>
    <x v="22"/>
    <x v="2"/>
    <x v="0"/>
    <x v="3"/>
    <x v="3"/>
    <n v="647"/>
    <x v="0"/>
    <n v="0"/>
    <x v="1"/>
    <n v="0.35"/>
    <x v="2"/>
    <x v="741"/>
    <n v="0"/>
    <x v="1"/>
    <x v="744"/>
    <x v="2"/>
    <n v="24"/>
    <x v="5"/>
    <x v="2"/>
    <x v="2"/>
    <x v="1"/>
    <x v="1"/>
    <x v="0"/>
    <x v="0"/>
  </r>
  <r>
    <x v="795"/>
    <n v="5756"/>
    <n v="9424"/>
    <n v="15180"/>
    <x v="3"/>
    <x v="20"/>
    <x v="0"/>
    <x v="0"/>
    <x v="3"/>
    <x v="3"/>
    <n v="705"/>
    <x v="1"/>
    <n v="1"/>
    <x v="0"/>
    <n v="0.56000000000000005"/>
    <x v="0"/>
    <x v="742"/>
    <n v="0"/>
    <x v="1"/>
    <x v="745"/>
    <x v="2"/>
    <n v="36"/>
    <x v="4"/>
    <x v="0"/>
    <x v="0"/>
    <x v="1"/>
    <x v="1"/>
    <x v="4"/>
    <x v="0"/>
  </r>
  <r>
    <x v="796"/>
    <n v="17770"/>
    <n v="3874"/>
    <n v="21644"/>
    <x v="2"/>
    <x v="15"/>
    <x v="1"/>
    <x v="0"/>
    <x v="1"/>
    <x v="1"/>
    <n v="551"/>
    <x v="2"/>
    <n v="1"/>
    <x v="0"/>
    <n v="0.23"/>
    <x v="1"/>
    <x v="743"/>
    <n v="1415"/>
    <x v="0"/>
    <x v="746"/>
    <x v="2"/>
    <n v="60"/>
    <x v="3"/>
    <x v="4"/>
    <x v="0"/>
    <x v="1"/>
    <x v="1"/>
    <x v="0"/>
    <x v="0"/>
  </r>
  <r>
    <x v="797"/>
    <n v="0"/>
    <n v="9686"/>
    <n v="9686"/>
    <x v="0"/>
    <x v="3"/>
    <x v="2"/>
    <x v="1"/>
    <x v="3"/>
    <x v="3"/>
    <n v="643"/>
    <x v="0"/>
    <n v="3"/>
    <x v="0"/>
    <n v="0.55000000000000004"/>
    <x v="0"/>
    <x v="744"/>
    <n v="43798"/>
    <x v="0"/>
    <x v="747"/>
    <x v="2"/>
    <n v="60"/>
    <x v="3"/>
    <x v="2"/>
    <x v="0"/>
    <x v="0"/>
    <x v="1"/>
    <x v="1"/>
    <x v="0"/>
  </r>
  <r>
    <x v="798"/>
    <n v="4674"/>
    <n v="4211"/>
    <n v="8885"/>
    <x v="0"/>
    <x v="5"/>
    <x v="0"/>
    <x v="0"/>
    <x v="1"/>
    <x v="1"/>
    <n v="550"/>
    <x v="2"/>
    <n v="4"/>
    <x v="0"/>
    <n v="0.26"/>
    <x v="1"/>
    <x v="745"/>
    <n v="1652"/>
    <x v="0"/>
    <x v="748"/>
    <x v="3"/>
    <n v="60"/>
    <x v="3"/>
    <x v="3"/>
    <x v="0"/>
    <x v="1"/>
    <x v="0"/>
    <x v="1"/>
    <x v="1"/>
  </r>
  <r>
    <x v="799"/>
    <n v="8898"/>
    <n v="661"/>
    <n v="9559"/>
    <x v="2"/>
    <x v="9"/>
    <x v="2"/>
    <x v="1"/>
    <x v="2"/>
    <x v="2"/>
    <n v="718"/>
    <x v="1"/>
    <n v="3"/>
    <x v="0"/>
    <n v="0.38"/>
    <x v="2"/>
    <x v="746"/>
    <n v="43625"/>
    <x v="0"/>
    <x v="749"/>
    <x v="2"/>
    <n v="72"/>
    <x v="2"/>
    <x v="2"/>
    <x v="2"/>
    <x v="1"/>
    <x v="0"/>
    <x v="2"/>
    <x v="1"/>
  </r>
  <r>
    <x v="800"/>
    <n v="12147"/>
    <n v="3374"/>
    <n v="15521"/>
    <x v="2"/>
    <x v="38"/>
    <x v="1"/>
    <x v="0"/>
    <x v="3"/>
    <x v="3"/>
    <n v="757"/>
    <x v="3"/>
    <n v="0"/>
    <x v="1"/>
    <n v="0.35"/>
    <x v="2"/>
    <x v="747"/>
    <n v="20446"/>
    <x v="0"/>
    <x v="750"/>
    <x v="0"/>
    <n v="60"/>
    <x v="3"/>
    <x v="3"/>
    <x v="1"/>
    <x v="1"/>
    <x v="1"/>
    <x v="4"/>
    <x v="1"/>
  </r>
  <r>
    <x v="801"/>
    <n v="2793"/>
    <n v="9208"/>
    <n v="12001"/>
    <x v="2"/>
    <x v="3"/>
    <x v="2"/>
    <x v="1"/>
    <x v="3"/>
    <x v="3"/>
    <n v="608"/>
    <x v="0"/>
    <n v="3"/>
    <x v="0"/>
    <n v="0.12"/>
    <x v="1"/>
    <x v="748"/>
    <n v="0"/>
    <x v="1"/>
    <x v="36"/>
    <x v="3"/>
    <n v="60"/>
    <x v="3"/>
    <x v="3"/>
    <x v="2"/>
    <x v="1"/>
    <x v="1"/>
    <x v="0"/>
    <x v="0"/>
  </r>
  <r>
    <x v="802"/>
    <n v="4116"/>
    <n v="207"/>
    <n v="4323"/>
    <x v="0"/>
    <x v="18"/>
    <x v="0"/>
    <x v="0"/>
    <x v="0"/>
    <x v="0"/>
    <n v="618"/>
    <x v="0"/>
    <n v="4"/>
    <x v="0"/>
    <n v="0.46"/>
    <x v="3"/>
    <x v="749"/>
    <n v="3810"/>
    <x v="0"/>
    <x v="751"/>
    <x v="0"/>
    <n v="24"/>
    <x v="5"/>
    <x v="4"/>
    <x v="2"/>
    <x v="1"/>
    <x v="1"/>
    <x v="1"/>
    <x v="0"/>
  </r>
  <r>
    <x v="803"/>
    <n v="7779"/>
    <n v="0"/>
    <n v="7779"/>
    <x v="0"/>
    <x v="6"/>
    <x v="3"/>
    <x v="0"/>
    <x v="3"/>
    <x v="3"/>
    <n v="668"/>
    <x v="0"/>
    <n v="2"/>
    <x v="0"/>
    <n v="0.32"/>
    <x v="2"/>
    <x v="750"/>
    <n v="16569"/>
    <x v="0"/>
    <x v="752"/>
    <x v="2"/>
    <n v="12"/>
    <x v="6"/>
    <x v="0"/>
    <x v="0"/>
    <x v="1"/>
    <x v="0"/>
    <x v="3"/>
    <x v="1"/>
  </r>
  <r>
    <x v="804"/>
    <n v="14298"/>
    <n v="2493"/>
    <n v="16791"/>
    <x v="0"/>
    <x v="19"/>
    <x v="4"/>
    <x v="1"/>
    <x v="3"/>
    <x v="3"/>
    <n v="641"/>
    <x v="0"/>
    <n v="2"/>
    <x v="0"/>
    <n v="0.23"/>
    <x v="1"/>
    <x v="751"/>
    <n v="34319"/>
    <x v="0"/>
    <x v="753"/>
    <x v="2"/>
    <n v="48"/>
    <x v="1"/>
    <x v="4"/>
    <x v="2"/>
    <x v="0"/>
    <x v="0"/>
    <x v="4"/>
    <x v="0"/>
  </r>
  <r>
    <x v="805"/>
    <n v="16153"/>
    <n v="6813"/>
    <n v="22966"/>
    <x v="0"/>
    <x v="23"/>
    <x v="0"/>
    <x v="1"/>
    <x v="0"/>
    <x v="0"/>
    <n v="730"/>
    <x v="1"/>
    <n v="0"/>
    <x v="1"/>
    <n v="0.2"/>
    <x v="1"/>
    <x v="752"/>
    <n v="13584"/>
    <x v="0"/>
    <x v="36"/>
    <x v="3"/>
    <n v="36"/>
    <x v="4"/>
    <x v="4"/>
    <x v="0"/>
    <x v="0"/>
    <x v="0"/>
    <x v="3"/>
    <x v="1"/>
  </r>
  <r>
    <x v="806"/>
    <n v="13111"/>
    <n v="632"/>
    <n v="13743"/>
    <x v="2"/>
    <x v="1"/>
    <x v="0"/>
    <x v="1"/>
    <x v="0"/>
    <x v="0"/>
    <n v="780"/>
    <x v="3"/>
    <n v="2"/>
    <x v="0"/>
    <n v="0.43"/>
    <x v="3"/>
    <x v="753"/>
    <n v="26783"/>
    <x v="0"/>
    <x v="754"/>
    <x v="0"/>
    <n v="24"/>
    <x v="5"/>
    <x v="4"/>
    <x v="0"/>
    <x v="0"/>
    <x v="1"/>
    <x v="0"/>
    <x v="0"/>
  </r>
  <r>
    <x v="807"/>
    <n v="13397"/>
    <n v="3719"/>
    <n v="17116"/>
    <x v="1"/>
    <x v="17"/>
    <x v="1"/>
    <x v="1"/>
    <x v="3"/>
    <x v="3"/>
    <n v="697"/>
    <x v="1"/>
    <n v="0"/>
    <x v="1"/>
    <n v="0.5"/>
    <x v="3"/>
    <x v="754"/>
    <n v="12511"/>
    <x v="0"/>
    <x v="755"/>
    <x v="2"/>
    <n v="12"/>
    <x v="6"/>
    <x v="2"/>
    <x v="1"/>
    <x v="0"/>
    <x v="1"/>
    <x v="3"/>
    <x v="0"/>
  </r>
  <r>
    <x v="808"/>
    <n v="14999"/>
    <n v="7123"/>
    <n v="22122"/>
    <x v="2"/>
    <x v="17"/>
    <x v="1"/>
    <x v="0"/>
    <x v="2"/>
    <x v="2"/>
    <n v="573"/>
    <x v="2"/>
    <n v="4"/>
    <x v="0"/>
    <n v="0.14000000000000001"/>
    <x v="1"/>
    <x v="755"/>
    <n v="0"/>
    <x v="1"/>
    <x v="756"/>
    <x v="0"/>
    <n v="48"/>
    <x v="1"/>
    <x v="3"/>
    <x v="0"/>
    <x v="1"/>
    <x v="0"/>
    <x v="0"/>
    <x v="0"/>
  </r>
  <r>
    <x v="809"/>
    <n v="2814"/>
    <n v="1679"/>
    <n v="4493"/>
    <x v="1"/>
    <x v="31"/>
    <x v="4"/>
    <x v="0"/>
    <x v="2"/>
    <x v="2"/>
    <n v="738"/>
    <x v="1"/>
    <n v="0"/>
    <x v="1"/>
    <n v="0.2"/>
    <x v="1"/>
    <x v="756"/>
    <n v="45235"/>
    <x v="0"/>
    <x v="757"/>
    <x v="3"/>
    <n v="48"/>
    <x v="1"/>
    <x v="1"/>
    <x v="1"/>
    <x v="1"/>
    <x v="0"/>
    <x v="0"/>
    <x v="0"/>
  </r>
  <r>
    <x v="810"/>
    <n v="18729"/>
    <n v="236"/>
    <n v="18965"/>
    <x v="0"/>
    <x v="27"/>
    <x v="3"/>
    <x v="0"/>
    <x v="0"/>
    <x v="0"/>
    <n v="640"/>
    <x v="0"/>
    <n v="0"/>
    <x v="1"/>
    <n v="0.28999999999999998"/>
    <x v="1"/>
    <x v="757"/>
    <n v="6163"/>
    <x v="0"/>
    <x v="758"/>
    <x v="2"/>
    <n v="48"/>
    <x v="1"/>
    <x v="4"/>
    <x v="0"/>
    <x v="0"/>
    <x v="0"/>
    <x v="3"/>
    <x v="0"/>
  </r>
  <r>
    <x v="811"/>
    <n v="12541"/>
    <n v="7446"/>
    <n v="19987"/>
    <x v="4"/>
    <x v="6"/>
    <x v="3"/>
    <x v="0"/>
    <x v="1"/>
    <x v="1"/>
    <n v="643"/>
    <x v="0"/>
    <n v="1"/>
    <x v="0"/>
    <n v="0.34"/>
    <x v="2"/>
    <x v="758"/>
    <n v="16065"/>
    <x v="0"/>
    <x v="759"/>
    <x v="0"/>
    <n v="60"/>
    <x v="3"/>
    <x v="4"/>
    <x v="0"/>
    <x v="1"/>
    <x v="1"/>
    <x v="4"/>
    <x v="0"/>
  </r>
  <r>
    <x v="812"/>
    <n v="4443"/>
    <n v="4443"/>
    <n v="8886"/>
    <x v="3"/>
    <x v="31"/>
    <x v="4"/>
    <x v="0"/>
    <x v="2"/>
    <x v="2"/>
    <n v="607"/>
    <x v="0"/>
    <n v="1"/>
    <x v="0"/>
    <n v="0.28000000000000003"/>
    <x v="1"/>
    <x v="759"/>
    <n v="44654"/>
    <x v="0"/>
    <x v="760"/>
    <x v="0"/>
    <n v="60"/>
    <x v="3"/>
    <x v="1"/>
    <x v="0"/>
    <x v="1"/>
    <x v="0"/>
    <x v="3"/>
    <x v="0"/>
  </r>
  <r>
    <x v="813"/>
    <n v="12457"/>
    <n v="6770"/>
    <n v="19227"/>
    <x v="0"/>
    <x v="32"/>
    <x v="3"/>
    <x v="1"/>
    <x v="1"/>
    <x v="1"/>
    <n v="786"/>
    <x v="3"/>
    <n v="0"/>
    <x v="1"/>
    <n v="0.26"/>
    <x v="1"/>
    <x v="760"/>
    <n v="17920"/>
    <x v="0"/>
    <x v="761"/>
    <x v="1"/>
    <n v="36"/>
    <x v="4"/>
    <x v="4"/>
    <x v="2"/>
    <x v="1"/>
    <x v="1"/>
    <x v="0"/>
    <x v="1"/>
  </r>
  <r>
    <x v="814"/>
    <n v="12380"/>
    <n v="9732"/>
    <n v="22112"/>
    <x v="3"/>
    <x v="1"/>
    <x v="0"/>
    <x v="0"/>
    <x v="3"/>
    <x v="3"/>
    <n v="704"/>
    <x v="1"/>
    <n v="2"/>
    <x v="0"/>
    <n v="0.57999999999999996"/>
    <x v="0"/>
    <x v="761"/>
    <n v="38969"/>
    <x v="0"/>
    <x v="762"/>
    <x v="0"/>
    <n v="84"/>
    <x v="0"/>
    <x v="4"/>
    <x v="1"/>
    <x v="1"/>
    <x v="0"/>
    <x v="0"/>
    <x v="0"/>
  </r>
  <r>
    <x v="815"/>
    <n v="9783"/>
    <n v="6099"/>
    <n v="15882"/>
    <x v="2"/>
    <x v="4"/>
    <x v="1"/>
    <x v="1"/>
    <x v="0"/>
    <x v="0"/>
    <n v="703"/>
    <x v="1"/>
    <n v="1"/>
    <x v="0"/>
    <n v="0.35"/>
    <x v="2"/>
    <x v="762"/>
    <n v="48348"/>
    <x v="0"/>
    <x v="763"/>
    <x v="2"/>
    <n v="36"/>
    <x v="4"/>
    <x v="4"/>
    <x v="2"/>
    <x v="0"/>
    <x v="1"/>
    <x v="0"/>
    <x v="0"/>
  </r>
  <r>
    <x v="816"/>
    <n v="13473"/>
    <n v="8555"/>
    <n v="22028"/>
    <x v="0"/>
    <x v="21"/>
    <x v="1"/>
    <x v="0"/>
    <x v="3"/>
    <x v="3"/>
    <n v="677"/>
    <x v="1"/>
    <n v="4"/>
    <x v="0"/>
    <n v="0.11"/>
    <x v="1"/>
    <x v="298"/>
    <n v="19154"/>
    <x v="0"/>
    <x v="764"/>
    <x v="0"/>
    <n v="36"/>
    <x v="4"/>
    <x v="1"/>
    <x v="0"/>
    <x v="1"/>
    <x v="1"/>
    <x v="1"/>
    <x v="1"/>
  </r>
  <r>
    <x v="817"/>
    <n v="17328"/>
    <n v="285"/>
    <n v="17613"/>
    <x v="2"/>
    <x v="3"/>
    <x v="2"/>
    <x v="0"/>
    <x v="0"/>
    <x v="0"/>
    <n v="719"/>
    <x v="1"/>
    <n v="1"/>
    <x v="0"/>
    <n v="0.54"/>
    <x v="0"/>
    <x v="763"/>
    <n v="20229"/>
    <x v="0"/>
    <x v="765"/>
    <x v="1"/>
    <n v="48"/>
    <x v="1"/>
    <x v="4"/>
    <x v="2"/>
    <x v="1"/>
    <x v="0"/>
    <x v="1"/>
    <x v="0"/>
  </r>
  <r>
    <x v="818"/>
    <n v="2827"/>
    <n v="148"/>
    <n v="2975"/>
    <x v="1"/>
    <x v="3"/>
    <x v="2"/>
    <x v="1"/>
    <x v="3"/>
    <x v="3"/>
    <n v="596"/>
    <x v="0"/>
    <n v="0"/>
    <x v="1"/>
    <n v="0.35"/>
    <x v="2"/>
    <x v="764"/>
    <n v="49713"/>
    <x v="0"/>
    <x v="766"/>
    <x v="3"/>
    <n v="60"/>
    <x v="3"/>
    <x v="2"/>
    <x v="0"/>
    <x v="0"/>
    <x v="1"/>
    <x v="1"/>
    <x v="0"/>
  </r>
  <r>
    <x v="819"/>
    <n v="9147"/>
    <n v="4037"/>
    <n v="13184"/>
    <x v="3"/>
    <x v="20"/>
    <x v="0"/>
    <x v="1"/>
    <x v="0"/>
    <x v="0"/>
    <n v="602"/>
    <x v="0"/>
    <n v="2"/>
    <x v="0"/>
    <n v="0.15"/>
    <x v="1"/>
    <x v="765"/>
    <n v="26997"/>
    <x v="0"/>
    <x v="767"/>
    <x v="0"/>
    <n v="48"/>
    <x v="1"/>
    <x v="1"/>
    <x v="0"/>
    <x v="1"/>
    <x v="0"/>
    <x v="3"/>
    <x v="0"/>
  </r>
  <r>
    <x v="820"/>
    <n v="6451"/>
    <n v="6549"/>
    <n v="13000"/>
    <x v="3"/>
    <x v="1"/>
    <x v="0"/>
    <x v="1"/>
    <x v="1"/>
    <x v="1"/>
    <n v="736"/>
    <x v="1"/>
    <n v="3"/>
    <x v="0"/>
    <n v="0.48"/>
    <x v="3"/>
    <x v="766"/>
    <n v="21101"/>
    <x v="0"/>
    <x v="768"/>
    <x v="1"/>
    <n v="36"/>
    <x v="4"/>
    <x v="0"/>
    <x v="1"/>
    <x v="1"/>
    <x v="0"/>
    <x v="0"/>
    <x v="0"/>
  </r>
  <r>
    <x v="821"/>
    <n v="17343"/>
    <n v="7121"/>
    <n v="24464"/>
    <x v="0"/>
    <x v="18"/>
    <x v="0"/>
    <x v="1"/>
    <x v="3"/>
    <x v="3"/>
    <n v="587"/>
    <x v="0"/>
    <n v="1"/>
    <x v="0"/>
    <n v="0.4"/>
    <x v="2"/>
    <x v="143"/>
    <n v="40391"/>
    <x v="0"/>
    <x v="769"/>
    <x v="3"/>
    <n v="60"/>
    <x v="3"/>
    <x v="1"/>
    <x v="2"/>
    <x v="0"/>
    <x v="0"/>
    <x v="0"/>
    <x v="0"/>
  </r>
  <r>
    <x v="822"/>
    <n v="15635"/>
    <n v="9958"/>
    <n v="25593"/>
    <x v="0"/>
    <x v="22"/>
    <x v="2"/>
    <x v="0"/>
    <x v="0"/>
    <x v="0"/>
    <n v="746"/>
    <x v="3"/>
    <n v="0"/>
    <x v="1"/>
    <n v="0.39"/>
    <x v="2"/>
    <x v="767"/>
    <n v="10327"/>
    <x v="0"/>
    <x v="770"/>
    <x v="0"/>
    <n v="24"/>
    <x v="5"/>
    <x v="3"/>
    <x v="0"/>
    <x v="1"/>
    <x v="1"/>
    <x v="3"/>
    <x v="1"/>
  </r>
  <r>
    <x v="823"/>
    <n v="7959"/>
    <n v="4895"/>
    <n v="12854"/>
    <x v="3"/>
    <x v="3"/>
    <x v="2"/>
    <x v="0"/>
    <x v="2"/>
    <x v="2"/>
    <n v="764"/>
    <x v="3"/>
    <n v="2"/>
    <x v="0"/>
    <n v="0.13"/>
    <x v="1"/>
    <x v="768"/>
    <n v="7187"/>
    <x v="0"/>
    <x v="771"/>
    <x v="0"/>
    <n v="12"/>
    <x v="6"/>
    <x v="1"/>
    <x v="0"/>
    <x v="1"/>
    <x v="0"/>
    <x v="1"/>
    <x v="1"/>
  </r>
  <r>
    <x v="824"/>
    <n v="2126"/>
    <n v="5280"/>
    <n v="7406"/>
    <x v="1"/>
    <x v="24"/>
    <x v="2"/>
    <x v="1"/>
    <x v="3"/>
    <x v="3"/>
    <n v="550"/>
    <x v="2"/>
    <n v="2"/>
    <x v="0"/>
    <n v="0.17"/>
    <x v="1"/>
    <x v="769"/>
    <n v="29685"/>
    <x v="0"/>
    <x v="772"/>
    <x v="0"/>
    <n v="12"/>
    <x v="6"/>
    <x v="0"/>
    <x v="0"/>
    <x v="0"/>
    <x v="1"/>
    <x v="1"/>
    <x v="0"/>
  </r>
  <r>
    <x v="825"/>
    <n v="10795"/>
    <n v="1012"/>
    <n v="11807"/>
    <x v="0"/>
    <x v="37"/>
    <x v="1"/>
    <x v="0"/>
    <x v="1"/>
    <x v="1"/>
    <n v="775"/>
    <x v="3"/>
    <n v="0"/>
    <x v="1"/>
    <n v="0.41"/>
    <x v="3"/>
    <x v="770"/>
    <n v="34948"/>
    <x v="0"/>
    <x v="773"/>
    <x v="0"/>
    <n v="36"/>
    <x v="4"/>
    <x v="2"/>
    <x v="2"/>
    <x v="1"/>
    <x v="1"/>
    <x v="1"/>
    <x v="0"/>
  </r>
  <r>
    <x v="826"/>
    <n v="13641"/>
    <n v="9715"/>
    <n v="23356"/>
    <x v="0"/>
    <x v="24"/>
    <x v="2"/>
    <x v="0"/>
    <x v="0"/>
    <x v="0"/>
    <n v="602"/>
    <x v="0"/>
    <n v="4"/>
    <x v="0"/>
    <n v="0.2"/>
    <x v="1"/>
    <x v="771"/>
    <n v="34728"/>
    <x v="0"/>
    <x v="509"/>
    <x v="1"/>
    <n v="84"/>
    <x v="0"/>
    <x v="0"/>
    <x v="1"/>
    <x v="0"/>
    <x v="1"/>
    <x v="1"/>
    <x v="0"/>
  </r>
  <r>
    <x v="827"/>
    <n v="9196"/>
    <n v="2785"/>
    <n v="11981"/>
    <x v="1"/>
    <x v="7"/>
    <x v="0"/>
    <x v="0"/>
    <x v="3"/>
    <x v="3"/>
    <n v="692"/>
    <x v="1"/>
    <n v="2"/>
    <x v="0"/>
    <n v="0.35"/>
    <x v="2"/>
    <x v="772"/>
    <n v="37921"/>
    <x v="0"/>
    <x v="774"/>
    <x v="2"/>
    <n v="48"/>
    <x v="1"/>
    <x v="1"/>
    <x v="2"/>
    <x v="1"/>
    <x v="1"/>
    <x v="0"/>
    <x v="1"/>
  </r>
  <r>
    <x v="828"/>
    <n v="13559"/>
    <n v="3725"/>
    <n v="17284"/>
    <x v="4"/>
    <x v="30"/>
    <x v="2"/>
    <x v="0"/>
    <x v="3"/>
    <x v="3"/>
    <n v="773"/>
    <x v="3"/>
    <n v="3"/>
    <x v="0"/>
    <n v="0.37"/>
    <x v="2"/>
    <x v="773"/>
    <n v="7035"/>
    <x v="0"/>
    <x v="775"/>
    <x v="2"/>
    <n v="24"/>
    <x v="5"/>
    <x v="0"/>
    <x v="0"/>
    <x v="0"/>
    <x v="1"/>
    <x v="1"/>
    <x v="0"/>
  </r>
  <r>
    <x v="829"/>
    <n v="5368"/>
    <n v="4576"/>
    <n v="9944"/>
    <x v="2"/>
    <x v="35"/>
    <x v="2"/>
    <x v="0"/>
    <x v="3"/>
    <x v="3"/>
    <n v="703"/>
    <x v="1"/>
    <n v="1"/>
    <x v="0"/>
    <n v="0.24"/>
    <x v="1"/>
    <x v="774"/>
    <n v="0"/>
    <x v="1"/>
    <x v="776"/>
    <x v="0"/>
    <n v="60"/>
    <x v="3"/>
    <x v="1"/>
    <x v="0"/>
    <x v="0"/>
    <x v="1"/>
    <x v="2"/>
    <x v="1"/>
  </r>
  <r>
    <x v="830"/>
    <n v="5797"/>
    <n v="5782"/>
    <n v="11579"/>
    <x v="1"/>
    <x v="36"/>
    <x v="1"/>
    <x v="0"/>
    <x v="1"/>
    <x v="1"/>
    <n v="597"/>
    <x v="0"/>
    <n v="3"/>
    <x v="0"/>
    <n v="0.56999999999999995"/>
    <x v="0"/>
    <x v="775"/>
    <n v="28460"/>
    <x v="0"/>
    <x v="777"/>
    <x v="0"/>
    <n v="84"/>
    <x v="0"/>
    <x v="2"/>
    <x v="1"/>
    <x v="1"/>
    <x v="1"/>
    <x v="1"/>
    <x v="0"/>
  </r>
  <r>
    <x v="831"/>
    <n v="17114"/>
    <n v="6257"/>
    <n v="23371"/>
    <x v="0"/>
    <x v="26"/>
    <x v="3"/>
    <x v="0"/>
    <x v="0"/>
    <x v="0"/>
    <n v="644"/>
    <x v="0"/>
    <n v="0"/>
    <x v="1"/>
    <n v="0.52"/>
    <x v="0"/>
    <x v="776"/>
    <n v="21071"/>
    <x v="0"/>
    <x v="778"/>
    <x v="2"/>
    <n v="48"/>
    <x v="1"/>
    <x v="2"/>
    <x v="1"/>
    <x v="1"/>
    <x v="1"/>
    <x v="0"/>
    <x v="0"/>
  </r>
  <r>
    <x v="832"/>
    <n v="15718"/>
    <n v="9793"/>
    <n v="25511"/>
    <x v="0"/>
    <x v="3"/>
    <x v="2"/>
    <x v="0"/>
    <x v="2"/>
    <x v="2"/>
    <n v="696"/>
    <x v="1"/>
    <n v="0"/>
    <x v="1"/>
    <n v="0.46"/>
    <x v="3"/>
    <x v="777"/>
    <n v="582"/>
    <x v="0"/>
    <x v="779"/>
    <x v="0"/>
    <n v="36"/>
    <x v="4"/>
    <x v="3"/>
    <x v="2"/>
    <x v="0"/>
    <x v="1"/>
    <x v="3"/>
    <x v="0"/>
  </r>
  <r>
    <x v="833"/>
    <n v="3792"/>
    <n v="2408"/>
    <n v="6200"/>
    <x v="2"/>
    <x v="27"/>
    <x v="3"/>
    <x v="0"/>
    <x v="2"/>
    <x v="2"/>
    <n v="686"/>
    <x v="1"/>
    <n v="3"/>
    <x v="0"/>
    <n v="0.14000000000000001"/>
    <x v="1"/>
    <x v="778"/>
    <n v="48282"/>
    <x v="0"/>
    <x v="780"/>
    <x v="0"/>
    <n v="48"/>
    <x v="1"/>
    <x v="2"/>
    <x v="0"/>
    <x v="1"/>
    <x v="1"/>
    <x v="0"/>
    <x v="1"/>
  </r>
  <r>
    <x v="834"/>
    <n v="13053"/>
    <n v="340"/>
    <n v="13393"/>
    <x v="0"/>
    <x v="22"/>
    <x v="2"/>
    <x v="0"/>
    <x v="2"/>
    <x v="2"/>
    <n v="613"/>
    <x v="0"/>
    <n v="4"/>
    <x v="0"/>
    <n v="0.15"/>
    <x v="1"/>
    <x v="779"/>
    <n v="26189"/>
    <x v="0"/>
    <x v="781"/>
    <x v="2"/>
    <n v="36"/>
    <x v="4"/>
    <x v="4"/>
    <x v="2"/>
    <x v="1"/>
    <x v="0"/>
    <x v="0"/>
    <x v="0"/>
  </r>
  <r>
    <x v="835"/>
    <n v="5476"/>
    <n v="2817"/>
    <n v="8293"/>
    <x v="0"/>
    <x v="0"/>
    <x v="0"/>
    <x v="1"/>
    <x v="0"/>
    <x v="0"/>
    <n v="642"/>
    <x v="0"/>
    <n v="0"/>
    <x v="1"/>
    <n v="0.35"/>
    <x v="2"/>
    <x v="780"/>
    <n v="15531"/>
    <x v="0"/>
    <x v="782"/>
    <x v="2"/>
    <n v="72"/>
    <x v="2"/>
    <x v="2"/>
    <x v="1"/>
    <x v="1"/>
    <x v="1"/>
    <x v="3"/>
    <x v="0"/>
  </r>
  <r>
    <x v="836"/>
    <n v="5417"/>
    <n v="2496"/>
    <n v="7913"/>
    <x v="0"/>
    <x v="21"/>
    <x v="1"/>
    <x v="0"/>
    <x v="2"/>
    <x v="2"/>
    <n v="731"/>
    <x v="1"/>
    <n v="0"/>
    <x v="1"/>
    <n v="0.18"/>
    <x v="1"/>
    <x v="781"/>
    <n v="16672"/>
    <x v="0"/>
    <x v="783"/>
    <x v="0"/>
    <n v="12"/>
    <x v="6"/>
    <x v="2"/>
    <x v="2"/>
    <x v="0"/>
    <x v="1"/>
    <x v="0"/>
    <x v="1"/>
  </r>
  <r>
    <x v="837"/>
    <n v="3645"/>
    <n v="5962"/>
    <n v="9607"/>
    <x v="1"/>
    <x v="9"/>
    <x v="2"/>
    <x v="0"/>
    <x v="1"/>
    <x v="1"/>
    <n v="674"/>
    <x v="1"/>
    <n v="3"/>
    <x v="0"/>
    <n v="0.59"/>
    <x v="0"/>
    <x v="782"/>
    <n v="0"/>
    <x v="1"/>
    <x v="784"/>
    <x v="0"/>
    <n v="84"/>
    <x v="0"/>
    <x v="2"/>
    <x v="2"/>
    <x v="0"/>
    <x v="1"/>
    <x v="2"/>
    <x v="0"/>
  </r>
  <r>
    <x v="838"/>
    <n v="5072"/>
    <n v="9917"/>
    <n v="14989"/>
    <x v="0"/>
    <x v="18"/>
    <x v="0"/>
    <x v="0"/>
    <x v="3"/>
    <x v="3"/>
    <n v="728"/>
    <x v="1"/>
    <n v="4"/>
    <x v="0"/>
    <n v="0.34"/>
    <x v="2"/>
    <x v="783"/>
    <n v="3060"/>
    <x v="0"/>
    <x v="785"/>
    <x v="2"/>
    <n v="48"/>
    <x v="1"/>
    <x v="3"/>
    <x v="0"/>
    <x v="1"/>
    <x v="1"/>
    <x v="4"/>
    <x v="0"/>
  </r>
  <r>
    <x v="839"/>
    <n v="3854"/>
    <n v="7574"/>
    <n v="11428"/>
    <x v="0"/>
    <x v="3"/>
    <x v="2"/>
    <x v="0"/>
    <x v="1"/>
    <x v="1"/>
    <n v="588"/>
    <x v="0"/>
    <n v="0"/>
    <x v="1"/>
    <n v="0.28000000000000003"/>
    <x v="1"/>
    <x v="784"/>
    <n v="13731"/>
    <x v="0"/>
    <x v="786"/>
    <x v="0"/>
    <n v="24"/>
    <x v="5"/>
    <x v="3"/>
    <x v="0"/>
    <x v="0"/>
    <x v="1"/>
    <x v="1"/>
    <x v="0"/>
  </r>
  <r>
    <x v="840"/>
    <n v="0"/>
    <n v="1689"/>
    <n v="1689"/>
    <x v="1"/>
    <x v="34"/>
    <x v="3"/>
    <x v="1"/>
    <x v="0"/>
    <x v="0"/>
    <n v="553"/>
    <x v="2"/>
    <n v="4"/>
    <x v="0"/>
    <n v="0.42"/>
    <x v="3"/>
    <x v="785"/>
    <n v="12294"/>
    <x v="0"/>
    <x v="36"/>
    <x v="3"/>
    <n v="60"/>
    <x v="3"/>
    <x v="3"/>
    <x v="1"/>
    <x v="0"/>
    <x v="0"/>
    <x v="0"/>
    <x v="0"/>
  </r>
  <r>
    <x v="841"/>
    <n v="8514"/>
    <n v="3267"/>
    <n v="11781"/>
    <x v="3"/>
    <x v="38"/>
    <x v="1"/>
    <x v="0"/>
    <x v="2"/>
    <x v="2"/>
    <n v="675"/>
    <x v="1"/>
    <n v="1"/>
    <x v="0"/>
    <n v="0.16"/>
    <x v="1"/>
    <x v="786"/>
    <n v="20719"/>
    <x v="0"/>
    <x v="787"/>
    <x v="2"/>
    <n v="36"/>
    <x v="4"/>
    <x v="4"/>
    <x v="2"/>
    <x v="1"/>
    <x v="0"/>
    <x v="0"/>
    <x v="1"/>
  </r>
  <r>
    <x v="842"/>
    <n v="4708"/>
    <n v="4406"/>
    <n v="9114"/>
    <x v="0"/>
    <x v="22"/>
    <x v="2"/>
    <x v="1"/>
    <x v="1"/>
    <x v="1"/>
    <n v="552"/>
    <x v="2"/>
    <n v="0"/>
    <x v="1"/>
    <n v="0.32"/>
    <x v="2"/>
    <x v="787"/>
    <n v="47042"/>
    <x v="0"/>
    <x v="788"/>
    <x v="1"/>
    <n v="60"/>
    <x v="3"/>
    <x v="2"/>
    <x v="2"/>
    <x v="0"/>
    <x v="0"/>
    <x v="2"/>
    <x v="0"/>
  </r>
  <r>
    <x v="843"/>
    <n v="13694"/>
    <n v="8453"/>
    <n v="22147"/>
    <x v="0"/>
    <x v="18"/>
    <x v="0"/>
    <x v="1"/>
    <x v="0"/>
    <x v="0"/>
    <n v="797"/>
    <x v="3"/>
    <n v="4"/>
    <x v="0"/>
    <n v="0.24"/>
    <x v="1"/>
    <x v="788"/>
    <n v="49116"/>
    <x v="0"/>
    <x v="36"/>
    <x v="3"/>
    <n v="12"/>
    <x v="6"/>
    <x v="3"/>
    <x v="0"/>
    <x v="0"/>
    <x v="0"/>
    <x v="3"/>
    <x v="1"/>
  </r>
  <r>
    <x v="844"/>
    <n v="11524"/>
    <n v="1442"/>
    <n v="12966"/>
    <x v="0"/>
    <x v="3"/>
    <x v="2"/>
    <x v="1"/>
    <x v="1"/>
    <x v="1"/>
    <n v="613"/>
    <x v="0"/>
    <n v="1"/>
    <x v="0"/>
    <n v="0.54"/>
    <x v="0"/>
    <x v="789"/>
    <n v="26325"/>
    <x v="0"/>
    <x v="789"/>
    <x v="2"/>
    <n v="24"/>
    <x v="5"/>
    <x v="4"/>
    <x v="1"/>
    <x v="1"/>
    <x v="0"/>
    <x v="4"/>
    <x v="0"/>
  </r>
  <r>
    <x v="845"/>
    <n v="8456"/>
    <n v="8597"/>
    <n v="17053"/>
    <x v="2"/>
    <x v="29"/>
    <x v="2"/>
    <x v="0"/>
    <x v="3"/>
    <x v="3"/>
    <n v="578"/>
    <x v="2"/>
    <n v="2"/>
    <x v="0"/>
    <n v="0.12"/>
    <x v="1"/>
    <x v="790"/>
    <n v="22597"/>
    <x v="0"/>
    <x v="790"/>
    <x v="2"/>
    <n v="24"/>
    <x v="5"/>
    <x v="0"/>
    <x v="1"/>
    <x v="0"/>
    <x v="0"/>
    <x v="2"/>
    <x v="0"/>
  </r>
  <r>
    <x v="846"/>
    <n v="6212"/>
    <n v="4437"/>
    <n v="10649"/>
    <x v="0"/>
    <x v="4"/>
    <x v="1"/>
    <x v="0"/>
    <x v="0"/>
    <x v="0"/>
    <n v="665"/>
    <x v="0"/>
    <n v="0"/>
    <x v="1"/>
    <n v="0.56000000000000005"/>
    <x v="0"/>
    <x v="746"/>
    <n v="1903"/>
    <x v="0"/>
    <x v="791"/>
    <x v="2"/>
    <n v="60"/>
    <x v="3"/>
    <x v="1"/>
    <x v="0"/>
    <x v="1"/>
    <x v="0"/>
    <x v="0"/>
    <x v="0"/>
  </r>
  <r>
    <x v="847"/>
    <n v="15224"/>
    <n v="5435"/>
    <n v="20659"/>
    <x v="4"/>
    <x v="8"/>
    <x v="0"/>
    <x v="0"/>
    <x v="1"/>
    <x v="1"/>
    <n v="560"/>
    <x v="2"/>
    <n v="4"/>
    <x v="0"/>
    <n v="0.52"/>
    <x v="0"/>
    <x v="791"/>
    <n v="14551"/>
    <x v="0"/>
    <x v="792"/>
    <x v="2"/>
    <n v="12"/>
    <x v="6"/>
    <x v="2"/>
    <x v="1"/>
    <x v="1"/>
    <x v="1"/>
    <x v="0"/>
    <x v="0"/>
  </r>
  <r>
    <x v="848"/>
    <n v="9970"/>
    <n v="8435"/>
    <n v="18405"/>
    <x v="1"/>
    <x v="37"/>
    <x v="1"/>
    <x v="0"/>
    <x v="1"/>
    <x v="1"/>
    <n v="646"/>
    <x v="0"/>
    <n v="0"/>
    <x v="1"/>
    <n v="0.25"/>
    <x v="1"/>
    <x v="792"/>
    <n v="27751"/>
    <x v="0"/>
    <x v="793"/>
    <x v="0"/>
    <n v="60"/>
    <x v="3"/>
    <x v="2"/>
    <x v="0"/>
    <x v="1"/>
    <x v="1"/>
    <x v="0"/>
    <x v="0"/>
  </r>
  <r>
    <x v="849"/>
    <n v="18920"/>
    <n v="4107"/>
    <n v="23027"/>
    <x v="2"/>
    <x v="8"/>
    <x v="0"/>
    <x v="0"/>
    <x v="1"/>
    <x v="1"/>
    <n v="651"/>
    <x v="0"/>
    <n v="3"/>
    <x v="0"/>
    <n v="0.49"/>
    <x v="3"/>
    <x v="793"/>
    <n v="24278"/>
    <x v="0"/>
    <x v="794"/>
    <x v="2"/>
    <n v="48"/>
    <x v="1"/>
    <x v="0"/>
    <x v="0"/>
    <x v="0"/>
    <x v="1"/>
    <x v="4"/>
    <x v="0"/>
  </r>
  <r>
    <x v="850"/>
    <n v="0"/>
    <n v="560"/>
    <n v="560"/>
    <x v="0"/>
    <x v="3"/>
    <x v="2"/>
    <x v="0"/>
    <x v="1"/>
    <x v="1"/>
    <n v="735"/>
    <x v="1"/>
    <n v="0"/>
    <x v="1"/>
    <n v="0.12"/>
    <x v="1"/>
    <x v="794"/>
    <n v="25653"/>
    <x v="0"/>
    <x v="795"/>
    <x v="0"/>
    <n v="24"/>
    <x v="5"/>
    <x v="2"/>
    <x v="0"/>
    <x v="0"/>
    <x v="1"/>
    <x v="3"/>
    <x v="0"/>
  </r>
  <r>
    <x v="851"/>
    <n v="12314"/>
    <n v="8785"/>
    <n v="21099"/>
    <x v="2"/>
    <x v="6"/>
    <x v="3"/>
    <x v="0"/>
    <x v="0"/>
    <x v="0"/>
    <n v="752"/>
    <x v="3"/>
    <n v="1"/>
    <x v="0"/>
    <n v="0.57999999999999996"/>
    <x v="0"/>
    <x v="795"/>
    <n v="15141"/>
    <x v="0"/>
    <x v="796"/>
    <x v="2"/>
    <n v="24"/>
    <x v="5"/>
    <x v="2"/>
    <x v="1"/>
    <x v="1"/>
    <x v="0"/>
    <x v="4"/>
    <x v="0"/>
  </r>
  <r>
    <x v="852"/>
    <n v="9973"/>
    <n v="0"/>
    <n v="9973"/>
    <x v="0"/>
    <x v="35"/>
    <x v="2"/>
    <x v="0"/>
    <x v="3"/>
    <x v="3"/>
    <n v="704"/>
    <x v="1"/>
    <n v="0"/>
    <x v="1"/>
    <n v="0.36"/>
    <x v="2"/>
    <x v="796"/>
    <n v="2377"/>
    <x v="0"/>
    <x v="239"/>
    <x v="0"/>
    <n v="48"/>
    <x v="1"/>
    <x v="2"/>
    <x v="1"/>
    <x v="1"/>
    <x v="1"/>
    <x v="2"/>
    <x v="1"/>
  </r>
  <r>
    <x v="853"/>
    <n v="10577"/>
    <n v="1826"/>
    <n v="12403"/>
    <x v="1"/>
    <x v="16"/>
    <x v="1"/>
    <x v="0"/>
    <x v="1"/>
    <x v="1"/>
    <n v="774"/>
    <x v="3"/>
    <n v="0"/>
    <x v="1"/>
    <n v="0.25"/>
    <x v="1"/>
    <x v="11"/>
    <n v="33615"/>
    <x v="0"/>
    <x v="797"/>
    <x v="3"/>
    <n v="12"/>
    <x v="6"/>
    <x v="2"/>
    <x v="0"/>
    <x v="1"/>
    <x v="0"/>
    <x v="4"/>
    <x v="1"/>
  </r>
  <r>
    <x v="854"/>
    <n v="10070"/>
    <n v="7629"/>
    <n v="17699"/>
    <x v="4"/>
    <x v="10"/>
    <x v="0"/>
    <x v="0"/>
    <x v="0"/>
    <x v="0"/>
    <n v="570"/>
    <x v="2"/>
    <n v="0"/>
    <x v="1"/>
    <n v="0.28000000000000003"/>
    <x v="1"/>
    <x v="797"/>
    <n v="47148"/>
    <x v="0"/>
    <x v="798"/>
    <x v="2"/>
    <n v="48"/>
    <x v="1"/>
    <x v="4"/>
    <x v="2"/>
    <x v="0"/>
    <x v="1"/>
    <x v="0"/>
    <x v="0"/>
  </r>
  <r>
    <x v="855"/>
    <n v="10666"/>
    <n v="8325"/>
    <n v="18991"/>
    <x v="2"/>
    <x v="9"/>
    <x v="2"/>
    <x v="1"/>
    <x v="3"/>
    <x v="3"/>
    <n v="588"/>
    <x v="0"/>
    <n v="2"/>
    <x v="0"/>
    <n v="0.13"/>
    <x v="1"/>
    <x v="798"/>
    <n v="27452"/>
    <x v="0"/>
    <x v="799"/>
    <x v="1"/>
    <n v="84"/>
    <x v="0"/>
    <x v="4"/>
    <x v="2"/>
    <x v="0"/>
    <x v="1"/>
    <x v="0"/>
    <x v="0"/>
  </r>
  <r>
    <x v="856"/>
    <n v="5600"/>
    <n v="3138"/>
    <n v="8738"/>
    <x v="0"/>
    <x v="27"/>
    <x v="3"/>
    <x v="0"/>
    <x v="1"/>
    <x v="1"/>
    <n v="550"/>
    <x v="2"/>
    <n v="2"/>
    <x v="0"/>
    <n v="0.59"/>
    <x v="0"/>
    <x v="799"/>
    <n v="22725"/>
    <x v="0"/>
    <x v="112"/>
    <x v="0"/>
    <n v="72"/>
    <x v="2"/>
    <x v="1"/>
    <x v="1"/>
    <x v="1"/>
    <x v="1"/>
    <x v="2"/>
    <x v="0"/>
  </r>
  <r>
    <x v="857"/>
    <n v="8783"/>
    <n v="7693"/>
    <n v="16476"/>
    <x v="2"/>
    <x v="3"/>
    <x v="2"/>
    <x v="0"/>
    <x v="3"/>
    <x v="3"/>
    <n v="550"/>
    <x v="2"/>
    <n v="3"/>
    <x v="0"/>
    <n v="0.12"/>
    <x v="1"/>
    <x v="800"/>
    <n v="9524"/>
    <x v="0"/>
    <x v="800"/>
    <x v="2"/>
    <n v="72"/>
    <x v="2"/>
    <x v="2"/>
    <x v="0"/>
    <x v="1"/>
    <x v="1"/>
    <x v="0"/>
    <x v="1"/>
  </r>
  <r>
    <x v="858"/>
    <n v="15226"/>
    <n v="8264"/>
    <n v="23490"/>
    <x v="2"/>
    <x v="19"/>
    <x v="4"/>
    <x v="1"/>
    <x v="3"/>
    <x v="3"/>
    <n v="595"/>
    <x v="0"/>
    <n v="1"/>
    <x v="0"/>
    <n v="0.43"/>
    <x v="3"/>
    <x v="801"/>
    <n v="47999"/>
    <x v="0"/>
    <x v="801"/>
    <x v="2"/>
    <n v="72"/>
    <x v="2"/>
    <x v="0"/>
    <x v="2"/>
    <x v="1"/>
    <x v="1"/>
    <x v="1"/>
    <x v="0"/>
  </r>
  <r>
    <x v="859"/>
    <n v="11146"/>
    <n v="7842"/>
    <n v="18988"/>
    <x v="1"/>
    <x v="27"/>
    <x v="3"/>
    <x v="0"/>
    <x v="0"/>
    <x v="0"/>
    <n v="615"/>
    <x v="0"/>
    <n v="0"/>
    <x v="1"/>
    <n v="0.32"/>
    <x v="2"/>
    <x v="802"/>
    <n v="11698"/>
    <x v="0"/>
    <x v="802"/>
    <x v="2"/>
    <n v="36"/>
    <x v="4"/>
    <x v="3"/>
    <x v="2"/>
    <x v="1"/>
    <x v="1"/>
    <x v="0"/>
    <x v="0"/>
  </r>
  <r>
    <x v="860"/>
    <n v="6971"/>
    <n v="6721"/>
    <n v="13692"/>
    <x v="2"/>
    <x v="21"/>
    <x v="1"/>
    <x v="0"/>
    <x v="3"/>
    <x v="3"/>
    <n v="640"/>
    <x v="0"/>
    <n v="0"/>
    <x v="1"/>
    <n v="0.56999999999999995"/>
    <x v="0"/>
    <x v="803"/>
    <n v="43339"/>
    <x v="0"/>
    <x v="36"/>
    <x v="3"/>
    <n v="84"/>
    <x v="0"/>
    <x v="1"/>
    <x v="0"/>
    <x v="1"/>
    <x v="1"/>
    <x v="0"/>
    <x v="0"/>
  </r>
  <r>
    <x v="861"/>
    <n v="15490"/>
    <n v="7002"/>
    <n v="22492"/>
    <x v="2"/>
    <x v="30"/>
    <x v="2"/>
    <x v="0"/>
    <x v="0"/>
    <x v="0"/>
    <n v="713"/>
    <x v="1"/>
    <n v="0"/>
    <x v="1"/>
    <n v="0.22"/>
    <x v="1"/>
    <x v="804"/>
    <n v="21175"/>
    <x v="0"/>
    <x v="803"/>
    <x v="2"/>
    <n v="36"/>
    <x v="4"/>
    <x v="3"/>
    <x v="0"/>
    <x v="0"/>
    <x v="1"/>
    <x v="0"/>
    <x v="1"/>
  </r>
  <r>
    <x v="862"/>
    <n v="19589"/>
    <n v="4225"/>
    <n v="23814"/>
    <x v="0"/>
    <x v="4"/>
    <x v="1"/>
    <x v="1"/>
    <x v="1"/>
    <x v="1"/>
    <n v="752"/>
    <x v="3"/>
    <n v="0"/>
    <x v="1"/>
    <n v="0.37"/>
    <x v="2"/>
    <x v="805"/>
    <n v="12314"/>
    <x v="0"/>
    <x v="804"/>
    <x v="2"/>
    <n v="12"/>
    <x v="6"/>
    <x v="3"/>
    <x v="2"/>
    <x v="1"/>
    <x v="0"/>
    <x v="0"/>
    <x v="1"/>
  </r>
  <r>
    <x v="863"/>
    <n v="14951"/>
    <n v="2978"/>
    <n v="17929"/>
    <x v="0"/>
    <x v="21"/>
    <x v="1"/>
    <x v="0"/>
    <x v="3"/>
    <x v="3"/>
    <n v="660"/>
    <x v="0"/>
    <n v="2"/>
    <x v="0"/>
    <n v="0.34"/>
    <x v="2"/>
    <x v="806"/>
    <n v="44197"/>
    <x v="0"/>
    <x v="805"/>
    <x v="0"/>
    <n v="48"/>
    <x v="1"/>
    <x v="2"/>
    <x v="0"/>
    <x v="1"/>
    <x v="1"/>
    <x v="2"/>
    <x v="1"/>
  </r>
  <r>
    <x v="864"/>
    <n v="14312"/>
    <n v="7373"/>
    <n v="21685"/>
    <x v="3"/>
    <x v="20"/>
    <x v="0"/>
    <x v="0"/>
    <x v="3"/>
    <x v="3"/>
    <n v="631"/>
    <x v="0"/>
    <n v="3"/>
    <x v="0"/>
    <n v="0.45"/>
    <x v="3"/>
    <x v="807"/>
    <n v="2365"/>
    <x v="0"/>
    <x v="806"/>
    <x v="2"/>
    <n v="60"/>
    <x v="3"/>
    <x v="0"/>
    <x v="1"/>
    <x v="1"/>
    <x v="1"/>
    <x v="1"/>
    <x v="0"/>
  </r>
  <r>
    <x v="865"/>
    <n v="3990"/>
    <n v="5907"/>
    <n v="9897"/>
    <x v="0"/>
    <x v="18"/>
    <x v="0"/>
    <x v="0"/>
    <x v="2"/>
    <x v="2"/>
    <n v="672"/>
    <x v="1"/>
    <n v="4"/>
    <x v="0"/>
    <n v="0.13"/>
    <x v="1"/>
    <x v="808"/>
    <n v="32017"/>
    <x v="0"/>
    <x v="807"/>
    <x v="2"/>
    <n v="84"/>
    <x v="0"/>
    <x v="3"/>
    <x v="0"/>
    <x v="1"/>
    <x v="1"/>
    <x v="4"/>
    <x v="0"/>
  </r>
  <r>
    <x v="866"/>
    <n v="7299"/>
    <n v="6097"/>
    <n v="13396"/>
    <x v="2"/>
    <x v="16"/>
    <x v="1"/>
    <x v="1"/>
    <x v="1"/>
    <x v="1"/>
    <n v="742"/>
    <x v="3"/>
    <n v="1"/>
    <x v="0"/>
    <n v="0.2"/>
    <x v="1"/>
    <x v="11"/>
    <n v="32126"/>
    <x v="0"/>
    <x v="808"/>
    <x v="0"/>
    <n v="12"/>
    <x v="6"/>
    <x v="3"/>
    <x v="1"/>
    <x v="1"/>
    <x v="1"/>
    <x v="4"/>
    <x v="1"/>
  </r>
  <r>
    <x v="867"/>
    <n v="14997"/>
    <n v="5656"/>
    <n v="20653"/>
    <x v="3"/>
    <x v="34"/>
    <x v="3"/>
    <x v="0"/>
    <x v="1"/>
    <x v="1"/>
    <n v="740"/>
    <x v="1"/>
    <n v="0"/>
    <x v="1"/>
    <n v="0.21"/>
    <x v="1"/>
    <x v="809"/>
    <n v="43372"/>
    <x v="0"/>
    <x v="809"/>
    <x v="2"/>
    <n v="60"/>
    <x v="3"/>
    <x v="1"/>
    <x v="0"/>
    <x v="1"/>
    <x v="1"/>
    <x v="4"/>
    <x v="1"/>
  </r>
  <r>
    <x v="868"/>
    <n v="15472"/>
    <n v="8984"/>
    <n v="24456"/>
    <x v="0"/>
    <x v="23"/>
    <x v="0"/>
    <x v="0"/>
    <x v="2"/>
    <x v="2"/>
    <n v="648"/>
    <x v="0"/>
    <n v="3"/>
    <x v="0"/>
    <n v="0.47"/>
    <x v="3"/>
    <x v="810"/>
    <n v="44134"/>
    <x v="0"/>
    <x v="810"/>
    <x v="3"/>
    <n v="12"/>
    <x v="6"/>
    <x v="0"/>
    <x v="0"/>
    <x v="1"/>
    <x v="1"/>
    <x v="2"/>
    <x v="0"/>
  </r>
  <r>
    <x v="869"/>
    <n v="6757"/>
    <n v="8286"/>
    <n v="15043"/>
    <x v="0"/>
    <x v="17"/>
    <x v="1"/>
    <x v="0"/>
    <x v="0"/>
    <x v="0"/>
    <n v="708"/>
    <x v="1"/>
    <n v="3"/>
    <x v="0"/>
    <n v="0.39"/>
    <x v="2"/>
    <x v="811"/>
    <n v="5622"/>
    <x v="0"/>
    <x v="811"/>
    <x v="0"/>
    <n v="72"/>
    <x v="2"/>
    <x v="3"/>
    <x v="2"/>
    <x v="1"/>
    <x v="0"/>
    <x v="0"/>
    <x v="1"/>
  </r>
  <r>
    <x v="870"/>
    <n v="12395"/>
    <n v="5901"/>
    <n v="18296"/>
    <x v="1"/>
    <x v="10"/>
    <x v="0"/>
    <x v="1"/>
    <x v="0"/>
    <x v="0"/>
    <n v="705"/>
    <x v="1"/>
    <n v="2"/>
    <x v="0"/>
    <n v="0.21"/>
    <x v="1"/>
    <x v="172"/>
    <n v="30540"/>
    <x v="0"/>
    <x v="812"/>
    <x v="1"/>
    <n v="48"/>
    <x v="1"/>
    <x v="0"/>
    <x v="2"/>
    <x v="0"/>
    <x v="1"/>
    <x v="0"/>
    <x v="1"/>
  </r>
  <r>
    <x v="871"/>
    <n v="18241"/>
    <n v="9325"/>
    <n v="27566"/>
    <x v="0"/>
    <x v="32"/>
    <x v="3"/>
    <x v="0"/>
    <x v="3"/>
    <x v="3"/>
    <n v="652"/>
    <x v="0"/>
    <n v="4"/>
    <x v="0"/>
    <n v="0.53"/>
    <x v="0"/>
    <x v="812"/>
    <n v="49524"/>
    <x v="0"/>
    <x v="813"/>
    <x v="2"/>
    <n v="36"/>
    <x v="4"/>
    <x v="1"/>
    <x v="0"/>
    <x v="1"/>
    <x v="1"/>
    <x v="3"/>
    <x v="0"/>
  </r>
  <r>
    <x v="872"/>
    <n v="7588"/>
    <n v="4917"/>
    <n v="12505"/>
    <x v="0"/>
    <x v="27"/>
    <x v="3"/>
    <x v="1"/>
    <x v="3"/>
    <x v="3"/>
    <n v="678"/>
    <x v="1"/>
    <n v="3"/>
    <x v="0"/>
    <n v="0.56999999999999995"/>
    <x v="0"/>
    <x v="11"/>
    <n v="40551"/>
    <x v="0"/>
    <x v="814"/>
    <x v="3"/>
    <n v="48"/>
    <x v="1"/>
    <x v="1"/>
    <x v="0"/>
    <x v="1"/>
    <x v="1"/>
    <x v="2"/>
    <x v="0"/>
  </r>
  <r>
    <x v="873"/>
    <n v="19350"/>
    <n v="8429"/>
    <n v="27779"/>
    <x v="1"/>
    <x v="1"/>
    <x v="0"/>
    <x v="0"/>
    <x v="3"/>
    <x v="3"/>
    <n v="574"/>
    <x v="2"/>
    <n v="2"/>
    <x v="0"/>
    <n v="0.36"/>
    <x v="2"/>
    <x v="813"/>
    <n v="1949"/>
    <x v="0"/>
    <x v="815"/>
    <x v="0"/>
    <n v="84"/>
    <x v="0"/>
    <x v="1"/>
    <x v="2"/>
    <x v="1"/>
    <x v="1"/>
    <x v="0"/>
    <x v="0"/>
  </r>
  <r>
    <x v="874"/>
    <n v="6944"/>
    <n v="2530"/>
    <n v="9474"/>
    <x v="2"/>
    <x v="13"/>
    <x v="2"/>
    <x v="1"/>
    <x v="3"/>
    <x v="3"/>
    <n v="592"/>
    <x v="0"/>
    <n v="3"/>
    <x v="0"/>
    <n v="0.28000000000000003"/>
    <x v="1"/>
    <x v="814"/>
    <n v="49396"/>
    <x v="0"/>
    <x v="816"/>
    <x v="2"/>
    <n v="60"/>
    <x v="3"/>
    <x v="2"/>
    <x v="0"/>
    <x v="0"/>
    <x v="1"/>
    <x v="4"/>
    <x v="0"/>
  </r>
  <r>
    <x v="875"/>
    <n v="15395"/>
    <n v="1960"/>
    <n v="17355"/>
    <x v="2"/>
    <x v="25"/>
    <x v="4"/>
    <x v="1"/>
    <x v="0"/>
    <x v="0"/>
    <n v="779"/>
    <x v="3"/>
    <n v="3"/>
    <x v="0"/>
    <n v="0.22"/>
    <x v="1"/>
    <x v="11"/>
    <n v="42800"/>
    <x v="0"/>
    <x v="817"/>
    <x v="2"/>
    <n v="12"/>
    <x v="6"/>
    <x v="3"/>
    <x v="2"/>
    <x v="1"/>
    <x v="0"/>
    <x v="0"/>
    <x v="1"/>
  </r>
  <r>
    <x v="876"/>
    <n v="19072"/>
    <n v="7045"/>
    <n v="26117"/>
    <x v="1"/>
    <x v="0"/>
    <x v="0"/>
    <x v="0"/>
    <x v="1"/>
    <x v="1"/>
    <n v="633"/>
    <x v="0"/>
    <n v="4"/>
    <x v="0"/>
    <n v="0.12"/>
    <x v="1"/>
    <x v="206"/>
    <n v="31912"/>
    <x v="0"/>
    <x v="818"/>
    <x v="1"/>
    <n v="24"/>
    <x v="5"/>
    <x v="0"/>
    <x v="0"/>
    <x v="1"/>
    <x v="0"/>
    <x v="0"/>
    <x v="0"/>
  </r>
  <r>
    <x v="877"/>
    <n v="6243"/>
    <n v="1048"/>
    <n v="7291"/>
    <x v="0"/>
    <x v="14"/>
    <x v="2"/>
    <x v="0"/>
    <x v="3"/>
    <x v="3"/>
    <n v="744"/>
    <x v="3"/>
    <n v="2"/>
    <x v="0"/>
    <n v="0.23"/>
    <x v="1"/>
    <x v="815"/>
    <n v="32161"/>
    <x v="0"/>
    <x v="819"/>
    <x v="2"/>
    <n v="24"/>
    <x v="5"/>
    <x v="1"/>
    <x v="2"/>
    <x v="0"/>
    <x v="1"/>
    <x v="4"/>
    <x v="0"/>
  </r>
  <r>
    <x v="878"/>
    <n v="11916"/>
    <n v="5772"/>
    <n v="17688"/>
    <x v="1"/>
    <x v="6"/>
    <x v="3"/>
    <x v="0"/>
    <x v="1"/>
    <x v="1"/>
    <n v="550"/>
    <x v="2"/>
    <n v="0"/>
    <x v="1"/>
    <n v="0.43"/>
    <x v="3"/>
    <x v="816"/>
    <n v="44387"/>
    <x v="0"/>
    <x v="820"/>
    <x v="0"/>
    <n v="48"/>
    <x v="1"/>
    <x v="3"/>
    <x v="2"/>
    <x v="1"/>
    <x v="0"/>
    <x v="0"/>
    <x v="0"/>
  </r>
  <r>
    <x v="879"/>
    <n v="11984"/>
    <n v="0"/>
    <n v="11984"/>
    <x v="0"/>
    <x v="35"/>
    <x v="2"/>
    <x v="0"/>
    <x v="3"/>
    <x v="3"/>
    <n v="600"/>
    <x v="0"/>
    <n v="1"/>
    <x v="0"/>
    <n v="0.37"/>
    <x v="2"/>
    <x v="817"/>
    <n v="16508"/>
    <x v="0"/>
    <x v="821"/>
    <x v="2"/>
    <n v="72"/>
    <x v="2"/>
    <x v="3"/>
    <x v="1"/>
    <x v="0"/>
    <x v="1"/>
    <x v="1"/>
    <x v="0"/>
  </r>
  <r>
    <x v="880"/>
    <n v="0"/>
    <n v="2964"/>
    <n v="2964"/>
    <x v="3"/>
    <x v="30"/>
    <x v="2"/>
    <x v="0"/>
    <x v="2"/>
    <x v="2"/>
    <n v="679"/>
    <x v="1"/>
    <n v="4"/>
    <x v="0"/>
    <n v="0.56999999999999995"/>
    <x v="0"/>
    <x v="818"/>
    <n v="45592"/>
    <x v="0"/>
    <x v="822"/>
    <x v="0"/>
    <n v="72"/>
    <x v="2"/>
    <x v="2"/>
    <x v="2"/>
    <x v="1"/>
    <x v="0"/>
    <x v="4"/>
    <x v="0"/>
  </r>
  <r>
    <x v="881"/>
    <n v="11181"/>
    <n v="7137"/>
    <n v="18318"/>
    <x v="2"/>
    <x v="13"/>
    <x v="2"/>
    <x v="0"/>
    <x v="3"/>
    <x v="3"/>
    <n v="759"/>
    <x v="3"/>
    <n v="2"/>
    <x v="0"/>
    <n v="0.3"/>
    <x v="1"/>
    <x v="819"/>
    <n v="43713"/>
    <x v="0"/>
    <x v="823"/>
    <x v="2"/>
    <n v="48"/>
    <x v="1"/>
    <x v="0"/>
    <x v="0"/>
    <x v="1"/>
    <x v="0"/>
    <x v="3"/>
    <x v="1"/>
  </r>
  <r>
    <x v="882"/>
    <n v="4482"/>
    <n v="963"/>
    <n v="5445"/>
    <x v="2"/>
    <x v="31"/>
    <x v="4"/>
    <x v="0"/>
    <x v="3"/>
    <x v="3"/>
    <n v="675"/>
    <x v="1"/>
    <n v="3"/>
    <x v="0"/>
    <n v="0.45"/>
    <x v="3"/>
    <x v="820"/>
    <n v="1919"/>
    <x v="0"/>
    <x v="824"/>
    <x v="3"/>
    <n v="36"/>
    <x v="4"/>
    <x v="0"/>
    <x v="0"/>
    <x v="1"/>
    <x v="0"/>
    <x v="1"/>
    <x v="0"/>
  </r>
  <r>
    <x v="883"/>
    <n v="2951"/>
    <n v="536"/>
    <n v="3487"/>
    <x v="4"/>
    <x v="0"/>
    <x v="0"/>
    <x v="0"/>
    <x v="3"/>
    <x v="3"/>
    <n v="785"/>
    <x v="3"/>
    <n v="2"/>
    <x v="0"/>
    <n v="0.34"/>
    <x v="2"/>
    <x v="821"/>
    <n v="42595"/>
    <x v="0"/>
    <x v="825"/>
    <x v="2"/>
    <n v="24"/>
    <x v="5"/>
    <x v="1"/>
    <x v="2"/>
    <x v="0"/>
    <x v="1"/>
    <x v="4"/>
    <x v="0"/>
  </r>
  <r>
    <x v="884"/>
    <n v="4717"/>
    <n v="7179"/>
    <n v="11896"/>
    <x v="2"/>
    <x v="23"/>
    <x v="0"/>
    <x v="1"/>
    <x v="2"/>
    <x v="2"/>
    <n v="751"/>
    <x v="3"/>
    <n v="1"/>
    <x v="0"/>
    <n v="0.23"/>
    <x v="1"/>
    <x v="822"/>
    <n v="0"/>
    <x v="1"/>
    <x v="826"/>
    <x v="0"/>
    <n v="60"/>
    <x v="3"/>
    <x v="3"/>
    <x v="1"/>
    <x v="1"/>
    <x v="1"/>
    <x v="0"/>
    <x v="1"/>
  </r>
  <r>
    <x v="885"/>
    <n v="11692"/>
    <n v="7967"/>
    <n v="19659"/>
    <x v="0"/>
    <x v="10"/>
    <x v="0"/>
    <x v="0"/>
    <x v="3"/>
    <x v="3"/>
    <n v="618"/>
    <x v="0"/>
    <n v="0"/>
    <x v="1"/>
    <n v="0.33"/>
    <x v="2"/>
    <x v="823"/>
    <n v="33298"/>
    <x v="0"/>
    <x v="827"/>
    <x v="0"/>
    <n v="24"/>
    <x v="5"/>
    <x v="0"/>
    <x v="2"/>
    <x v="1"/>
    <x v="1"/>
    <x v="4"/>
    <x v="0"/>
  </r>
  <r>
    <x v="886"/>
    <n v="9311"/>
    <n v="8734"/>
    <n v="18045"/>
    <x v="3"/>
    <x v="2"/>
    <x v="1"/>
    <x v="0"/>
    <x v="3"/>
    <x v="3"/>
    <n v="558"/>
    <x v="2"/>
    <n v="0"/>
    <x v="1"/>
    <n v="0.34"/>
    <x v="2"/>
    <x v="824"/>
    <n v="40617"/>
    <x v="0"/>
    <x v="828"/>
    <x v="1"/>
    <n v="60"/>
    <x v="3"/>
    <x v="0"/>
    <x v="2"/>
    <x v="1"/>
    <x v="1"/>
    <x v="0"/>
    <x v="0"/>
  </r>
  <r>
    <x v="887"/>
    <n v="2768"/>
    <n v="845"/>
    <n v="3613"/>
    <x v="0"/>
    <x v="6"/>
    <x v="3"/>
    <x v="0"/>
    <x v="1"/>
    <x v="1"/>
    <n v="551"/>
    <x v="2"/>
    <n v="1"/>
    <x v="0"/>
    <n v="0.45"/>
    <x v="3"/>
    <x v="825"/>
    <n v="6929"/>
    <x v="0"/>
    <x v="829"/>
    <x v="0"/>
    <n v="12"/>
    <x v="6"/>
    <x v="1"/>
    <x v="0"/>
    <x v="0"/>
    <x v="1"/>
    <x v="0"/>
    <x v="0"/>
  </r>
  <r>
    <x v="888"/>
    <n v="7490"/>
    <n v="5777"/>
    <n v="13267"/>
    <x v="4"/>
    <x v="16"/>
    <x v="1"/>
    <x v="0"/>
    <x v="2"/>
    <x v="2"/>
    <n v="711"/>
    <x v="1"/>
    <n v="4"/>
    <x v="0"/>
    <n v="0.56999999999999995"/>
    <x v="0"/>
    <x v="826"/>
    <n v="37117"/>
    <x v="0"/>
    <x v="830"/>
    <x v="3"/>
    <n v="36"/>
    <x v="4"/>
    <x v="4"/>
    <x v="0"/>
    <x v="1"/>
    <x v="1"/>
    <x v="1"/>
    <x v="0"/>
  </r>
  <r>
    <x v="889"/>
    <n v="17534"/>
    <n v="3036"/>
    <n v="20570"/>
    <x v="2"/>
    <x v="35"/>
    <x v="2"/>
    <x v="0"/>
    <x v="3"/>
    <x v="3"/>
    <n v="737"/>
    <x v="1"/>
    <n v="4"/>
    <x v="0"/>
    <n v="0.26"/>
    <x v="1"/>
    <x v="827"/>
    <n v="0"/>
    <x v="1"/>
    <x v="831"/>
    <x v="2"/>
    <n v="48"/>
    <x v="1"/>
    <x v="3"/>
    <x v="0"/>
    <x v="1"/>
    <x v="0"/>
    <x v="3"/>
    <x v="0"/>
  </r>
  <r>
    <x v="890"/>
    <n v="8645"/>
    <n v="5947"/>
    <n v="14592"/>
    <x v="0"/>
    <x v="26"/>
    <x v="3"/>
    <x v="0"/>
    <x v="1"/>
    <x v="1"/>
    <n v="779"/>
    <x v="3"/>
    <n v="3"/>
    <x v="0"/>
    <n v="0.12"/>
    <x v="1"/>
    <x v="828"/>
    <n v="44063"/>
    <x v="0"/>
    <x v="832"/>
    <x v="0"/>
    <n v="48"/>
    <x v="1"/>
    <x v="0"/>
    <x v="0"/>
    <x v="1"/>
    <x v="1"/>
    <x v="0"/>
    <x v="1"/>
  </r>
  <r>
    <x v="891"/>
    <n v="7232"/>
    <n v="2494"/>
    <n v="9726"/>
    <x v="0"/>
    <x v="30"/>
    <x v="2"/>
    <x v="0"/>
    <x v="1"/>
    <x v="1"/>
    <n v="738"/>
    <x v="1"/>
    <n v="0"/>
    <x v="1"/>
    <n v="0.35"/>
    <x v="2"/>
    <x v="829"/>
    <n v="21140"/>
    <x v="0"/>
    <x v="833"/>
    <x v="1"/>
    <n v="36"/>
    <x v="4"/>
    <x v="2"/>
    <x v="2"/>
    <x v="1"/>
    <x v="0"/>
    <x v="0"/>
    <x v="0"/>
  </r>
  <r>
    <x v="892"/>
    <n v="13485"/>
    <n v="2719"/>
    <n v="16204"/>
    <x v="2"/>
    <x v="22"/>
    <x v="2"/>
    <x v="1"/>
    <x v="0"/>
    <x v="0"/>
    <n v="708"/>
    <x v="1"/>
    <n v="3"/>
    <x v="0"/>
    <n v="0.37"/>
    <x v="2"/>
    <x v="830"/>
    <n v="18185"/>
    <x v="0"/>
    <x v="834"/>
    <x v="2"/>
    <n v="48"/>
    <x v="1"/>
    <x v="2"/>
    <x v="0"/>
    <x v="1"/>
    <x v="1"/>
    <x v="0"/>
    <x v="1"/>
  </r>
  <r>
    <x v="893"/>
    <n v="7797"/>
    <n v="1884"/>
    <n v="9681"/>
    <x v="0"/>
    <x v="33"/>
    <x v="4"/>
    <x v="0"/>
    <x v="1"/>
    <x v="1"/>
    <n v="559"/>
    <x v="2"/>
    <n v="0"/>
    <x v="1"/>
    <n v="0.18"/>
    <x v="1"/>
    <x v="831"/>
    <n v="37924"/>
    <x v="0"/>
    <x v="36"/>
    <x v="3"/>
    <n v="12"/>
    <x v="6"/>
    <x v="4"/>
    <x v="0"/>
    <x v="1"/>
    <x v="0"/>
    <x v="0"/>
    <x v="0"/>
  </r>
  <r>
    <x v="894"/>
    <n v="14342"/>
    <n v="4349"/>
    <n v="18691"/>
    <x v="0"/>
    <x v="0"/>
    <x v="0"/>
    <x v="1"/>
    <x v="3"/>
    <x v="3"/>
    <n v="663"/>
    <x v="0"/>
    <n v="1"/>
    <x v="0"/>
    <n v="0.48"/>
    <x v="3"/>
    <x v="832"/>
    <n v="24240"/>
    <x v="0"/>
    <x v="835"/>
    <x v="2"/>
    <n v="24"/>
    <x v="5"/>
    <x v="1"/>
    <x v="0"/>
    <x v="0"/>
    <x v="1"/>
    <x v="1"/>
    <x v="0"/>
  </r>
  <r>
    <x v="895"/>
    <n v="10038"/>
    <n v="5179"/>
    <n v="15217"/>
    <x v="0"/>
    <x v="0"/>
    <x v="0"/>
    <x v="1"/>
    <x v="0"/>
    <x v="0"/>
    <n v="625"/>
    <x v="0"/>
    <n v="4"/>
    <x v="0"/>
    <n v="0.59"/>
    <x v="0"/>
    <x v="833"/>
    <n v="21845"/>
    <x v="0"/>
    <x v="836"/>
    <x v="2"/>
    <n v="60"/>
    <x v="3"/>
    <x v="1"/>
    <x v="0"/>
    <x v="0"/>
    <x v="1"/>
    <x v="0"/>
    <x v="0"/>
  </r>
  <r>
    <x v="896"/>
    <n v="18002"/>
    <n v="6610"/>
    <n v="24612"/>
    <x v="0"/>
    <x v="8"/>
    <x v="0"/>
    <x v="1"/>
    <x v="0"/>
    <x v="0"/>
    <n v="713"/>
    <x v="1"/>
    <n v="4"/>
    <x v="0"/>
    <n v="0.56999999999999995"/>
    <x v="0"/>
    <x v="834"/>
    <n v="9228"/>
    <x v="0"/>
    <x v="837"/>
    <x v="3"/>
    <n v="12"/>
    <x v="6"/>
    <x v="2"/>
    <x v="0"/>
    <x v="1"/>
    <x v="0"/>
    <x v="3"/>
    <x v="0"/>
  </r>
  <r>
    <x v="897"/>
    <n v="15087"/>
    <n v="6430"/>
    <n v="21517"/>
    <x v="2"/>
    <x v="36"/>
    <x v="1"/>
    <x v="1"/>
    <x v="3"/>
    <x v="3"/>
    <n v="795"/>
    <x v="3"/>
    <n v="1"/>
    <x v="0"/>
    <n v="0.2"/>
    <x v="1"/>
    <x v="820"/>
    <n v="21686"/>
    <x v="0"/>
    <x v="838"/>
    <x v="0"/>
    <n v="72"/>
    <x v="2"/>
    <x v="2"/>
    <x v="2"/>
    <x v="0"/>
    <x v="1"/>
    <x v="3"/>
    <x v="1"/>
  </r>
  <r>
    <x v="898"/>
    <n v="6873"/>
    <n v="7154"/>
    <n v="14027"/>
    <x v="1"/>
    <x v="13"/>
    <x v="2"/>
    <x v="0"/>
    <x v="2"/>
    <x v="2"/>
    <n v="634"/>
    <x v="0"/>
    <n v="3"/>
    <x v="0"/>
    <n v="0.54"/>
    <x v="0"/>
    <x v="835"/>
    <n v="11920"/>
    <x v="0"/>
    <x v="839"/>
    <x v="3"/>
    <n v="48"/>
    <x v="1"/>
    <x v="1"/>
    <x v="0"/>
    <x v="1"/>
    <x v="1"/>
    <x v="4"/>
    <x v="0"/>
  </r>
  <r>
    <x v="899"/>
    <n v="3481"/>
    <n v="6488"/>
    <n v="9969"/>
    <x v="0"/>
    <x v="17"/>
    <x v="1"/>
    <x v="0"/>
    <x v="1"/>
    <x v="1"/>
    <n v="598"/>
    <x v="0"/>
    <n v="3"/>
    <x v="0"/>
    <n v="0.45"/>
    <x v="3"/>
    <x v="655"/>
    <n v="7432"/>
    <x v="0"/>
    <x v="840"/>
    <x v="1"/>
    <n v="24"/>
    <x v="5"/>
    <x v="2"/>
    <x v="0"/>
    <x v="1"/>
    <x v="1"/>
    <x v="1"/>
    <x v="0"/>
  </r>
  <r>
    <x v="900"/>
    <n v="0"/>
    <n v="4737"/>
    <n v="4737"/>
    <x v="0"/>
    <x v="28"/>
    <x v="0"/>
    <x v="1"/>
    <x v="0"/>
    <x v="0"/>
    <n v="788"/>
    <x v="3"/>
    <n v="2"/>
    <x v="0"/>
    <n v="0.33"/>
    <x v="2"/>
    <x v="836"/>
    <n v="44971"/>
    <x v="0"/>
    <x v="36"/>
    <x v="3"/>
    <n v="24"/>
    <x v="5"/>
    <x v="4"/>
    <x v="2"/>
    <x v="1"/>
    <x v="1"/>
    <x v="0"/>
    <x v="1"/>
  </r>
  <r>
    <x v="901"/>
    <n v="16422"/>
    <n v="6525"/>
    <n v="22947"/>
    <x v="0"/>
    <x v="14"/>
    <x v="2"/>
    <x v="0"/>
    <x v="2"/>
    <x v="2"/>
    <n v="619"/>
    <x v="0"/>
    <n v="0"/>
    <x v="1"/>
    <n v="0.37"/>
    <x v="2"/>
    <x v="837"/>
    <n v="6189"/>
    <x v="0"/>
    <x v="841"/>
    <x v="0"/>
    <n v="84"/>
    <x v="0"/>
    <x v="2"/>
    <x v="1"/>
    <x v="1"/>
    <x v="1"/>
    <x v="0"/>
    <x v="0"/>
  </r>
  <r>
    <x v="902"/>
    <n v="18438"/>
    <n v="3850"/>
    <n v="22288"/>
    <x v="0"/>
    <x v="38"/>
    <x v="1"/>
    <x v="0"/>
    <x v="3"/>
    <x v="3"/>
    <n v="789"/>
    <x v="3"/>
    <n v="3"/>
    <x v="0"/>
    <n v="0.52"/>
    <x v="0"/>
    <x v="838"/>
    <n v="0"/>
    <x v="1"/>
    <x v="842"/>
    <x v="0"/>
    <n v="84"/>
    <x v="0"/>
    <x v="0"/>
    <x v="0"/>
    <x v="1"/>
    <x v="1"/>
    <x v="1"/>
    <x v="0"/>
  </r>
  <r>
    <x v="903"/>
    <n v="9643"/>
    <n v="689"/>
    <n v="10332"/>
    <x v="0"/>
    <x v="22"/>
    <x v="2"/>
    <x v="0"/>
    <x v="1"/>
    <x v="1"/>
    <n v="726"/>
    <x v="1"/>
    <n v="1"/>
    <x v="0"/>
    <n v="0.34"/>
    <x v="2"/>
    <x v="11"/>
    <n v="33910"/>
    <x v="0"/>
    <x v="843"/>
    <x v="0"/>
    <n v="12"/>
    <x v="6"/>
    <x v="4"/>
    <x v="0"/>
    <x v="1"/>
    <x v="0"/>
    <x v="0"/>
    <x v="1"/>
  </r>
  <r>
    <x v="904"/>
    <n v="17708"/>
    <n v="5175"/>
    <n v="22883"/>
    <x v="0"/>
    <x v="9"/>
    <x v="2"/>
    <x v="1"/>
    <x v="1"/>
    <x v="1"/>
    <n v="680"/>
    <x v="1"/>
    <n v="3"/>
    <x v="0"/>
    <n v="0.28999999999999998"/>
    <x v="1"/>
    <x v="839"/>
    <n v="30226"/>
    <x v="0"/>
    <x v="844"/>
    <x v="0"/>
    <n v="24"/>
    <x v="5"/>
    <x v="2"/>
    <x v="0"/>
    <x v="0"/>
    <x v="0"/>
    <x v="4"/>
    <x v="1"/>
  </r>
  <r>
    <x v="905"/>
    <n v="13271"/>
    <n v="8648"/>
    <n v="21919"/>
    <x v="0"/>
    <x v="9"/>
    <x v="2"/>
    <x v="1"/>
    <x v="0"/>
    <x v="0"/>
    <n v="751"/>
    <x v="3"/>
    <n v="4"/>
    <x v="0"/>
    <n v="0.35"/>
    <x v="2"/>
    <x v="840"/>
    <n v="7614"/>
    <x v="0"/>
    <x v="845"/>
    <x v="2"/>
    <n v="48"/>
    <x v="1"/>
    <x v="4"/>
    <x v="0"/>
    <x v="1"/>
    <x v="1"/>
    <x v="0"/>
    <x v="1"/>
  </r>
  <r>
    <x v="906"/>
    <n v="19216"/>
    <n v="5078"/>
    <n v="24294"/>
    <x v="2"/>
    <x v="3"/>
    <x v="2"/>
    <x v="1"/>
    <x v="1"/>
    <x v="1"/>
    <n v="682"/>
    <x v="1"/>
    <n v="0"/>
    <x v="1"/>
    <n v="0.39"/>
    <x v="2"/>
    <x v="283"/>
    <n v="47021"/>
    <x v="0"/>
    <x v="846"/>
    <x v="0"/>
    <n v="12"/>
    <x v="6"/>
    <x v="0"/>
    <x v="1"/>
    <x v="1"/>
    <x v="0"/>
    <x v="0"/>
    <x v="1"/>
  </r>
  <r>
    <x v="907"/>
    <n v="14600"/>
    <n v="5448"/>
    <n v="20048"/>
    <x v="0"/>
    <x v="34"/>
    <x v="3"/>
    <x v="1"/>
    <x v="1"/>
    <x v="1"/>
    <n v="787"/>
    <x v="3"/>
    <n v="2"/>
    <x v="0"/>
    <n v="0.19"/>
    <x v="1"/>
    <x v="841"/>
    <n v="21224"/>
    <x v="0"/>
    <x v="847"/>
    <x v="0"/>
    <n v="60"/>
    <x v="3"/>
    <x v="3"/>
    <x v="2"/>
    <x v="1"/>
    <x v="1"/>
    <x v="0"/>
    <x v="1"/>
  </r>
  <r>
    <x v="908"/>
    <n v="12998"/>
    <n v="1179"/>
    <n v="14177"/>
    <x v="1"/>
    <x v="17"/>
    <x v="1"/>
    <x v="0"/>
    <x v="1"/>
    <x v="1"/>
    <n v="767"/>
    <x v="3"/>
    <n v="0"/>
    <x v="1"/>
    <n v="0.55000000000000004"/>
    <x v="0"/>
    <x v="842"/>
    <n v="18013"/>
    <x v="0"/>
    <x v="848"/>
    <x v="1"/>
    <n v="12"/>
    <x v="6"/>
    <x v="0"/>
    <x v="2"/>
    <x v="1"/>
    <x v="1"/>
    <x v="0"/>
    <x v="0"/>
  </r>
  <r>
    <x v="909"/>
    <n v="16295"/>
    <n v="9074"/>
    <n v="25369"/>
    <x v="1"/>
    <x v="22"/>
    <x v="2"/>
    <x v="1"/>
    <x v="1"/>
    <x v="1"/>
    <n v="738"/>
    <x v="1"/>
    <n v="4"/>
    <x v="0"/>
    <n v="0.44"/>
    <x v="3"/>
    <x v="843"/>
    <n v="21446"/>
    <x v="0"/>
    <x v="849"/>
    <x v="1"/>
    <n v="12"/>
    <x v="6"/>
    <x v="2"/>
    <x v="0"/>
    <x v="1"/>
    <x v="1"/>
    <x v="2"/>
    <x v="0"/>
  </r>
  <r>
    <x v="910"/>
    <n v="0"/>
    <n v="6406"/>
    <n v="6406"/>
    <x v="4"/>
    <x v="10"/>
    <x v="0"/>
    <x v="0"/>
    <x v="3"/>
    <x v="3"/>
    <n v="762"/>
    <x v="3"/>
    <n v="4"/>
    <x v="0"/>
    <n v="0.42"/>
    <x v="3"/>
    <x v="844"/>
    <n v="0"/>
    <x v="1"/>
    <x v="850"/>
    <x v="2"/>
    <n v="60"/>
    <x v="3"/>
    <x v="0"/>
    <x v="2"/>
    <x v="1"/>
    <x v="0"/>
    <x v="0"/>
    <x v="0"/>
  </r>
  <r>
    <x v="911"/>
    <n v="18380"/>
    <n v="8591"/>
    <n v="26971"/>
    <x v="1"/>
    <x v="36"/>
    <x v="1"/>
    <x v="0"/>
    <x v="2"/>
    <x v="2"/>
    <n v="786"/>
    <x v="3"/>
    <n v="4"/>
    <x v="0"/>
    <n v="0.15"/>
    <x v="1"/>
    <x v="845"/>
    <n v="39673"/>
    <x v="0"/>
    <x v="851"/>
    <x v="0"/>
    <n v="72"/>
    <x v="2"/>
    <x v="2"/>
    <x v="0"/>
    <x v="1"/>
    <x v="1"/>
    <x v="3"/>
    <x v="0"/>
  </r>
  <r>
    <x v="912"/>
    <n v="10519"/>
    <n v="6907"/>
    <n v="17426"/>
    <x v="1"/>
    <x v="3"/>
    <x v="2"/>
    <x v="1"/>
    <x v="0"/>
    <x v="0"/>
    <n v="639"/>
    <x v="0"/>
    <n v="4"/>
    <x v="0"/>
    <n v="0.4"/>
    <x v="2"/>
    <x v="846"/>
    <n v="37657"/>
    <x v="0"/>
    <x v="852"/>
    <x v="2"/>
    <n v="84"/>
    <x v="0"/>
    <x v="1"/>
    <x v="2"/>
    <x v="1"/>
    <x v="1"/>
    <x v="0"/>
    <x v="0"/>
  </r>
  <r>
    <x v="913"/>
    <n v="5300"/>
    <n v="8800"/>
    <n v="14100"/>
    <x v="2"/>
    <x v="1"/>
    <x v="0"/>
    <x v="0"/>
    <x v="3"/>
    <x v="3"/>
    <n v="779"/>
    <x v="3"/>
    <n v="1"/>
    <x v="0"/>
    <n v="0.16"/>
    <x v="1"/>
    <x v="847"/>
    <n v="4839"/>
    <x v="0"/>
    <x v="853"/>
    <x v="2"/>
    <n v="48"/>
    <x v="1"/>
    <x v="4"/>
    <x v="2"/>
    <x v="1"/>
    <x v="1"/>
    <x v="3"/>
    <x v="0"/>
  </r>
  <r>
    <x v="914"/>
    <n v="8722"/>
    <n v="1638"/>
    <n v="10360"/>
    <x v="1"/>
    <x v="7"/>
    <x v="0"/>
    <x v="0"/>
    <x v="0"/>
    <x v="0"/>
    <n v="550"/>
    <x v="2"/>
    <n v="2"/>
    <x v="0"/>
    <n v="0.14000000000000001"/>
    <x v="1"/>
    <x v="848"/>
    <n v="36725"/>
    <x v="0"/>
    <x v="854"/>
    <x v="0"/>
    <n v="72"/>
    <x v="2"/>
    <x v="2"/>
    <x v="0"/>
    <x v="0"/>
    <x v="1"/>
    <x v="1"/>
    <x v="1"/>
  </r>
  <r>
    <x v="915"/>
    <n v="9218"/>
    <n v="5671"/>
    <n v="14889"/>
    <x v="1"/>
    <x v="11"/>
    <x v="2"/>
    <x v="0"/>
    <x v="1"/>
    <x v="1"/>
    <n v="575"/>
    <x v="2"/>
    <n v="4"/>
    <x v="0"/>
    <n v="0.36"/>
    <x v="2"/>
    <x v="849"/>
    <n v="30203"/>
    <x v="0"/>
    <x v="36"/>
    <x v="3"/>
    <n v="72"/>
    <x v="2"/>
    <x v="2"/>
    <x v="0"/>
    <x v="1"/>
    <x v="0"/>
    <x v="2"/>
    <x v="0"/>
  </r>
  <r>
    <x v="916"/>
    <n v="5054"/>
    <n v="6928"/>
    <n v="11982"/>
    <x v="2"/>
    <x v="14"/>
    <x v="2"/>
    <x v="1"/>
    <x v="3"/>
    <x v="3"/>
    <n v="621"/>
    <x v="0"/>
    <n v="4"/>
    <x v="0"/>
    <n v="0.3"/>
    <x v="1"/>
    <x v="850"/>
    <n v="557"/>
    <x v="0"/>
    <x v="855"/>
    <x v="2"/>
    <n v="72"/>
    <x v="2"/>
    <x v="0"/>
    <x v="1"/>
    <x v="0"/>
    <x v="1"/>
    <x v="0"/>
    <x v="0"/>
  </r>
  <r>
    <x v="917"/>
    <n v="15575"/>
    <n v="1382"/>
    <n v="16957"/>
    <x v="1"/>
    <x v="17"/>
    <x v="1"/>
    <x v="0"/>
    <x v="1"/>
    <x v="1"/>
    <n v="554"/>
    <x v="2"/>
    <n v="3"/>
    <x v="0"/>
    <n v="0.39"/>
    <x v="2"/>
    <x v="851"/>
    <n v="30666"/>
    <x v="0"/>
    <x v="856"/>
    <x v="2"/>
    <n v="84"/>
    <x v="0"/>
    <x v="3"/>
    <x v="0"/>
    <x v="1"/>
    <x v="0"/>
    <x v="1"/>
    <x v="0"/>
  </r>
  <r>
    <x v="918"/>
    <n v="9970"/>
    <n v="1403"/>
    <n v="11373"/>
    <x v="0"/>
    <x v="24"/>
    <x v="2"/>
    <x v="1"/>
    <x v="3"/>
    <x v="3"/>
    <n v="564"/>
    <x v="2"/>
    <n v="2"/>
    <x v="0"/>
    <n v="0.14000000000000001"/>
    <x v="1"/>
    <x v="852"/>
    <n v="37389"/>
    <x v="0"/>
    <x v="857"/>
    <x v="3"/>
    <n v="36"/>
    <x v="4"/>
    <x v="2"/>
    <x v="0"/>
    <x v="1"/>
    <x v="1"/>
    <x v="0"/>
    <x v="0"/>
  </r>
  <r>
    <x v="919"/>
    <n v="4143"/>
    <n v="0"/>
    <n v="4143"/>
    <x v="0"/>
    <x v="36"/>
    <x v="1"/>
    <x v="0"/>
    <x v="3"/>
    <x v="3"/>
    <n v="672"/>
    <x v="1"/>
    <n v="0"/>
    <x v="1"/>
    <n v="0.32"/>
    <x v="2"/>
    <x v="853"/>
    <n v="47700"/>
    <x v="0"/>
    <x v="858"/>
    <x v="2"/>
    <n v="84"/>
    <x v="0"/>
    <x v="0"/>
    <x v="0"/>
    <x v="0"/>
    <x v="1"/>
    <x v="1"/>
    <x v="0"/>
  </r>
  <r>
    <x v="920"/>
    <n v="11503"/>
    <n v="3292"/>
    <n v="14795"/>
    <x v="0"/>
    <x v="38"/>
    <x v="1"/>
    <x v="1"/>
    <x v="0"/>
    <x v="0"/>
    <n v="693"/>
    <x v="1"/>
    <n v="2"/>
    <x v="0"/>
    <n v="0.19"/>
    <x v="1"/>
    <x v="854"/>
    <n v="33607"/>
    <x v="0"/>
    <x v="859"/>
    <x v="1"/>
    <n v="72"/>
    <x v="2"/>
    <x v="4"/>
    <x v="0"/>
    <x v="1"/>
    <x v="1"/>
    <x v="1"/>
    <x v="0"/>
  </r>
  <r>
    <x v="921"/>
    <n v="17149"/>
    <n v="9011"/>
    <n v="26160"/>
    <x v="2"/>
    <x v="6"/>
    <x v="3"/>
    <x v="1"/>
    <x v="2"/>
    <x v="2"/>
    <n v="550"/>
    <x v="2"/>
    <n v="2"/>
    <x v="0"/>
    <n v="0.59"/>
    <x v="0"/>
    <x v="855"/>
    <n v="24578"/>
    <x v="0"/>
    <x v="860"/>
    <x v="0"/>
    <n v="36"/>
    <x v="4"/>
    <x v="4"/>
    <x v="2"/>
    <x v="1"/>
    <x v="1"/>
    <x v="4"/>
    <x v="0"/>
  </r>
  <r>
    <x v="922"/>
    <n v="14175"/>
    <n v="419"/>
    <n v="14594"/>
    <x v="2"/>
    <x v="29"/>
    <x v="2"/>
    <x v="0"/>
    <x v="2"/>
    <x v="2"/>
    <n v="693"/>
    <x v="1"/>
    <n v="2"/>
    <x v="0"/>
    <n v="0.38"/>
    <x v="2"/>
    <x v="856"/>
    <n v="9243"/>
    <x v="0"/>
    <x v="861"/>
    <x v="2"/>
    <n v="60"/>
    <x v="3"/>
    <x v="2"/>
    <x v="2"/>
    <x v="1"/>
    <x v="0"/>
    <x v="0"/>
    <x v="1"/>
  </r>
  <r>
    <x v="923"/>
    <n v="10356"/>
    <n v="4517"/>
    <n v="14873"/>
    <x v="3"/>
    <x v="37"/>
    <x v="1"/>
    <x v="0"/>
    <x v="0"/>
    <x v="0"/>
    <n v="714"/>
    <x v="1"/>
    <n v="4"/>
    <x v="0"/>
    <n v="0.44"/>
    <x v="3"/>
    <x v="857"/>
    <n v="9596"/>
    <x v="0"/>
    <x v="862"/>
    <x v="1"/>
    <n v="84"/>
    <x v="0"/>
    <x v="0"/>
    <x v="2"/>
    <x v="0"/>
    <x v="1"/>
    <x v="0"/>
    <x v="0"/>
  </r>
  <r>
    <x v="924"/>
    <n v="17070"/>
    <n v="3302"/>
    <n v="20372"/>
    <x v="1"/>
    <x v="26"/>
    <x v="3"/>
    <x v="0"/>
    <x v="0"/>
    <x v="0"/>
    <n v="552"/>
    <x v="2"/>
    <n v="4"/>
    <x v="0"/>
    <n v="0.26"/>
    <x v="1"/>
    <x v="858"/>
    <n v="6998"/>
    <x v="0"/>
    <x v="863"/>
    <x v="3"/>
    <n v="48"/>
    <x v="1"/>
    <x v="4"/>
    <x v="0"/>
    <x v="0"/>
    <x v="1"/>
    <x v="4"/>
    <x v="0"/>
  </r>
  <r>
    <x v="925"/>
    <n v="2822"/>
    <n v="7857"/>
    <n v="10679"/>
    <x v="0"/>
    <x v="14"/>
    <x v="2"/>
    <x v="1"/>
    <x v="1"/>
    <x v="1"/>
    <n v="729"/>
    <x v="1"/>
    <n v="1"/>
    <x v="0"/>
    <n v="0.15"/>
    <x v="1"/>
    <x v="859"/>
    <n v="10129"/>
    <x v="0"/>
    <x v="864"/>
    <x v="0"/>
    <n v="72"/>
    <x v="2"/>
    <x v="2"/>
    <x v="0"/>
    <x v="0"/>
    <x v="1"/>
    <x v="1"/>
    <x v="0"/>
  </r>
  <r>
    <x v="926"/>
    <n v="19327"/>
    <n v="0"/>
    <n v="19327"/>
    <x v="0"/>
    <x v="24"/>
    <x v="2"/>
    <x v="1"/>
    <x v="1"/>
    <x v="1"/>
    <n v="596"/>
    <x v="0"/>
    <n v="0"/>
    <x v="1"/>
    <n v="0.59"/>
    <x v="0"/>
    <x v="860"/>
    <n v="510"/>
    <x v="0"/>
    <x v="865"/>
    <x v="0"/>
    <n v="24"/>
    <x v="5"/>
    <x v="2"/>
    <x v="1"/>
    <x v="1"/>
    <x v="1"/>
    <x v="0"/>
    <x v="0"/>
  </r>
  <r>
    <x v="927"/>
    <n v="16289"/>
    <n v="0"/>
    <n v="16289"/>
    <x v="1"/>
    <x v="34"/>
    <x v="3"/>
    <x v="1"/>
    <x v="3"/>
    <x v="3"/>
    <n v="644"/>
    <x v="0"/>
    <n v="3"/>
    <x v="0"/>
    <n v="0.24"/>
    <x v="1"/>
    <x v="861"/>
    <n v="11596"/>
    <x v="0"/>
    <x v="866"/>
    <x v="2"/>
    <n v="60"/>
    <x v="3"/>
    <x v="3"/>
    <x v="0"/>
    <x v="0"/>
    <x v="1"/>
    <x v="2"/>
    <x v="0"/>
  </r>
  <r>
    <x v="928"/>
    <n v="8150"/>
    <n v="5693"/>
    <n v="13843"/>
    <x v="1"/>
    <x v="25"/>
    <x v="4"/>
    <x v="0"/>
    <x v="2"/>
    <x v="2"/>
    <n v="562"/>
    <x v="2"/>
    <n v="2"/>
    <x v="0"/>
    <n v="0.31"/>
    <x v="2"/>
    <x v="862"/>
    <n v="12974"/>
    <x v="0"/>
    <x v="867"/>
    <x v="0"/>
    <n v="36"/>
    <x v="4"/>
    <x v="4"/>
    <x v="0"/>
    <x v="1"/>
    <x v="0"/>
    <x v="2"/>
    <x v="0"/>
  </r>
  <r>
    <x v="929"/>
    <n v="6425"/>
    <n v="0"/>
    <n v="6425"/>
    <x v="3"/>
    <x v="28"/>
    <x v="0"/>
    <x v="1"/>
    <x v="0"/>
    <x v="0"/>
    <n v="669"/>
    <x v="0"/>
    <n v="0"/>
    <x v="1"/>
    <n v="0.42"/>
    <x v="3"/>
    <x v="863"/>
    <n v="1137"/>
    <x v="0"/>
    <x v="787"/>
    <x v="2"/>
    <n v="84"/>
    <x v="0"/>
    <x v="0"/>
    <x v="1"/>
    <x v="0"/>
    <x v="0"/>
    <x v="3"/>
    <x v="0"/>
  </r>
  <r>
    <x v="930"/>
    <n v="18032"/>
    <n v="2044"/>
    <n v="20076"/>
    <x v="0"/>
    <x v="10"/>
    <x v="0"/>
    <x v="1"/>
    <x v="2"/>
    <x v="2"/>
    <n v="757"/>
    <x v="3"/>
    <n v="0"/>
    <x v="1"/>
    <n v="0.11"/>
    <x v="1"/>
    <x v="864"/>
    <n v="46468"/>
    <x v="0"/>
    <x v="868"/>
    <x v="2"/>
    <n v="48"/>
    <x v="1"/>
    <x v="2"/>
    <x v="0"/>
    <x v="1"/>
    <x v="1"/>
    <x v="3"/>
    <x v="1"/>
  </r>
  <r>
    <x v="931"/>
    <n v="4198"/>
    <n v="1549"/>
    <n v="5747"/>
    <x v="1"/>
    <x v="17"/>
    <x v="1"/>
    <x v="1"/>
    <x v="1"/>
    <x v="1"/>
    <n v="604"/>
    <x v="0"/>
    <n v="1"/>
    <x v="0"/>
    <n v="0.51"/>
    <x v="0"/>
    <x v="865"/>
    <n v="27897"/>
    <x v="0"/>
    <x v="869"/>
    <x v="1"/>
    <n v="12"/>
    <x v="6"/>
    <x v="4"/>
    <x v="0"/>
    <x v="1"/>
    <x v="1"/>
    <x v="0"/>
    <x v="0"/>
  </r>
  <r>
    <x v="932"/>
    <n v="5452"/>
    <n v="9956"/>
    <n v="15408"/>
    <x v="1"/>
    <x v="22"/>
    <x v="2"/>
    <x v="1"/>
    <x v="2"/>
    <x v="2"/>
    <n v="784"/>
    <x v="3"/>
    <n v="3"/>
    <x v="0"/>
    <n v="0.37"/>
    <x v="2"/>
    <x v="866"/>
    <n v="4666"/>
    <x v="0"/>
    <x v="870"/>
    <x v="0"/>
    <n v="48"/>
    <x v="1"/>
    <x v="4"/>
    <x v="0"/>
    <x v="1"/>
    <x v="1"/>
    <x v="2"/>
    <x v="1"/>
  </r>
  <r>
    <x v="933"/>
    <n v="11106"/>
    <n v="6140"/>
    <n v="17246"/>
    <x v="1"/>
    <x v="27"/>
    <x v="3"/>
    <x v="0"/>
    <x v="1"/>
    <x v="1"/>
    <n v="698"/>
    <x v="1"/>
    <n v="2"/>
    <x v="0"/>
    <n v="0.24"/>
    <x v="1"/>
    <x v="867"/>
    <n v="8906"/>
    <x v="0"/>
    <x v="871"/>
    <x v="1"/>
    <n v="48"/>
    <x v="1"/>
    <x v="2"/>
    <x v="0"/>
    <x v="0"/>
    <x v="0"/>
    <x v="1"/>
    <x v="1"/>
  </r>
  <r>
    <x v="934"/>
    <n v="15859"/>
    <n v="3716"/>
    <n v="19575"/>
    <x v="1"/>
    <x v="12"/>
    <x v="1"/>
    <x v="0"/>
    <x v="0"/>
    <x v="0"/>
    <n v="615"/>
    <x v="0"/>
    <n v="3"/>
    <x v="0"/>
    <n v="0.13"/>
    <x v="1"/>
    <x v="868"/>
    <n v="21818"/>
    <x v="0"/>
    <x v="872"/>
    <x v="3"/>
    <n v="72"/>
    <x v="2"/>
    <x v="1"/>
    <x v="0"/>
    <x v="0"/>
    <x v="1"/>
    <x v="0"/>
    <x v="0"/>
  </r>
  <r>
    <x v="935"/>
    <n v="19692"/>
    <n v="4481"/>
    <n v="24173"/>
    <x v="2"/>
    <x v="29"/>
    <x v="2"/>
    <x v="1"/>
    <x v="0"/>
    <x v="0"/>
    <n v="731"/>
    <x v="1"/>
    <n v="1"/>
    <x v="0"/>
    <n v="0.18"/>
    <x v="1"/>
    <x v="869"/>
    <n v="43246"/>
    <x v="0"/>
    <x v="873"/>
    <x v="1"/>
    <n v="48"/>
    <x v="1"/>
    <x v="1"/>
    <x v="0"/>
    <x v="1"/>
    <x v="1"/>
    <x v="0"/>
    <x v="1"/>
  </r>
  <r>
    <x v="936"/>
    <n v="10705"/>
    <n v="7898"/>
    <n v="18603"/>
    <x v="0"/>
    <x v="17"/>
    <x v="1"/>
    <x v="1"/>
    <x v="3"/>
    <x v="3"/>
    <n v="704"/>
    <x v="1"/>
    <n v="4"/>
    <x v="0"/>
    <n v="0.55000000000000004"/>
    <x v="0"/>
    <x v="870"/>
    <n v="2654"/>
    <x v="0"/>
    <x v="874"/>
    <x v="0"/>
    <n v="84"/>
    <x v="0"/>
    <x v="3"/>
    <x v="2"/>
    <x v="1"/>
    <x v="0"/>
    <x v="0"/>
    <x v="0"/>
  </r>
  <r>
    <x v="937"/>
    <n v="12112"/>
    <n v="6548"/>
    <n v="18660"/>
    <x v="2"/>
    <x v="1"/>
    <x v="0"/>
    <x v="0"/>
    <x v="3"/>
    <x v="3"/>
    <n v="715"/>
    <x v="1"/>
    <n v="0"/>
    <x v="1"/>
    <n v="0.44"/>
    <x v="3"/>
    <x v="871"/>
    <n v="33758"/>
    <x v="0"/>
    <x v="875"/>
    <x v="2"/>
    <n v="84"/>
    <x v="0"/>
    <x v="4"/>
    <x v="0"/>
    <x v="0"/>
    <x v="1"/>
    <x v="1"/>
    <x v="0"/>
  </r>
  <r>
    <x v="938"/>
    <n v="6841"/>
    <n v="2293"/>
    <n v="9134"/>
    <x v="1"/>
    <x v="15"/>
    <x v="1"/>
    <x v="0"/>
    <x v="2"/>
    <x v="2"/>
    <n v="639"/>
    <x v="0"/>
    <n v="2"/>
    <x v="0"/>
    <n v="0.22"/>
    <x v="1"/>
    <x v="872"/>
    <n v="24204"/>
    <x v="0"/>
    <x v="876"/>
    <x v="2"/>
    <n v="36"/>
    <x v="4"/>
    <x v="1"/>
    <x v="1"/>
    <x v="1"/>
    <x v="1"/>
    <x v="0"/>
    <x v="0"/>
  </r>
  <r>
    <x v="939"/>
    <n v="17358"/>
    <n v="4837"/>
    <n v="22195"/>
    <x v="2"/>
    <x v="0"/>
    <x v="0"/>
    <x v="0"/>
    <x v="0"/>
    <x v="0"/>
    <n v="735"/>
    <x v="1"/>
    <n v="4"/>
    <x v="0"/>
    <n v="0.13"/>
    <x v="1"/>
    <x v="873"/>
    <n v="34928"/>
    <x v="0"/>
    <x v="877"/>
    <x v="0"/>
    <n v="84"/>
    <x v="0"/>
    <x v="3"/>
    <x v="0"/>
    <x v="1"/>
    <x v="0"/>
    <x v="1"/>
    <x v="1"/>
  </r>
  <r>
    <x v="940"/>
    <n v="0"/>
    <n v="7758"/>
    <n v="7758"/>
    <x v="2"/>
    <x v="25"/>
    <x v="4"/>
    <x v="0"/>
    <x v="0"/>
    <x v="0"/>
    <n v="611"/>
    <x v="0"/>
    <n v="1"/>
    <x v="0"/>
    <n v="0.45"/>
    <x v="3"/>
    <x v="874"/>
    <n v="30552"/>
    <x v="0"/>
    <x v="878"/>
    <x v="3"/>
    <n v="36"/>
    <x v="4"/>
    <x v="2"/>
    <x v="1"/>
    <x v="0"/>
    <x v="1"/>
    <x v="1"/>
    <x v="0"/>
  </r>
  <r>
    <x v="941"/>
    <n v="6566"/>
    <n v="6793"/>
    <n v="13359"/>
    <x v="0"/>
    <x v="34"/>
    <x v="3"/>
    <x v="0"/>
    <x v="3"/>
    <x v="3"/>
    <n v="651"/>
    <x v="0"/>
    <n v="3"/>
    <x v="0"/>
    <n v="0.39"/>
    <x v="2"/>
    <x v="875"/>
    <n v="47904"/>
    <x v="0"/>
    <x v="879"/>
    <x v="2"/>
    <n v="72"/>
    <x v="2"/>
    <x v="2"/>
    <x v="1"/>
    <x v="1"/>
    <x v="1"/>
    <x v="1"/>
    <x v="1"/>
  </r>
  <r>
    <x v="942"/>
    <n v="13382"/>
    <n v="7638"/>
    <n v="21020"/>
    <x v="0"/>
    <x v="21"/>
    <x v="1"/>
    <x v="1"/>
    <x v="1"/>
    <x v="1"/>
    <n v="723"/>
    <x v="1"/>
    <n v="0"/>
    <x v="1"/>
    <n v="0.3"/>
    <x v="1"/>
    <x v="876"/>
    <n v="10336"/>
    <x v="0"/>
    <x v="880"/>
    <x v="0"/>
    <n v="72"/>
    <x v="2"/>
    <x v="0"/>
    <x v="2"/>
    <x v="1"/>
    <x v="1"/>
    <x v="0"/>
    <x v="1"/>
  </r>
  <r>
    <x v="943"/>
    <n v="19939"/>
    <n v="7993"/>
    <n v="27932"/>
    <x v="3"/>
    <x v="3"/>
    <x v="2"/>
    <x v="1"/>
    <x v="2"/>
    <x v="2"/>
    <n v="766"/>
    <x v="3"/>
    <n v="2"/>
    <x v="0"/>
    <n v="0.28000000000000003"/>
    <x v="1"/>
    <x v="877"/>
    <n v="47037"/>
    <x v="0"/>
    <x v="881"/>
    <x v="3"/>
    <n v="24"/>
    <x v="5"/>
    <x v="2"/>
    <x v="1"/>
    <x v="1"/>
    <x v="1"/>
    <x v="1"/>
    <x v="1"/>
  </r>
  <r>
    <x v="944"/>
    <n v="16596"/>
    <n v="6007"/>
    <n v="22603"/>
    <x v="1"/>
    <x v="17"/>
    <x v="1"/>
    <x v="0"/>
    <x v="2"/>
    <x v="2"/>
    <n v="688"/>
    <x v="1"/>
    <n v="4"/>
    <x v="0"/>
    <n v="0.21"/>
    <x v="1"/>
    <x v="878"/>
    <n v="16206"/>
    <x v="0"/>
    <x v="882"/>
    <x v="1"/>
    <n v="24"/>
    <x v="5"/>
    <x v="3"/>
    <x v="2"/>
    <x v="1"/>
    <x v="1"/>
    <x v="1"/>
    <x v="1"/>
  </r>
  <r>
    <x v="945"/>
    <n v="0"/>
    <n v="9092"/>
    <n v="9092"/>
    <x v="0"/>
    <x v="6"/>
    <x v="3"/>
    <x v="0"/>
    <x v="0"/>
    <x v="0"/>
    <n v="557"/>
    <x v="2"/>
    <n v="0"/>
    <x v="1"/>
    <n v="0.59"/>
    <x v="0"/>
    <x v="879"/>
    <n v="43563"/>
    <x v="0"/>
    <x v="883"/>
    <x v="0"/>
    <n v="72"/>
    <x v="2"/>
    <x v="0"/>
    <x v="0"/>
    <x v="0"/>
    <x v="1"/>
    <x v="2"/>
    <x v="0"/>
  </r>
  <r>
    <x v="946"/>
    <n v="3279"/>
    <n v="6356"/>
    <n v="9635"/>
    <x v="1"/>
    <x v="6"/>
    <x v="3"/>
    <x v="0"/>
    <x v="3"/>
    <x v="3"/>
    <n v="646"/>
    <x v="0"/>
    <n v="3"/>
    <x v="0"/>
    <n v="0.19"/>
    <x v="1"/>
    <x v="11"/>
    <n v="18361"/>
    <x v="0"/>
    <x v="884"/>
    <x v="2"/>
    <n v="12"/>
    <x v="6"/>
    <x v="2"/>
    <x v="0"/>
    <x v="1"/>
    <x v="0"/>
    <x v="1"/>
    <x v="0"/>
  </r>
  <r>
    <x v="947"/>
    <n v="15192"/>
    <n v="8433"/>
    <n v="23625"/>
    <x v="2"/>
    <x v="23"/>
    <x v="0"/>
    <x v="1"/>
    <x v="3"/>
    <x v="3"/>
    <n v="666"/>
    <x v="0"/>
    <n v="1"/>
    <x v="0"/>
    <n v="0.4"/>
    <x v="2"/>
    <x v="880"/>
    <n v="41335"/>
    <x v="0"/>
    <x v="885"/>
    <x v="0"/>
    <n v="24"/>
    <x v="5"/>
    <x v="3"/>
    <x v="2"/>
    <x v="1"/>
    <x v="1"/>
    <x v="3"/>
    <x v="0"/>
  </r>
  <r>
    <x v="948"/>
    <n v="9083"/>
    <n v="7380"/>
    <n v="16463"/>
    <x v="3"/>
    <x v="18"/>
    <x v="0"/>
    <x v="1"/>
    <x v="3"/>
    <x v="3"/>
    <n v="748"/>
    <x v="3"/>
    <n v="3"/>
    <x v="0"/>
    <n v="0.31"/>
    <x v="2"/>
    <x v="881"/>
    <n v="8933"/>
    <x v="0"/>
    <x v="886"/>
    <x v="0"/>
    <n v="36"/>
    <x v="4"/>
    <x v="0"/>
    <x v="0"/>
    <x v="1"/>
    <x v="1"/>
    <x v="0"/>
    <x v="1"/>
  </r>
  <r>
    <x v="949"/>
    <n v="13093"/>
    <n v="2385"/>
    <n v="15478"/>
    <x v="0"/>
    <x v="19"/>
    <x v="4"/>
    <x v="0"/>
    <x v="3"/>
    <x v="3"/>
    <n v="613"/>
    <x v="0"/>
    <n v="3"/>
    <x v="0"/>
    <n v="0.32"/>
    <x v="2"/>
    <x v="882"/>
    <n v="25816"/>
    <x v="0"/>
    <x v="887"/>
    <x v="1"/>
    <n v="48"/>
    <x v="1"/>
    <x v="0"/>
    <x v="1"/>
    <x v="1"/>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E96BCB-1347-4E88-B6F9-5C1476D52AE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83:G189" firstHeaderRow="1" firstDataRow="2" firstDataCol="1"/>
  <pivotFields count="29">
    <pivotField dataField="1" showAll="0">
      <items count="9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t="default"/>
      </items>
    </pivotField>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axis="axisCol" showAll="0">
      <items count="5">
        <item x="3"/>
        <item x="1"/>
        <item x="2"/>
        <item x="0"/>
        <item t="default"/>
      </items>
    </pivotField>
    <pivotField showAll="0"/>
    <pivotField showAll="0"/>
    <pivotField showAll="0"/>
    <pivotField showAll="0">
      <items count="889">
        <item h="1" x="36"/>
        <item h="1" x="559"/>
        <item x="523"/>
        <item h="1" x="133"/>
        <item h="1" x="738"/>
        <item h="1" x="223"/>
        <item h="1" x="297"/>
        <item h="1" x="872"/>
        <item h="1" x="196"/>
        <item h="1" x="434"/>
        <item h="1" x="403"/>
        <item h="1" x="701"/>
        <item h="1" x="70"/>
        <item h="1" x="484"/>
        <item h="1" x="364"/>
        <item h="1" x="544"/>
        <item h="1" x="132"/>
        <item h="1" x="578"/>
        <item h="1" x="160"/>
        <item h="1" x="668"/>
        <item h="1" x="644"/>
        <item h="1" x="149"/>
        <item h="1" x="495"/>
        <item h="1" x="137"/>
        <item h="1" x="158"/>
        <item h="1" x="670"/>
        <item h="1" x="274"/>
        <item h="1" x="159"/>
        <item h="1" x="839"/>
        <item h="1" x="446"/>
        <item h="1" x="709"/>
        <item h="1" x="837"/>
        <item h="1" x="766"/>
        <item h="1" x="265"/>
        <item h="1" x="605"/>
        <item h="1" x="113"/>
        <item h="1" x="725"/>
        <item h="1" x="878"/>
        <item h="1" x="830"/>
        <item h="1" x="41"/>
        <item h="1" x="135"/>
        <item h="1" x="663"/>
        <item h="1" x="619"/>
        <item h="1" x="350"/>
        <item h="1" x="881"/>
        <item h="1" x="157"/>
        <item h="1" x="512"/>
        <item h="1" x="211"/>
        <item h="1" x="810"/>
        <item h="1" x="292"/>
        <item h="1" x="173"/>
        <item h="1" x="217"/>
        <item h="1" x="519"/>
        <item h="1" x="405"/>
        <item h="1" x="857"/>
        <item h="1" x="347"/>
        <item h="1" x="797"/>
        <item h="1" x="547"/>
        <item h="1" x="80"/>
        <item h="1" x="404"/>
        <item h="1" x="531"/>
        <item h="1" x="66"/>
        <item h="1" x="108"/>
        <item h="1" x="86"/>
        <item h="1" x="432"/>
        <item h="1" x="577"/>
        <item h="1" x="252"/>
        <item h="1" x="181"/>
        <item h="1" x="814"/>
        <item h="1" x="376"/>
        <item h="1" x="863"/>
        <item h="1" x="704"/>
        <item h="1" x="205"/>
        <item h="1" x="723"/>
        <item h="1" x="731"/>
        <item h="1" x="727"/>
        <item h="1" x="64"/>
        <item h="1" x="260"/>
        <item h="1" x="748"/>
        <item h="1" x="518"/>
        <item h="1" x="178"/>
        <item h="1" x="54"/>
        <item h="1" x="757"/>
        <item h="1" x="470"/>
        <item h="1" x="769"/>
        <item h="1" x="824"/>
        <item h="1" x="666"/>
        <item h="1" x="636"/>
        <item h="1" x="243"/>
        <item h="1" x="226"/>
        <item h="1" x="412"/>
        <item h="1" x="204"/>
        <item h="1" x="146"/>
        <item h="1" x="618"/>
        <item h="1" x="606"/>
        <item h="1" x="235"/>
        <item h="1" x="711"/>
        <item h="1" x="237"/>
        <item h="1" x="410"/>
        <item h="1" x="451"/>
        <item h="1" x="555"/>
        <item h="1" x="104"/>
        <item h="1" x="318"/>
        <item h="1" x="841"/>
        <item h="1" x="415"/>
        <item h="1" x="352"/>
        <item h="1" x="299"/>
        <item h="1" x="511"/>
        <item h="1" x="242"/>
        <item h="1" x="283"/>
        <item h="1" x="684"/>
        <item h="1" x="232"/>
        <item h="1" x="612"/>
        <item h="1" x="399"/>
        <item h="1" x="150"/>
        <item h="1" x="596"/>
        <item h="1" x="683"/>
        <item h="1" x="261"/>
        <item h="1" x="171"/>
        <item h="1" x="309"/>
        <item h="1" x="325"/>
        <item h="1" x="569"/>
        <item h="1" x="75"/>
        <item h="1" x="805"/>
        <item h="1" x="657"/>
        <item h="1" x="764"/>
        <item h="1" x="820"/>
        <item h="1" x="442"/>
        <item h="1" x="124"/>
        <item h="1" x="867"/>
        <item h="1" x="597"/>
        <item h="1" x="426"/>
        <item h="1" x="622"/>
        <item h="1" x="225"/>
        <item h="1" x="188"/>
        <item h="1" x="220"/>
        <item h="1" x="244"/>
        <item h="1" x="90"/>
        <item h="1" x="143"/>
        <item h="1" x="827"/>
        <item h="1" x="105"/>
        <item h="1" x="756"/>
        <item h="1" x="445"/>
        <item h="1" x="795"/>
        <item h="1" x="45"/>
        <item h="1" x="507"/>
        <item h="1" x="240"/>
        <item h="1" x="353"/>
        <item h="1" x="302"/>
        <item h="1" x="96"/>
        <item h="1" x="458"/>
        <item h="1" x="139"/>
        <item h="1" x="847"/>
        <item h="1" x="696"/>
        <item h="1" x="379"/>
        <item h="1" x="357"/>
        <item h="1" x="315"/>
        <item h="1" x="358"/>
        <item h="1" x="110"/>
        <item h="1" x="182"/>
        <item h="1" x="754"/>
        <item h="1" x="572"/>
        <item h="1" x="503"/>
        <item h="1" x="273"/>
        <item h="1" x="751"/>
        <item h="1" x="489"/>
        <item h="1" x="631"/>
        <item h="1" x="56"/>
        <item h="1" x="854"/>
        <item h="1" x="381"/>
        <item h="1" x="144"/>
        <item h="1" x="607"/>
        <item h="1" x="266"/>
        <item h="1" x="883"/>
        <item h="1" x="520"/>
        <item h="1" x="192"/>
        <item h="1" x="590"/>
        <item h="1" x="236"/>
        <item h="1" x="851"/>
        <item h="1" x="333"/>
        <item h="1" x="842"/>
        <item h="1" x="595"/>
        <item h="1" x="74"/>
        <item h="1" x="427"/>
        <item h="1" x="170"/>
        <item h="1" x="16"/>
        <item h="1" x="354"/>
        <item h="1" x="570"/>
        <item h="1" x="526"/>
        <item h="1" x="386"/>
        <item h="1" x="48"/>
        <item h="1" x="34"/>
        <item h="1" x="693"/>
        <item h="1" x="411"/>
        <item h="1" x="468"/>
        <item h="1" x="485"/>
        <item h="1" x="639"/>
        <item h="1" x="759"/>
        <item h="1" x="815"/>
        <item h="1" x="15"/>
        <item h="1" x="38"/>
        <item h="1" x="832"/>
        <item h="1" x="822"/>
        <item h="1" x="762"/>
        <item h="1" x="675"/>
        <item h="1" x="167"/>
        <item h="1" x="543"/>
        <item h="1" x="452"/>
        <item h="1" x="567"/>
        <item h="1" x="615"/>
        <item h="1" x="289"/>
        <item h="1" x="481"/>
        <item h="1" x="732"/>
        <item h="1" x="249"/>
        <item h="1" x="47"/>
        <item h="1" x="600"/>
        <item h="1" x="448"/>
        <item h="1" x="380"/>
        <item h="1" x="23"/>
        <item h="1" x="667"/>
        <item h="1" x="5"/>
        <item h="1" x="865"/>
        <item h="1" x="443"/>
        <item h="1" x="534"/>
        <item h="1" x="680"/>
        <item h="1" x="628"/>
        <item h="1" x="713"/>
        <item h="1" x="497"/>
        <item h="1" x="886"/>
        <item h="1" x="585"/>
        <item h="1" x="10"/>
        <item h="1" x="370"/>
        <item h="1" x="421"/>
        <item h="1" x="614"/>
        <item h="1" x="103"/>
        <item h="1" x="694"/>
        <item h="1" x="303"/>
        <item h="1" x="20"/>
        <item h="1" x="395"/>
        <item h="1" x="728"/>
        <item h="1" x="502"/>
        <item h="1" x="565"/>
        <item h="1" x="783"/>
        <item h="1" x="880"/>
        <item h="1" x="92"/>
        <item h="1" x="296"/>
        <item h="1" x="679"/>
        <item h="1" x="145"/>
        <item h="1" x="313"/>
        <item h="1" x="546"/>
        <item h="1" x="516"/>
        <item h="1" x="474"/>
        <item h="1" x="201"/>
        <item h="1" x="771"/>
        <item h="1" x="94"/>
        <item h="1" x="277"/>
        <item h="1" x="77"/>
        <item h="1" x="582"/>
        <item h="1" x="874"/>
        <item h="1" x="593"/>
        <item h="1" x="185"/>
        <item h="1" x="250"/>
        <item h="1" x="416"/>
        <item h="1" x="25"/>
        <item h="1" x="488"/>
        <item h="1" x="219"/>
        <item h="1" x="27"/>
        <item h="1" x="327"/>
        <item h="1" x="11"/>
        <item h="1" x="248"/>
        <item h="1" x="676"/>
        <item h="1" x="786"/>
        <item h="1" x="428"/>
        <item h="1" x="389"/>
        <item h="1" x="247"/>
        <item h="1" x="671"/>
        <item h="1" x="348"/>
        <item h="1" x="740"/>
        <item h="1" x="89"/>
        <item h="1" x="194"/>
        <item h="1" x="4"/>
        <item h="1" x="385"/>
        <item h="1" x="22"/>
        <item h="1" x="610"/>
        <item h="1" x="654"/>
        <item h="1" x="698"/>
        <item h="1" x="843"/>
        <item h="1" x="811"/>
        <item h="1" x="230"/>
        <item h="1" x="191"/>
        <item h="1" x="301"/>
        <item h="1" x="750"/>
        <item h="1" x="499"/>
        <item h="1" x="29"/>
        <item h="1" x="777"/>
        <item h="1" x="431"/>
        <item h="1" x="310"/>
        <item h="1" x="341"/>
        <item h="1" x="678"/>
        <item h="1" x="742"/>
        <item h="1" x="40"/>
        <item h="1" x="317"/>
        <item h="1" x="521"/>
        <item h="1" x="314"/>
        <item h="1" x="772"/>
        <item h="1" x="760"/>
        <item h="1" x="190"/>
        <item h="1" x="402"/>
        <item h="1" x="61"/>
        <item h="1" x="334"/>
        <item h="1" x="430"/>
        <item h="1" x="630"/>
        <item h="1" x="279"/>
        <item h="1" x="388"/>
        <item h="1" x="629"/>
        <item h="1" x="826"/>
        <item h="1" x="460"/>
        <item h="1" x="479"/>
        <item h="1" x="669"/>
        <item h="1" x="784"/>
        <item h="1" x="440"/>
        <item h="1" x="165"/>
        <item h="1" x="459"/>
        <item h="1" x="719"/>
        <item h="1" x="367"/>
        <item h="1" x="107"/>
        <item h="1" x="643"/>
        <item h="1" x="661"/>
        <item h="1" x="398"/>
        <item h="1" x="215"/>
        <item h="1" x="308"/>
        <item h="1" x="682"/>
        <item h="1" x="870"/>
        <item h="1" x="343"/>
        <item h="1" x="337"/>
        <item h="1" x="218"/>
        <item h="1" x="141"/>
        <item h="1" x="632"/>
        <item h="1" x="743"/>
        <item h="1" x="12"/>
        <item h="1" x="72"/>
        <item h="1" x="136"/>
        <item h="1" x="885"/>
        <item h="1" x="773"/>
        <item h="1" x="441"/>
        <item h="1" x="233"/>
        <item h="1" x="257"/>
        <item h="1" x="0"/>
        <item h="1" x="601"/>
        <item h="1" x="776"/>
        <item h="1" x="363"/>
        <item h="1" x="608"/>
        <item h="1" x="79"/>
        <item h="1" x="770"/>
        <item h="1" x="718"/>
        <item h="1" x="383"/>
        <item h="1" x="733"/>
        <item h="1" x="406"/>
        <item h="1" x="689"/>
        <item h="1" x="561"/>
        <item h="1" x="153"/>
        <item h="1" x="524"/>
        <item h="1" x="646"/>
        <item h="1" x="864"/>
        <item h="1" x="183"/>
        <item h="1" x="18"/>
        <item h="1" x="112"/>
        <item h="1" x="508"/>
        <item h="1" x="716"/>
        <item h="1" x="275"/>
        <item h="1" x="779"/>
        <item h="1" x="465"/>
        <item h="1" x="829"/>
        <item h="1" x="413"/>
        <item h="1" x="31"/>
        <item h="1" x="673"/>
        <item h="1" x="846"/>
        <item h="1" x="214"/>
        <item h="1" x="130"/>
        <item h="1" x="642"/>
        <item h="1" x="330"/>
        <item h="1" x="707"/>
        <item h="1" x="877"/>
        <item h="1" x="599"/>
        <item h="1" x="304"/>
        <item h="1" x="721"/>
        <item h="1" x="540"/>
        <item h="1" x="453"/>
        <item h="1" x="255"/>
        <item h="1" x="808"/>
        <item h="1" x="148"/>
        <item h="1" x="767"/>
        <item h="1" x="551"/>
        <item h="1" x="616"/>
        <item h="1" x="793"/>
        <item h="1" x="187"/>
        <item h="1" x="780"/>
        <item h="1" x="720"/>
        <item h="1" x="239"/>
        <item h="1" x="463"/>
        <item h="1" x="123"/>
        <item h="1" x="339"/>
        <item h="1" x="708"/>
        <item h="1" x="128"/>
        <item h="1" x="604"/>
        <item h="1" x="97"/>
        <item h="1" x="665"/>
        <item h="1" x="101"/>
        <item h="1" x="409"/>
        <item h="1" x="222"/>
        <item h="1" x="437"/>
        <item h="1" x="498"/>
        <item h="1" x="530"/>
        <item h="1" x="17"/>
        <item h="1" x="844"/>
        <item h="1" x="324"/>
        <item h="1" x="860"/>
        <item h="1" x="14"/>
        <item h="1" x="295"/>
        <item h="1" x="838"/>
        <item h="1" x="147"/>
        <item h="1" x="408"/>
        <item h="1" x="125"/>
        <item h="1" x="536"/>
        <item h="1" x="294"/>
        <item h="1" x="332"/>
        <item h="1" x="506"/>
        <item h="1" x="866"/>
        <item h="1" x="184"/>
        <item h="1" x="419"/>
        <item h="1" x="586"/>
        <item h="1" x="505"/>
        <item h="1" x="100"/>
        <item h="1" x="228"/>
        <item h="1" x="414"/>
        <item h="1" x="293"/>
        <item h="1" x="726"/>
        <item h="1" x="625"/>
        <item h="1" x="407"/>
        <item h="1" x="712"/>
        <item h="1" x="321"/>
        <item h="1" x="438"/>
        <item h="1" x="617"/>
        <item h="1" x="755"/>
        <item h="1" x="328"/>
        <item h="1" x="329"/>
        <item h="1" x="290"/>
        <item h="1" x="81"/>
        <item h="1" x="609"/>
        <item h="1" x="42"/>
        <item h="1" x="35"/>
        <item h="1" x="176"/>
        <item h="1" x="43"/>
        <item h="1" x="262"/>
        <item h="1" x="326"/>
        <item h="1" x="635"/>
        <item h="1" x="566"/>
        <item h="1" x="138"/>
        <item h="1" x="796"/>
        <item h="1" x="781"/>
        <item h="1" x="734"/>
        <item h="1" x="649"/>
        <item h="1" x="420"/>
        <item h="1" x="457"/>
        <item h="1" x="213"/>
        <item h="1" x="548"/>
        <item h="1" x="836"/>
        <item h="1" x="282"/>
        <item h="1" x="114"/>
        <item h="1" x="50"/>
        <item h="1" x="272"/>
        <item h="1" x="568"/>
        <item h="1" x="677"/>
        <item h="1" x="200"/>
        <item h="1" x="9"/>
        <item h="1" x="648"/>
        <item h="1" x="558"/>
        <item h="1" x="179"/>
        <item h="1" x="562"/>
        <item h="1" x="344"/>
        <item h="1" x="422"/>
        <item h="1" x="362"/>
        <item h="1" x="95"/>
        <item h="1" x="467"/>
        <item h="1" x="581"/>
        <item h="1" x="417"/>
        <item h="1" x="868"/>
        <item h="1" x="286"/>
        <item h="1" x="174"/>
        <item h="1" x="884"/>
        <item h="1" x="672"/>
        <item h="1" x="749"/>
        <item h="1" x="624"/>
        <item h="1" x="447"/>
        <item h="1" x="469"/>
        <item h="1" x="529"/>
        <item h="1" x="121"/>
        <item h="1" x="19"/>
        <item h="1" x="13"/>
        <item h="1" x="706"/>
        <item h="1" x="234"/>
        <item h="1" x="449"/>
        <item h="1" x="686"/>
        <item h="1" x="285"/>
        <item h="1" x="278"/>
        <item h="1" x="454"/>
        <item h="1" x="356"/>
        <item h="1" x="91"/>
        <item h="1" x="207"/>
        <item h="1" x="316"/>
        <item h="1" x="127"/>
        <item h="1" x="476"/>
        <item h="1" x="787"/>
        <item h="1" x="813"/>
        <item h="1" x="483"/>
        <item h="1" x="556"/>
        <item h="1" x="83"/>
        <item h="1" x="351"/>
        <item h="1" x="298"/>
        <item h="1" x="336"/>
        <item h="1" x="535"/>
        <item h="1" x="227"/>
        <item h="1" x="473"/>
        <item h="1" x="251"/>
        <item h="1" x="791"/>
        <item h="1" x="115"/>
        <item h="1" x="633"/>
        <item h="1" x="361"/>
        <item h="1" x="151"/>
        <item h="1" x="580"/>
        <item h="1" x="269"/>
        <item h="1" x="613"/>
        <item h="1" x="268"/>
        <item h="1" x="655"/>
        <item h="1" x="209"/>
        <item h="1" x="76"/>
        <item h="1" x="418"/>
        <item h="1" x="735"/>
        <item h="1" x="394"/>
        <item h="1" x="197"/>
        <item h="1" x="579"/>
        <item h="1" x="687"/>
        <item h="1" x="852"/>
        <item h="1" x="641"/>
        <item h="1" x="652"/>
        <item h="1" x="287"/>
        <item h="1" x="821"/>
        <item h="1" x="528"/>
        <item h="1" x="510"/>
        <item h="1" x="384"/>
        <item h="1" x="375"/>
        <item h="1" x="319"/>
        <item h="1" x="51"/>
        <item h="1" x="804"/>
        <item h="1" x="825"/>
        <item h="1" x="155"/>
        <item h="1" x="539"/>
        <item h="1" x="84"/>
        <item h="1" x="834"/>
        <item h="1" x="377"/>
        <item h="1" x="360"/>
        <item h="1" x="537"/>
        <item h="1" x="803"/>
        <item h="1" x="55"/>
        <item h="1" x="163"/>
        <item h="1" x="52"/>
        <item h="1" x="6"/>
        <item h="1" x="533"/>
        <item h="1" x="206"/>
        <item h="1" x="763"/>
        <item h="1" x="710"/>
        <item h="1" x="491"/>
        <item h="1" x="391"/>
        <item h="1" x="845"/>
        <item h="1" x="798"/>
        <item h="1" x="335"/>
        <item h="1" x="267"/>
        <item h="1" x="564"/>
        <item h="1" x="264"/>
        <item h="1" x="691"/>
        <item h="1" x="390"/>
        <item h="1" x="626"/>
        <item h="1" x="471"/>
        <item h="1" x="688"/>
        <item h="1" x="456"/>
        <item h="1" x="65"/>
        <item h="1" x="623"/>
        <item h="1" x="24"/>
        <item h="1" x="774"/>
        <item h="1" x="560"/>
        <item h="1" x="189"/>
        <item h="1" x="482"/>
        <item h="1" x="640"/>
        <item h="1" x="702"/>
        <item h="1" x="730"/>
        <item h="1" x="67"/>
        <item h="1" x="532"/>
        <item h="1" x="645"/>
        <item h="1" x="522"/>
        <item h="1" x="752"/>
        <item h="1" x="154"/>
        <item h="1" x="681"/>
        <item h="1" x="588"/>
        <item h="1" x="876"/>
        <item h="1" x="271"/>
        <item h="1" x="3"/>
        <item h="1" x="338"/>
        <item h="1" x="807"/>
        <item h="1" x="461"/>
        <item h="1" x="2"/>
        <item h="1" x="57"/>
        <item h="1" x="775"/>
        <item h="1" x="280"/>
        <item h="1" x="166"/>
        <item h="1" x="739"/>
        <item h="1" x="493"/>
        <item h="1" x="746"/>
        <item h="1" x="63"/>
        <item h="1" x="109"/>
        <item h="1" x="162"/>
        <item h="1" x="490"/>
        <item h="1" x="241"/>
        <item h="1" x="527"/>
        <item h="1" x="340"/>
        <item h="1" x="856"/>
        <item h="1" x="517"/>
        <item h="1" x="744"/>
        <item h="1" x="450"/>
        <item h="1" x="695"/>
        <item h="1" x="33"/>
        <item h="1" x="794"/>
        <item h="1" x="68"/>
        <item h="1" x="366"/>
        <item h="1" x="210"/>
        <item h="1" x="703"/>
        <item h="1" x="284"/>
        <item h="1" x="553"/>
        <item h="1" x="117"/>
        <item h="1" x="801"/>
        <item h="1" x="658"/>
        <item h="1" x="331"/>
        <item h="1" x="549"/>
        <item h="1" x="281"/>
        <item h="1" x="504"/>
        <item h="1" x="387"/>
        <item h="1" x="831"/>
        <item h="1" x="58"/>
        <item h="1" x="584"/>
        <item h="1" x="199"/>
        <item h="1" x="594"/>
        <item h="1" x="782"/>
        <item h="1" x="486"/>
        <item h="1" x="28"/>
        <item h="1" x="99"/>
        <item h="1" x="496"/>
        <item h="1" x="276"/>
        <item h="1" x="634"/>
        <item h="1" x="653"/>
        <item h="1" x="98"/>
        <item h="1" x="401"/>
        <item h="1" x="816"/>
        <item h="1" x="462"/>
        <item h="1" x="444"/>
        <item h="1" x="589"/>
        <item h="1" x="879"/>
        <item h="1" x="71"/>
        <item h="1" x="175"/>
        <item h="1" x="88"/>
        <item h="1" x="480"/>
        <item h="1" x="850"/>
        <item h="1" x="102"/>
        <item h="1" x="737"/>
        <item h="1" x="245"/>
        <item h="1" x="664"/>
        <item h="1" x="118"/>
        <item h="1" x="129"/>
        <item h="1" x="26"/>
        <item h="1" x="758"/>
        <item h="1" x="620"/>
        <item h="1" x="342"/>
        <item h="1" x="638"/>
        <item h="1" x="307"/>
        <item h="1" x="591"/>
        <item h="1" x="785"/>
        <item h="1" x="156"/>
        <item h="1" x="106"/>
        <item h="1" x="861"/>
        <item h="1" x="21"/>
        <item h="1" x="246"/>
        <item h="1" x="311"/>
        <item h="1" x="397"/>
        <item h="1" x="172"/>
        <item h="1" x="435"/>
        <item h="1" x="802"/>
        <item h="1" x="466"/>
        <item h="1" x="142"/>
        <item h="1" x="778"/>
        <item h="1" x="514"/>
        <item h="1" x="792"/>
        <item h="1" x="576"/>
        <item h="1" x="424"/>
        <item h="1" x="660"/>
        <item h="1" x="513"/>
        <item h="1" x="789"/>
        <item h="1" x="270"/>
        <item h="1" x="685"/>
        <item h="1" x="288"/>
        <item h="1" x="349"/>
        <item h="1" x="126"/>
        <item h="1" x="224"/>
        <item h="1" x="212"/>
        <item h="1" x="753"/>
        <item h="1" x="574"/>
        <item h="1" x="134"/>
        <item h="1" x="494"/>
        <item h="1" x="32"/>
        <item h="1" x="800"/>
        <item h="1" x="203"/>
        <item h="1" x="806"/>
        <item h="1" x="116"/>
        <item h="1" x="374"/>
        <item h="1" x="853"/>
        <item h="1" x="557"/>
        <item h="1" x="647"/>
        <item h="1" x="563"/>
        <item h="1" x="111"/>
        <item h="1" x="823"/>
        <item h="1" x="433"/>
        <item h="1" x="186"/>
        <item h="1" x="817"/>
        <item h="1" x="809"/>
        <item h="1" x="373"/>
        <item h="1" x="59"/>
        <item h="1" x="583"/>
        <item h="1" x="119"/>
        <item h="1" x="747"/>
        <item h="1" x="525"/>
        <item h="1" x="500"/>
        <item h="1" x="552"/>
        <item h="1" x="378"/>
        <item h="1" x="78"/>
        <item h="1" x="7"/>
        <item h="1" x="855"/>
        <item h="1" x="598"/>
        <item h="1" x="371"/>
        <item h="1" x="365"/>
        <item h="1" x="425"/>
        <item h="1" x="554"/>
        <item h="1" x="393"/>
        <item h="1" x="875"/>
        <item h="1" x="320"/>
        <item h="1" x="819"/>
        <item h="1" x="538"/>
        <item h="1" x="858"/>
        <item h="1" x="198"/>
        <item h="1" x="140"/>
        <item h="1" x="39"/>
        <item h="1" x="193"/>
        <item h="1" x="168"/>
        <item h="1" x="368"/>
        <item h="1" x="8"/>
        <item h="1" x="37"/>
        <item h="1" x="306"/>
        <item h="1" x="790"/>
        <item h="1" x="195"/>
        <item h="1" x="835"/>
        <item h="1" x="131"/>
        <item h="1" x="745"/>
        <item h="1" x="542"/>
        <item h="1" x="44"/>
        <item h="1" x="305"/>
        <item h="1" x="177"/>
        <item h="1" x="455"/>
        <item h="1" x="717"/>
        <item h="1" x="611"/>
        <item h="1" x="322"/>
        <item h="1" x="714"/>
        <item h="1" x="882"/>
        <item h="1" x="30"/>
        <item h="1" x="650"/>
        <item h="1" x="571"/>
        <item h="1" x="788"/>
        <item h="1" x="887"/>
        <item h="1" x="369"/>
        <item h="1" x="637"/>
        <item h="1" x="478"/>
        <item h="1" x="724"/>
        <item h="1" x="258"/>
        <item h="1" x="651"/>
        <item h="1" x="49"/>
        <item h="1" x="152"/>
        <item h="1" x="180"/>
        <item h="1" x="439"/>
        <item h="1" x="229"/>
        <item h="1" x="575"/>
        <item h="1" x="263"/>
        <item h="1" x="741"/>
        <item h="1" x="400"/>
        <item h="1" x="53"/>
        <item h="1" x="550"/>
        <item h="1" x="621"/>
        <item h="1" x="515"/>
        <item h="1" x="392"/>
        <item h="1" x="221"/>
        <item h="1" x="429"/>
        <item h="1" x="765"/>
        <item h="1" x="259"/>
        <item h="1" x="346"/>
        <item h="1" x="73"/>
        <item h="1" x="82"/>
        <item h="1" x="472"/>
        <item h="1" x="659"/>
        <item h="1" x="662"/>
        <item h="1" x="690"/>
        <item h="1" x="164"/>
        <item h="1" x="722"/>
        <item h="1" x="382"/>
        <item h="1" x="840"/>
        <item h="1" x="849"/>
        <item h="1" x="627"/>
        <item h="1" x="62"/>
        <item h="1" x="541"/>
        <item h="1" x="873"/>
        <item h="1" x="464"/>
        <item h="1" x="828"/>
        <item h="1" x="323"/>
        <item h="1" x="509"/>
        <item h="1" x="345"/>
        <item h="1" x="161"/>
        <item h="1" x="85"/>
        <item h="1" x="216"/>
        <item h="1" x="729"/>
        <item h="1" x="87"/>
        <item h="1" x="312"/>
        <item h="1" x="46"/>
        <item h="1" x="699"/>
        <item h="1" x="477"/>
        <item h="1" x="238"/>
        <item h="1" x="122"/>
        <item h="1" x="869"/>
        <item h="1" x="700"/>
        <item h="1" x="423"/>
        <item h="1" x="818"/>
        <item h="1" x="475"/>
        <item h="1" x="603"/>
        <item h="1" x="859"/>
        <item h="1" x="436"/>
        <item h="1" x="674"/>
        <item h="1" x="355"/>
        <item h="1" x="592"/>
        <item h="1" x="545"/>
        <item h="1" x="1"/>
        <item h="1" x="492"/>
        <item h="1" x="573"/>
        <item h="1" x="656"/>
        <item h="1" x="833"/>
        <item h="1" x="697"/>
        <item h="1" x="372"/>
        <item h="1" x="692"/>
        <item h="1" x="253"/>
        <item h="1" x="587"/>
        <item h="1" x="69"/>
        <item h="1" x="202"/>
        <item h="1" x="254"/>
        <item h="1" x="761"/>
        <item h="1" x="256"/>
        <item h="1" x="736"/>
        <item h="1" x="848"/>
        <item h="1" x="169"/>
        <item h="1" x="93"/>
        <item h="1" x="359"/>
        <item h="1" x="396"/>
        <item h="1" x="862"/>
        <item h="1" x="120"/>
        <item h="1" x="208"/>
        <item h="1" x="501"/>
        <item h="1" x="768"/>
        <item h="1" x="871"/>
        <item h="1" x="487"/>
        <item h="1" x="705"/>
        <item h="1" x="300"/>
        <item h="1" x="812"/>
        <item h="1" x="291"/>
        <item h="1" x="602"/>
        <item h="1" x="799"/>
        <item h="1" x="231"/>
        <item h="1" x="715"/>
        <item h="1" x="60"/>
        <item t="default"/>
      </items>
    </pivotField>
    <pivotField axis="axisRow" showAll="0">
      <items count="5">
        <item x="2"/>
        <item x="0"/>
        <item x="3"/>
        <item x="1"/>
        <item t="default"/>
      </items>
    </pivotField>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20"/>
  </rowFields>
  <rowItems count="5">
    <i>
      <x/>
    </i>
    <i>
      <x v="1"/>
    </i>
    <i>
      <x v="2"/>
    </i>
    <i>
      <x v="3"/>
    </i>
    <i t="grand">
      <x/>
    </i>
  </rowItems>
  <colFields count="1">
    <field x="15"/>
  </colFields>
  <colItems count="5">
    <i>
      <x/>
    </i>
    <i>
      <x v="1"/>
    </i>
    <i>
      <x v="2"/>
    </i>
    <i>
      <x v="3"/>
    </i>
    <i t="grand">
      <x/>
    </i>
  </colItems>
  <dataFields count="1">
    <dataField name="Count of Applicant_ID" fld="0" subtotal="count" baseField="20" baseItem="0"/>
  </dataFields>
  <chartFormats count="15">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5" format="8" series="1">
      <pivotArea type="data" outline="0" fieldPosition="0">
        <references count="2">
          <reference field="4294967294" count="1" selected="0">
            <x v="0"/>
          </reference>
          <reference field="15" count="1" selected="0">
            <x v="0"/>
          </reference>
        </references>
      </pivotArea>
    </chartFormat>
    <chartFormat chart="5" format="9" series="1">
      <pivotArea type="data" outline="0" fieldPosition="0">
        <references count="2">
          <reference field="4294967294" count="1" selected="0">
            <x v="0"/>
          </reference>
          <reference field="15" count="1" selected="0">
            <x v="1"/>
          </reference>
        </references>
      </pivotArea>
    </chartFormat>
    <chartFormat chart="5" format="10" series="1">
      <pivotArea type="data" outline="0" fieldPosition="0">
        <references count="2">
          <reference field="4294967294" count="1" selected="0">
            <x v="0"/>
          </reference>
          <reference field="15" count="1" selected="0">
            <x v="2"/>
          </reference>
        </references>
      </pivotArea>
    </chartFormat>
    <chartFormat chart="5" format="11" series="1">
      <pivotArea type="data" outline="0" fieldPosition="0">
        <references count="2">
          <reference field="4294967294" count="1" selected="0">
            <x v="0"/>
          </reference>
          <reference field="15" count="1" selected="0">
            <x v="3"/>
          </reference>
        </references>
      </pivotArea>
    </chartFormat>
    <chartFormat chart="5" format="12">
      <pivotArea type="data" outline="0" fieldPosition="0">
        <references count="3">
          <reference field="4294967294" count="1" selected="0">
            <x v="0"/>
          </reference>
          <reference field="15" count="1" selected="0">
            <x v="2"/>
          </reference>
          <reference field="20" count="1" selected="0">
            <x v="0"/>
          </reference>
        </references>
      </pivotArea>
    </chartFormat>
    <chartFormat chart="5" format="13">
      <pivotArea type="data" outline="0" fieldPosition="0">
        <references count="3">
          <reference field="4294967294" count="1" selected="0">
            <x v="0"/>
          </reference>
          <reference field="15" count="1" selected="0">
            <x v="1"/>
          </reference>
          <reference field="20" count="1" selected="0">
            <x v="0"/>
          </reference>
        </references>
      </pivotArea>
    </chartFormat>
    <chartFormat chart="5" format="14">
      <pivotArea type="data" outline="0" fieldPosition="0">
        <references count="3">
          <reference field="4294967294" count="1" selected="0">
            <x v="0"/>
          </reference>
          <reference field="15" count="1" selected="0">
            <x v="0"/>
          </reference>
          <reference field="20" count="1" selected="0">
            <x v="0"/>
          </reference>
        </references>
      </pivotArea>
    </chartFormat>
    <chartFormat chart="5" format="15">
      <pivotArea type="data" outline="0" fieldPosition="0">
        <references count="3">
          <reference field="4294967294" count="1" selected="0">
            <x v="0"/>
          </reference>
          <reference field="15" count="1" selected="0">
            <x v="3"/>
          </reference>
          <reference field="20" count="1" selected="0">
            <x v="2"/>
          </reference>
        </references>
      </pivotArea>
    </chartFormat>
    <chartFormat chart="5" format="16">
      <pivotArea type="data" outline="0" fieldPosition="0">
        <references count="3">
          <reference field="4294967294" count="1" selected="0">
            <x v="0"/>
          </reference>
          <reference field="15" count="1" selected="0">
            <x v="3"/>
          </reference>
          <reference field="20" count="1" selected="0">
            <x v="0"/>
          </reference>
        </references>
      </pivotArea>
    </chartFormat>
    <chartFormat chart="5" format="17">
      <pivotArea type="data" outline="0" fieldPosition="0">
        <references count="3">
          <reference field="4294967294" count="1" selected="0">
            <x v="0"/>
          </reference>
          <reference field="15" count="1" selected="0">
            <x v="3"/>
          </reference>
          <reference field="20" count="1" selected="0">
            <x v="1"/>
          </reference>
        </references>
      </pivotArea>
    </chartFormat>
    <chartFormat chart="5" format="18">
      <pivotArea type="data" outline="0" fieldPosition="0">
        <references count="3">
          <reference field="4294967294" count="1" selected="0">
            <x v="0"/>
          </reference>
          <reference field="15" count="1" selected="0">
            <x v="3"/>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458BA8-C185-411A-B412-35279FC473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B32" firstHeaderRow="1" firstDataRow="1" firstDataCol="0"/>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Items count="1">
    <i/>
  </rowItems>
  <colItems count="1">
    <i/>
  </colItems>
  <dataFields count="1">
    <dataField name="Sum of Loan_Am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690AF2-48A5-4D8F-B8A1-42203A30C6C4}"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44:C252" firstHeaderRow="1" firstDataRow="1" firstDataCol="1"/>
  <pivotFields count="29">
    <pivotField dataField="1"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showAll="0"/>
    <pivotField showAll="0"/>
    <pivotField showAll="0"/>
    <pivotField axis="axisRow" showAll="0">
      <items count="8">
        <item x="6"/>
        <item x="5"/>
        <item x="4"/>
        <item x="1"/>
        <item x="3"/>
        <item x="2"/>
        <item x="0"/>
        <item t="default"/>
      </items>
    </pivotField>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22"/>
  </rowFields>
  <rowItems count="8">
    <i>
      <x/>
    </i>
    <i>
      <x v="1"/>
    </i>
    <i>
      <x v="2"/>
    </i>
    <i>
      <x v="3"/>
    </i>
    <i>
      <x v="4"/>
    </i>
    <i>
      <x v="5"/>
    </i>
    <i>
      <x v="6"/>
    </i>
    <i t="grand">
      <x/>
    </i>
  </rowItems>
  <colItems count="1">
    <i/>
  </colItems>
  <dataFields count="1">
    <dataField name="Count of Applicant_ID" fld="0" subtotal="count" baseField="22"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2" count="1" selected="0">
            <x v="4"/>
          </reference>
        </references>
      </pivotArea>
    </chartFormat>
    <chartFormat chart="3" format="4">
      <pivotArea type="data" outline="0" fieldPosition="0">
        <references count="2">
          <reference field="4294967294" count="1" selected="0">
            <x v="0"/>
          </reference>
          <reference field="22" count="1" selected="0">
            <x v="2"/>
          </reference>
        </references>
      </pivotArea>
    </chartFormat>
    <chartFormat chart="3" format="5">
      <pivotArea type="data" outline="0" fieldPosition="0">
        <references count="2">
          <reference field="4294967294" count="1" selected="0">
            <x v="0"/>
          </reference>
          <reference field="2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9F188D-9947-4A5E-B6B9-A0B1D436086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22:C126" firstHeaderRow="1" firstDataRow="1" firstDataCol="1"/>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24"/>
  </rowFields>
  <rowItems count="4">
    <i>
      <x/>
    </i>
    <i>
      <x v="1"/>
    </i>
    <i>
      <x v="2"/>
    </i>
    <i t="grand">
      <x/>
    </i>
  </rowItems>
  <colItems count="1">
    <i/>
  </colItems>
  <dataFields count="1">
    <dataField name="Count of Property_Area" fld="24"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4" count="1" selected="0">
            <x v="0"/>
          </reference>
        </references>
      </pivotArea>
    </chartFormat>
    <chartFormat chart="2" format="7">
      <pivotArea type="data" outline="0" fieldPosition="0">
        <references count="2">
          <reference field="4294967294" count="1" selected="0">
            <x v="0"/>
          </reference>
          <reference field="24" count="1" selected="0">
            <x v="1"/>
          </reference>
        </references>
      </pivotArea>
    </chartFormat>
    <chartFormat chart="2" format="8">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5B4356-A3FB-472D-802B-A3F11BA5B1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2" firstHeaderRow="1" firstDataRow="1" firstDataCol="1"/>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axis="axisRow" dataField="1" showAll="0">
      <items count="3">
        <item x="0"/>
        <item x="1"/>
        <item t="default"/>
      </items>
    </pivotField>
  </pivotFields>
  <rowFields count="1">
    <field x="28"/>
  </rowFields>
  <rowItems count="3">
    <i>
      <x/>
    </i>
    <i>
      <x v="1"/>
    </i>
    <i t="grand">
      <x/>
    </i>
  </rowItems>
  <colItems count="1">
    <i/>
  </colItems>
  <dataFields count="1">
    <dataField name="Count of Loan_Approved" fld="2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FF9FD0-EFF4-4DF1-9F13-DE083A365C4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63:C166" firstHeaderRow="1" firstDataRow="1" firstDataCol="1"/>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dataField="1" showAll="0">
      <items count="884">
        <item x="11"/>
        <item x="766"/>
        <item x="745"/>
        <item x="559"/>
        <item x="597"/>
        <item x="299"/>
        <item x="487"/>
        <item x="492"/>
        <item x="554"/>
        <item x="280"/>
        <item x="873"/>
        <item x="625"/>
        <item x="321"/>
        <item x="751"/>
        <item x="313"/>
        <item x="214"/>
        <item x="485"/>
        <item x="388"/>
        <item x="409"/>
        <item x="676"/>
        <item x="584"/>
        <item x="344"/>
        <item x="400"/>
        <item x="551"/>
        <item x="822"/>
        <item x="458"/>
        <item x="870"/>
        <item x="399"/>
        <item x="88"/>
        <item x="163"/>
        <item x="800"/>
        <item x="548"/>
        <item x="639"/>
        <item x="7"/>
        <item x="573"/>
        <item x="415"/>
        <item x="126"/>
        <item x="260"/>
        <item x="502"/>
        <item x="691"/>
        <item x="307"/>
        <item x="743"/>
        <item x="8"/>
        <item x="444"/>
        <item x="503"/>
        <item x="652"/>
        <item x="314"/>
        <item x="135"/>
        <item x="112"/>
        <item x="656"/>
        <item x="104"/>
        <item x="294"/>
        <item x="821"/>
        <item x="694"/>
        <item x="14"/>
        <item x="380"/>
        <item x="375"/>
        <item x="331"/>
        <item x="517"/>
        <item x="213"/>
        <item x="366"/>
        <item x="110"/>
        <item x="440"/>
        <item x="705"/>
        <item x="363"/>
        <item x="385"/>
        <item x="425"/>
        <item x="809"/>
        <item x="878"/>
        <item x="305"/>
        <item x="394"/>
        <item x="666"/>
        <item x="805"/>
        <item x="493"/>
        <item x="83"/>
        <item x="71"/>
        <item x="627"/>
        <item x="585"/>
        <item x="382"/>
        <item x="571"/>
        <item x="127"/>
        <item x="82"/>
        <item x="690"/>
        <item x="547"/>
        <item x="357"/>
        <item x="253"/>
        <item x="273"/>
        <item x="727"/>
        <item x="152"/>
        <item x="685"/>
        <item x="744"/>
        <item x="229"/>
        <item x="271"/>
        <item x="443"/>
        <item x="451"/>
        <item x="856"/>
        <item x="558"/>
        <item x="266"/>
        <item x="871"/>
        <item x="19"/>
        <item x="529"/>
        <item x="560"/>
        <item x="535"/>
        <item x="252"/>
        <item x="23"/>
        <item x="182"/>
        <item x="628"/>
        <item x="255"/>
        <item x="464"/>
        <item x="420"/>
        <item x="862"/>
        <item x="153"/>
        <item x="178"/>
        <item x="156"/>
        <item x="626"/>
        <item x="228"/>
        <item x="144"/>
        <item x="661"/>
        <item x="762"/>
        <item x="154"/>
        <item x="1"/>
        <item x="519"/>
        <item x="232"/>
        <item x="184"/>
        <item x="565"/>
        <item x="138"/>
        <item x="123"/>
        <item x="191"/>
        <item x="658"/>
        <item x="95"/>
        <item x="360"/>
        <item x="864"/>
        <item x="872"/>
        <item x="61"/>
        <item x="758"/>
        <item x="598"/>
        <item x="122"/>
        <item x="439"/>
        <item x="820"/>
        <item x="680"/>
        <item x="9"/>
        <item x="536"/>
        <item x="708"/>
        <item x="696"/>
        <item x="515"/>
        <item x="254"/>
        <item x="544"/>
        <item x="188"/>
        <item x="719"/>
        <item x="306"/>
        <item x="683"/>
        <item x="617"/>
        <item x="484"/>
        <item x="59"/>
        <item x="330"/>
        <item x="297"/>
        <item x="114"/>
        <item x="352"/>
        <item x="704"/>
        <item x="645"/>
        <item x="218"/>
        <item x="452"/>
        <item x="513"/>
        <item x="710"/>
        <item x="282"/>
        <item x="246"/>
        <item x="520"/>
        <item x="113"/>
        <item x="390"/>
        <item x="475"/>
        <item x="137"/>
        <item x="566"/>
        <item x="84"/>
        <item x="530"/>
        <item x="722"/>
        <item x="355"/>
        <item x="723"/>
        <item x="480"/>
        <item x="644"/>
        <item x="235"/>
        <item x="86"/>
        <item x="581"/>
        <item x="60"/>
        <item x="102"/>
        <item x="478"/>
        <item x="728"/>
        <item x="609"/>
        <item x="650"/>
        <item x="124"/>
        <item x="281"/>
        <item x="350"/>
        <item x="69"/>
        <item x="142"/>
        <item x="155"/>
        <item x="416"/>
        <item x="65"/>
        <item x="177"/>
        <item x="143"/>
        <item x="166"/>
        <item x="808"/>
        <item x="202"/>
        <item x="596"/>
        <item x="325"/>
        <item x="195"/>
        <item x="149"/>
        <item x="815"/>
        <item x="465"/>
        <item x="720"/>
        <item x="40"/>
        <item x="36"/>
        <item x="132"/>
        <item x="316"/>
        <item x="160"/>
        <item x="518"/>
        <item x="27"/>
        <item x="285"/>
        <item x="814"/>
        <item x="51"/>
        <item x="296"/>
        <item x="327"/>
        <item x="647"/>
        <item x="592"/>
        <item x="610"/>
        <item x="207"/>
        <item x="454"/>
        <item x="865"/>
        <item x="735"/>
        <item x="716"/>
        <item x="383"/>
        <item x="525"/>
        <item x="121"/>
        <item x="605"/>
        <item x="524"/>
        <item x="384"/>
        <item x="256"/>
        <item x="75"/>
        <item x="790"/>
        <item x="756"/>
        <item x="397"/>
        <item x="354"/>
        <item x="855"/>
        <item x="687"/>
        <item x="426"/>
        <item x="117"/>
        <item x="509"/>
        <item x="50"/>
        <item x="700"/>
        <item x="568"/>
        <item x="437"/>
        <item x="391"/>
        <item x="361"/>
        <item x="659"/>
        <item x="477"/>
        <item x="879"/>
        <item x="837"/>
        <item x="192"/>
        <item x="836"/>
        <item x="794"/>
        <item x="300"/>
        <item x="171"/>
        <item x="308"/>
        <item x="848"/>
        <item x="81"/>
        <item x="767"/>
        <item x="607"/>
        <item x="764"/>
        <item x="729"/>
        <item x="139"/>
        <item x="424"/>
        <item x="618"/>
        <item x="413"/>
        <item x="322"/>
        <item x="131"/>
        <item x="370"/>
        <item x="724"/>
        <item x="376"/>
        <item x="860"/>
        <item x="731"/>
        <item x="435"/>
        <item x="449"/>
        <item x="699"/>
        <item x="223"/>
        <item x="669"/>
        <item x="842"/>
        <item x="222"/>
        <item x="279"/>
        <item x="712"/>
        <item x="284"/>
        <item x="80"/>
        <item x="772"/>
        <item x="106"/>
        <item x="241"/>
        <item x="90"/>
        <item x="275"/>
        <item x="97"/>
        <item x="406"/>
        <item x="482"/>
        <item x="99"/>
        <item x="792"/>
        <item x="73"/>
        <item x="291"/>
        <item x="612"/>
        <item x="630"/>
        <item x="553"/>
        <item x="147"/>
        <item x="185"/>
        <item x="781"/>
        <item x="877"/>
        <item x="236"/>
        <item x="264"/>
        <item x="43"/>
        <item x="570"/>
        <item x="473"/>
        <item x="641"/>
        <item x="813"/>
        <item x="678"/>
        <item x="504"/>
        <item x="323"/>
        <item x="63"/>
        <item x="367"/>
        <item x="793"/>
        <item x="817"/>
        <item x="436"/>
        <item x="616"/>
        <item x="532"/>
        <item x="215"/>
        <item x="224"/>
        <item x="29"/>
        <item x="668"/>
        <item x="709"/>
        <item x="46"/>
        <item x="635"/>
        <item x="265"/>
        <item x="613"/>
        <item x="45"/>
        <item x="312"/>
        <item x="42"/>
        <item x="459"/>
        <item x="481"/>
        <item x="773"/>
        <item x="315"/>
        <item x="715"/>
        <item x="753"/>
        <item x="651"/>
        <item x="505"/>
        <item x="593"/>
        <item x="274"/>
        <item x="489"/>
        <item x="638"/>
        <item x="875"/>
        <item x="233"/>
        <item x="401"/>
        <item x="543"/>
        <item x="783"/>
        <item x="469"/>
        <item x="738"/>
        <item x="242"/>
        <item x="621"/>
        <item x="206"/>
        <item x="777"/>
        <item x="838"/>
        <item x="107"/>
        <item x="857"/>
        <item x="748"/>
        <item x="175"/>
        <item x="346"/>
        <item x="187"/>
        <item x="247"/>
        <item x="448"/>
        <item x="268"/>
        <item x="353"/>
        <item x="204"/>
        <item x="234"/>
        <item x="377"/>
        <item x="468"/>
        <item x="507"/>
        <item x="445"/>
        <item x="667"/>
        <item x="433"/>
        <item x="601"/>
        <item x="757"/>
        <item x="533"/>
        <item x="537"/>
        <item x="173"/>
        <item x="880"/>
        <item x="769"/>
        <item x="303"/>
        <item x="405"/>
        <item x="574"/>
        <item x="578"/>
        <item x="763"/>
        <item x="674"/>
        <item x="333"/>
        <item x="832"/>
        <item x="595"/>
        <item x="332"/>
        <item x="640"/>
        <item x="329"/>
        <item x="876"/>
        <item x="600"/>
        <item x="412"/>
        <item x="386"/>
        <item x="422"/>
        <item x="209"/>
        <item x="457"/>
        <item x="583"/>
        <item x="576"/>
        <item x="33"/>
        <item x="21"/>
        <item x="423"/>
        <item x="343"/>
        <item x="796"/>
        <item x="829"/>
        <item x="863"/>
        <item x="278"/>
        <item x="4"/>
        <item x="181"/>
        <item x="522"/>
        <item x="739"/>
        <item x="495"/>
        <item x="859"/>
        <item x="16"/>
        <item x="345"/>
        <item x="3"/>
        <item x="534"/>
        <item x="428"/>
        <item x="830"/>
        <item x="68"/>
        <item x="450"/>
        <item x="541"/>
        <item x="320"/>
        <item x="604"/>
        <item x="141"/>
        <item x="730"/>
        <item x="41"/>
        <item x="702"/>
        <item x="556"/>
        <item x="108"/>
        <item x="245"/>
        <item x="606"/>
        <item x="788"/>
        <item x="589"/>
        <item x="455"/>
        <item x="15"/>
        <item x="217"/>
        <item x="96"/>
        <item x="47"/>
        <item x="243"/>
        <item x="711"/>
        <item x="695"/>
        <item x="24"/>
        <item x="467"/>
        <item x="801"/>
        <item x="35"/>
        <item x="461"/>
        <item x="85"/>
        <item x="803"/>
        <item x="833"/>
        <item x="170"/>
        <item x="575"/>
        <item x="295"/>
        <item x="462"/>
        <item x="158"/>
        <item x="237"/>
        <item x="39"/>
        <item x="670"/>
        <item x="44"/>
        <item x="30"/>
        <item x="289"/>
        <item x="159"/>
        <item x="183"/>
        <item x="396"/>
        <item x="812"/>
        <item x="816"/>
        <item x="521"/>
        <item x="402"/>
        <item x="392"/>
        <item x="130"/>
        <item x="823"/>
        <item x="216"/>
        <item x="205"/>
        <item x="713"/>
        <item x="410"/>
        <item x="526"/>
        <item x="20"/>
        <item x="369"/>
        <item x="523"/>
        <item x="491"/>
        <item x="72"/>
        <item x="797"/>
        <item x="494"/>
        <item x="128"/>
        <item x="811"/>
        <item x="70"/>
        <item x="109"/>
        <item x="662"/>
        <item x="196"/>
        <item x="742"/>
        <item x="145"/>
        <item x="798"/>
        <item x="664"/>
        <item x="807"/>
        <item x="58"/>
        <item x="466"/>
        <item x="269"/>
        <item x="287"/>
        <item x="490"/>
        <item x="286"/>
        <item x="193"/>
        <item x="52"/>
        <item x="348"/>
        <item x="49"/>
        <item x="93"/>
        <item x="304"/>
        <item x="230"/>
        <item x="582"/>
        <item x="408"/>
        <item x="212"/>
        <item x="133"/>
        <item x="567"/>
        <item x="338"/>
        <item x="497"/>
        <item x="819"/>
        <item x="28"/>
        <item x="642"/>
        <item x="580"/>
        <item x="577"/>
        <item x="340"/>
        <item x="239"/>
        <item x="259"/>
        <item x="197"/>
        <item x="240"/>
        <item x="698"/>
        <item x="226"/>
        <item x="717"/>
        <item x="186"/>
        <item x="66"/>
        <item x="732"/>
        <item x="770"/>
        <item x="483"/>
        <item x="472"/>
        <item x="787"/>
        <item x="103"/>
        <item x="608"/>
        <item x="882"/>
        <item x="586"/>
        <item x="546"/>
        <item x="48"/>
        <item x="341"/>
        <item x="653"/>
        <item x="157"/>
        <item x="771"/>
        <item x="550"/>
        <item x="298"/>
        <item x="754"/>
        <item x="318"/>
        <item x="463"/>
        <item x="17"/>
        <item x="500"/>
        <item x="372"/>
        <item x="686"/>
        <item x="378"/>
        <item x="657"/>
        <item x="418"/>
        <item x="516"/>
        <item x="227"/>
        <item x="262"/>
        <item x="806"/>
        <item x="759"/>
        <item x="220"/>
        <item x="470"/>
        <item x="387"/>
        <item x="508"/>
        <item x="749"/>
        <item x="164"/>
        <item x="654"/>
        <item x="660"/>
        <item x="784"/>
        <item x="802"/>
        <item x="775"/>
        <item x="358"/>
        <item x="561"/>
        <item x="733"/>
        <item x="549"/>
        <item x="32"/>
        <item x="453"/>
        <item x="755"/>
        <item x="349"/>
        <item x="649"/>
        <item x="881"/>
        <item x="290"/>
        <item x="760"/>
        <item x="351"/>
        <item x="869"/>
        <item x="780"/>
        <item x="362"/>
        <item x="511"/>
        <item x="795"/>
        <item x="434"/>
        <item x="688"/>
        <item x="514"/>
        <item x="602"/>
        <item x="671"/>
        <item x="12"/>
        <item x="201"/>
        <item x="782"/>
        <item x="679"/>
        <item x="2"/>
        <item x="846"/>
        <item x="693"/>
        <item x="373"/>
        <item x="248"/>
        <item x="180"/>
        <item x="199"/>
        <item x="125"/>
        <item x="134"/>
        <item x="826"/>
        <item x="555"/>
        <item x="146"/>
        <item x="476"/>
        <item x="203"/>
        <item x="379"/>
        <item x="552"/>
        <item x="496"/>
        <item x="13"/>
        <item x="53"/>
        <item x="55"/>
        <item x="835"/>
        <item x="64"/>
        <item x="844"/>
        <item x="336"/>
        <item x="776"/>
        <item x="834"/>
        <item x="646"/>
        <item x="785"/>
        <item x="267"/>
        <item x="161"/>
        <item x="868"/>
        <item x="6"/>
        <item x="210"/>
        <item x="270"/>
        <item x="741"/>
        <item x="569"/>
        <item x="528"/>
        <item x="374"/>
        <item x="165"/>
        <item x="840"/>
        <item x="395"/>
        <item x="190"/>
        <item x="498"/>
        <item x="356"/>
        <item x="77"/>
        <item x="92"/>
        <item x="540"/>
        <item x="506"/>
        <item x="774"/>
        <item x="841"/>
        <item x="326"/>
        <item x="18"/>
        <item x="208"/>
        <item x="562"/>
        <item x="34"/>
        <item x="689"/>
        <item x="288"/>
        <item x="447"/>
        <item x="438"/>
        <item x="169"/>
        <item x="324"/>
        <item x="768"/>
        <item x="74"/>
        <item x="858"/>
        <item x="364"/>
        <item x="101"/>
        <item x="76"/>
        <item x="531"/>
        <item x="681"/>
        <item x="673"/>
        <item x="261"/>
        <item x="389"/>
        <item x="697"/>
        <item x="276"/>
        <item x="365"/>
        <item x="542"/>
        <item x="67"/>
        <item x="176"/>
        <item x="407"/>
        <item x="456"/>
        <item x="225"/>
        <item x="79"/>
        <item x="726"/>
        <item x="747"/>
        <item x="263"/>
        <item x="672"/>
        <item x="750"/>
        <item x="619"/>
        <item x="825"/>
        <item x="655"/>
        <item x="393"/>
        <item x="172"/>
        <item x="737"/>
        <item x="867"/>
        <item x="94"/>
        <item x="414"/>
        <item x="62"/>
        <item x="874"/>
        <item x="701"/>
        <item x="594"/>
        <item x="631"/>
        <item x="684"/>
        <item x="91"/>
        <item x="677"/>
        <item x="189"/>
        <item x="714"/>
        <item x="301"/>
        <item x="446"/>
        <item x="403"/>
        <item x="419"/>
        <item x="828"/>
        <item x="538"/>
        <item x="786"/>
        <item x="866"/>
        <item x="765"/>
        <item x="854"/>
        <item x="824"/>
        <item x="140"/>
        <item x="194"/>
        <item x="599"/>
        <item x="587"/>
        <item x="25"/>
        <item x="111"/>
        <item x="622"/>
        <item x="417"/>
        <item x="692"/>
        <item x="31"/>
        <item x="347"/>
        <item x="238"/>
        <item x="591"/>
        <item x="219"/>
        <item x="136"/>
        <item x="479"/>
        <item x="861"/>
        <item x="162"/>
        <item x="849"/>
        <item x="501"/>
        <item x="603"/>
        <item x="564"/>
        <item x="682"/>
        <item x="427"/>
        <item x="100"/>
        <item x="335"/>
        <item x="119"/>
        <item x="818"/>
        <item x="411"/>
        <item x="78"/>
        <item x="499"/>
        <item x="845"/>
        <item x="129"/>
        <item x="572"/>
        <item x="221"/>
        <item x="675"/>
        <item x="148"/>
        <item x="629"/>
        <item x="250"/>
        <item x="22"/>
        <item x="721"/>
        <item x="725"/>
        <item x="637"/>
        <item x="620"/>
        <item x="200"/>
        <item x="847"/>
        <item x="471"/>
        <item x="116"/>
        <item x="810"/>
        <item x="740"/>
        <item x="636"/>
        <item x="831"/>
        <item x="615"/>
        <item x="432"/>
        <item x="734"/>
        <item x="398"/>
        <item x="850"/>
        <item x="557"/>
        <item x="718"/>
        <item x="328"/>
        <item x="115"/>
        <item x="633"/>
        <item x="752"/>
        <item x="588"/>
        <item x="789"/>
        <item x="778"/>
        <item x="211"/>
        <item x="852"/>
        <item x="339"/>
        <item x="120"/>
        <item x="853"/>
        <item x="431"/>
        <item x="257"/>
        <item x="98"/>
        <item x="746"/>
        <item x="168"/>
        <item x="665"/>
        <item x="272"/>
        <item x="663"/>
        <item x="614"/>
        <item x="563"/>
        <item x="474"/>
        <item x="37"/>
        <item x="150"/>
        <item x="56"/>
        <item x="590"/>
        <item x="703"/>
        <item x="319"/>
        <item x="10"/>
        <item x="624"/>
        <item x="539"/>
        <item x="442"/>
        <item x="648"/>
        <item x="623"/>
        <item x="198"/>
        <item x="736"/>
        <item x="851"/>
        <item x="460"/>
        <item x="277"/>
        <item x="799"/>
        <item x="545"/>
        <item x="579"/>
        <item x="311"/>
        <item x="804"/>
        <item x="26"/>
        <item x="251"/>
        <item x="827"/>
        <item x="634"/>
        <item x="791"/>
        <item x="441"/>
        <item x="368"/>
        <item x="510"/>
        <item x="38"/>
        <item x="632"/>
        <item x="258"/>
        <item x="643"/>
        <item x="334"/>
        <item x="317"/>
        <item x="54"/>
        <item x="359"/>
        <item x="421"/>
        <item x="404"/>
        <item x="283"/>
        <item x="310"/>
        <item x="839"/>
        <item x="706"/>
        <item x="381"/>
        <item x="761"/>
        <item x="167"/>
        <item x="512"/>
        <item x="105"/>
        <item x="0"/>
        <item x="486"/>
        <item x="89"/>
        <item x="342"/>
        <item x="174"/>
        <item x="707"/>
        <item x="429"/>
        <item x="488"/>
        <item x="118"/>
        <item x="5"/>
        <item x="292"/>
        <item x="309"/>
        <item x="231"/>
        <item x="249"/>
        <item x="244"/>
        <item x="430"/>
        <item x="293"/>
        <item x="779"/>
        <item x="527"/>
        <item x="87"/>
        <item x="843"/>
        <item x="57"/>
        <item x="337"/>
        <item x="371"/>
        <item x="179"/>
        <item x="151"/>
        <item x="302"/>
        <item x="611"/>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axis="axisRow" showAll="0">
      <items count="3">
        <item x="0"/>
        <item x="1"/>
        <item t="default"/>
      </items>
    </pivotField>
  </pivotFields>
  <rowFields count="1">
    <field x="28"/>
  </rowFields>
  <rowItems count="3">
    <i>
      <x/>
    </i>
    <i>
      <x v="1"/>
    </i>
    <i t="grand">
      <x/>
    </i>
  </rowItems>
  <colItems count="1">
    <i/>
  </colItems>
  <dataFields count="1">
    <dataField name="Average of Savings" fld="16" subtotal="average" baseField="28"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8" count="1" selected="0">
            <x v="0"/>
          </reference>
        </references>
      </pivotArea>
    </chartFormat>
    <chartFormat chart="2" format="6">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26C522-2A3A-474B-9D57-580009D5D7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9">
    <pivotField dataField="1"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Items count="1">
    <i/>
  </rowItems>
  <colItems count="1">
    <i/>
  </colItems>
  <dataFields count="1">
    <dataField name="Count of Applica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7DF272-A00B-4763-820E-4444F25CFBE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8:C201" firstHeaderRow="1" firstDataRow="1" firstDataCol="1"/>
  <pivotFields count="29">
    <pivotField dataField="1"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axis="axisRow" showAll="0">
      <items count="3">
        <item x="1"/>
        <item x="0"/>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13"/>
  </rowFields>
  <rowItems count="3">
    <i>
      <x/>
    </i>
    <i>
      <x v="1"/>
    </i>
    <i t="grand">
      <x/>
    </i>
  </rowItems>
  <colItems count="1">
    <i/>
  </colItems>
  <dataFields count="1">
    <dataField name="Count of Applicant_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073A13-E5EA-485D-9D51-88A29406D4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5:B56" firstHeaderRow="1" firstDataRow="1" firstDataCol="0"/>
  <pivotFields count="29">
    <pivotField showAll="0"/>
    <pivotField dataField="1"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Items count="1">
    <i/>
  </rowItems>
  <colItems count="1">
    <i/>
  </colItems>
  <dataFields count="1">
    <dataField name="Average of Applicant_Incom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1F48EF-D719-4BC9-BC24-66F058D4DF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C42" firstHeaderRow="1" firstDataRow="1" firstDataCol="1"/>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axis="axisRow" showAll="0">
      <items count="3">
        <item x="0"/>
        <item x="1"/>
        <item t="default"/>
      </items>
    </pivotField>
  </pivotFields>
  <rowFields count="1">
    <field x="28"/>
  </rowFields>
  <rowItems count="3">
    <i>
      <x/>
    </i>
    <i>
      <x v="1"/>
    </i>
    <i t="grand">
      <x/>
    </i>
  </rowItems>
  <colItems count="1">
    <i/>
  </colItems>
  <dataFields count="1">
    <dataField name="Sum of Loan_Am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A52194-D700-4F01-B90E-5FD62F1E4B2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2:B178" firstHeaderRow="1" firstDataRow="1" firstDataCol="1"/>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axis="axisRow" dataField="1" showAll="0">
      <items count="6">
        <item x="4"/>
        <item x="1"/>
        <item x="3"/>
        <item x="0"/>
        <item x="2"/>
        <item t="default"/>
      </items>
    </pivotField>
    <pivotField showAll="0">
      <items count="3">
        <item x="0"/>
        <item x="1"/>
        <item t="default"/>
      </items>
    </pivotField>
  </pivotFields>
  <rowFields count="1">
    <field x="27"/>
  </rowFields>
  <rowItems count="6">
    <i>
      <x/>
    </i>
    <i>
      <x v="1"/>
    </i>
    <i>
      <x v="2"/>
    </i>
    <i>
      <x v="3"/>
    </i>
    <i>
      <x v="4"/>
    </i>
    <i t="grand">
      <x/>
    </i>
  </rowItems>
  <colItems count="1">
    <i/>
  </colItems>
  <dataFields count="1">
    <dataField name="Count of Employer_Category" fld="27" subtotal="count"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7" count="1" selected="0">
            <x v="1"/>
          </reference>
        </references>
      </pivotArea>
    </chartFormat>
    <chartFormat chart="2" format="4">
      <pivotArea type="data" outline="0" fieldPosition="0">
        <references count="2">
          <reference field="4294967294" count="1" selected="0">
            <x v="0"/>
          </reference>
          <reference field="27" count="1" selected="0">
            <x v="2"/>
          </reference>
        </references>
      </pivotArea>
    </chartFormat>
    <chartFormat chart="2" format="5">
      <pivotArea type="data" outline="0" fieldPosition="0">
        <references count="2">
          <reference field="4294967294" count="1" selected="0">
            <x v="0"/>
          </reference>
          <reference field="27" count="1" selected="0">
            <x v="0"/>
          </reference>
        </references>
      </pivotArea>
    </chartFormat>
    <chartFormat chart="2" format="6">
      <pivotArea type="data" outline="0" fieldPosition="0">
        <references count="2">
          <reference field="4294967294" count="1" selected="0">
            <x v="0"/>
          </reference>
          <reference field="2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EAF36A-1CB6-4F2F-94F2-2875787DE624}"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20:G224" firstHeaderRow="1" firstDataRow="2" firstDataCol="1"/>
  <pivotFields count="29">
    <pivotField dataField="1"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axis="axisRow" showAll="0">
      <items count="3">
        <item x="0"/>
        <item x="1"/>
        <item t="default"/>
      </items>
    </pivotField>
    <pivotField axis="axisCol" showAll="0">
      <items count="5">
        <item x="0"/>
        <item x="3"/>
        <item x="2"/>
        <item x="1"/>
        <item t="default"/>
      </items>
    </pivotField>
    <pivotField showAll="0">
      <items count="5">
        <item x="0"/>
        <item x="3"/>
        <item x="1"/>
        <item x="2"/>
        <item t="default"/>
      </items>
    </pivotField>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7"/>
  </rowFields>
  <rowItems count="3">
    <i>
      <x/>
    </i>
    <i>
      <x v="1"/>
    </i>
    <i t="grand">
      <x/>
    </i>
  </rowItems>
  <colFields count="1">
    <field x="8"/>
  </colFields>
  <colItems count="5">
    <i>
      <x/>
    </i>
    <i>
      <x v="1"/>
    </i>
    <i>
      <x v="2"/>
    </i>
    <i>
      <x v="3"/>
    </i>
    <i t="grand">
      <x/>
    </i>
  </colItems>
  <dataFields count="1">
    <dataField name="Count of Applicant_ID" fld="0" subtotal="count" baseField="7" baseItem="0"/>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3" format="8" series="1">
      <pivotArea type="data" outline="0" fieldPosition="0">
        <references count="2">
          <reference field="4294967294" count="1" selected="0">
            <x v="0"/>
          </reference>
          <reference field="8" count="1" selected="0">
            <x v="0"/>
          </reference>
        </references>
      </pivotArea>
    </chartFormat>
    <chartFormat chart="3" format="9" series="1">
      <pivotArea type="data" outline="0" fieldPosition="0">
        <references count="2">
          <reference field="4294967294" count="1" selected="0">
            <x v="0"/>
          </reference>
          <reference field="8" count="1" selected="0">
            <x v="1"/>
          </reference>
        </references>
      </pivotArea>
    </chartFormat>
    <chartFormat chart="3" format="10" series="1">
      <pivotArea type="data" outline="0" fieldPosition="0">
        <references count="2">
          <reference field="4294967294" count="1" selected="0">
            <x v="0"/>
          </reference>
          <reference field="8" count="1" selected="0">
            <x v="2"/>
          </reference>
        </references>
      </pivotArea>
    </chartFormat>
    <chartFormat chart="3"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EDC6FB7-F346-4887-944F-AFEE34F7147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32:C238" firstHeaderRow="1" firstDataRow="1" firstDataCol="1"/>
  <pivotFields count="29">
    <pivotField showAll="0"/>
    <pivotField showAll="0"/>
    <pivotField showAll="0"/>
    <pivotField showAll="0"/>
    <pivotField showAll="0">
      <items count="6">
        <item x="2"/>
        <item x="4"/>
        <item x="0"/>
        <item x="1"/>
        <item x="3"/>
        <item t="default"/>
      </items>
    </pivotField>
    <pivotField showAll="0">
      <items count="40">
        <item x="33"/>
        <item x="31"/>
        <item x="19"/>
        <item x="25"/>
        <item x="2"/>
        <item x="12"/>
        <item x="37"/>
        <item x="21"/>
        <item x="36"/>
        <item x="16"/>
        <item x="4"/>
        <item x="38"/>
        <item x="17"/>
        <item x="15"/>
        <item x="9"/>
        <item x="24"/>
        <item x="22"/>
        <item x="14"/>
        <item x="29"/>
        <item x="3"/>
        <item x="11"/>
        <item x="13"/>
        <item x="30"/>
        <item x="35"/>
        <item x="28"/>
        <item x="1"/>
        <item x="7"/>
        <item x="23"/>
        <item x="20"/>
        <item x="18"/>
        <item x="0"/>
        <item x="10"/>
        <item x="5"/>
        <item x="8"/>
        <item x="26"/>
        <item x="32"/>
        <item x="27"/>
        <item x="6"/>
        <item x="34"/>
        <item t="default"/>
      </items>
    </pivotField>
    <pivotField axis="axisRow" showAll="0" sortType="de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6"/>
  </rowFields>
  <rowItems count="6">
    <i>
      <x v="4"/>
    </i>
    <i>
      <x/>
    </i>
    <i>
      <x v="3"/>
    </i>
    <i>
      <x v="1"/>
    </i>
    <i>
      <x v="2"/>
    </i>
    <i t="grand">
      <x/>
    </i>
  </rowItems>
  <colItems count="1">
    <i/>
  </colItems>
  <dataFields count="1">
    <dataField name="Average of Loan_Amount" fld="19" subtotal="average" baseField="6" baseItem="0"/>
  </dataFields>
  <formats count="2">
    <format dxfId="13">
      <pivotArea collapsedLevelsAreSubtotals="1" fieldPosition="0">
        <references count="1">
          <reference field="6" count="1">
            <x v="0"/>
          </reference>
        </references>
      </pivotArea>
    </format>
    <format dxfId="12">
      <pivotArea collapsedLevelsAreSubtotals="1" fieldPosition="0">
        <references count="1">
          <reference field="6" count="4">
            <x v="1"/>
            <x v="2"/>
            <x v="3"/>
            <x v="4"/>
          </reference>
        </references>
      </pivotArea>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2" format="5">
      <pivotArea type="data" outline="0" fieldPosition="0">
        <references count="2">
          <reference field="4294967294" count="1" selected="0">
            <x v="0"/>
          </reference>
          <reference field="6" count="1" selected="0">
            <x v="1"/>
          </reference>
        </references>
      </pivotArea>
    </chartFormat>
    <chartFormat chart="2" format="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958F2A-0099-43A5-A134-23A9143FAE0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8:C83" firstHeaderRow="1" firstDataRow="1" firstDataCol="1"/>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axis="axisRow" dataField="1"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11"/>
  </rowFields>
  <rowItems count="5">
    <i>
      <x/>
    </i>
    <i>
      <x v="1"/>
    </i>
    <i>
      <x v="2"/>
    </i>
    <i>
      <x v="3"/>
    </i>
    <i t="grand">
      <x/>
    </i>
  </rowItems>
  <colItems count="1">
    <i/>
  </colItems>
  <dataFields count="1">
    <dataField name="Count of Credit Categorical"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018708-3AC6-495F-8F37-386FC71654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8:C73" firstHeaderRow="1" firstDataRow="1" firstDataCol="1"/>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axis="axisRow"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15"/>
  </rowFields>
  <rowItems count="5">
    <i>
      <x/>
    </i>
    <i>
      <x v="1"/>
    </i>
    <i>
      <x v="2"/>
    </i>
    <i>
      <x v="3"/>
    </i>
    <i t="grand">
      <x/>
    </i>
  </rowItems>
  <colItems count="1">
    <i/>
  </colItems>
  <dataFields count="1">
    <dataField name="Count of DTI RISK LEVEL"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6E9F869-12A7-4D26-B398-4B68F24AD5C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98:C103" firstHeaderRow="1" firstDataRow="1" firstDataCol="1"/>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axis="axisRow"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6">
        <item x="4"/>
        <item x="1"/>
        <item x="3"/>
        <item x="0"/>
        <item x="2"/>
        <item t="default"/>
      </items>
    </pivotField>
    <pivotField showAll="0">
      <items count="3">
        <item x="0"/>
        <item x="1"/>
        <item t="default"/>
      </items>
    </pivotField>
  </pivotFields>
  <rowFields count="1">
    <field x="15"/>
  </rowFields>
  <rowItems count="5">
    <i>
      <x/>
    </i>
    <i>
      <x v="1"/>
    </i>
    <i>
      <x v="2"/>
    </i>
    <i>
      <x v="3"/>
    </i>
    <i t="grand">
      <x/>
    </i>
  </rowItems>
  <colItems count="1">
    <i/>
  </colItems>
  <dataFields count="1">
    <dataField name="Count of DTI RISK LEVEL" fld="15" subtotal="count"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3"/>
          </reference>
        </references>
      </pivotArea>
    </chartFormat>
    <chartFormat chart="2" format="4">
      <pivotArea type="data" outline="0" fieldPosition="0">
        <references count="2">
          <reference field="4294967294" count="1" selected="0">
            <x v="0"/>
          </reference>
          <reference field="15" count="1" selected="0">
            <x v="2"/>
          </reference>
        </references>
      </pivotArea>
    </chartFormat>
    <chartFormat chart="2" format="5">
      <pivotArea type="data" outline="0" fieldPosition="0">
        <references count="2">
          <reference field="4294967294" count="1" selected="0">
            <x v="0"/>
          </reference>
          <reference field="15" count="1" selected="0">
            <x v="1"/>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B40DEC-C381-40F7-A8BF-B1183379C62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2:C157" firstHeaderRow="1" firstDataRow="1" firstDataCol="1"/>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dataField="1" showAll="0"/>
    <pivotField axis="axisRow" showAll="0">
      <items count="5">
        <item x="2"/>
        <item x="0"/>
        <item x="3"/>
        <item x="1"/>
        <item t="default"/>
      </items>
    </pivotField>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20"/>
  </rowFields>
  <rowItems count="5">
    <i>
      <x/>
    </i>
    <i>
      <x v="1"/>
    </i>
    <i>
      <x v="2"/>
    </i>
    <i>
      <x v="3"/>
    </i>
    <i t="grand">
      <x/>
    </i>
  </rowItems>
  <colItems count="1">
    <i/>
  </colItems>
  <dataFields count="1">
    <dataField name="Average of Loan_Amount" fld="19" subtotal="average"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EDAE399-AF5C-4EF3-A25A-45B8830C812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1:B62" firstHeaderRow="1" firstDataRow="1" firstDataCol="0"/>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dataField="1"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Items count="1">
    <i/>
  </rowItems>
  <colItems count="1">
    <i/>
  </colItems>
  <dataFields count="1">
    <dataField name="Average of DTI_Ratio"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6D450E0-C374-45BA-9565-DFE0D5E218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7:B48" firstHeaderRow="1" firstDataRow="1" firstDataCol="0"/>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Items count="1">
    <i/>
  </rowItems>
  <colItems count="1">
    <i/>
  </colItems>
  <dataFields count="1">
    <dataField name="Average of Loan_Amount"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8DCC452-61B6-408B-A2F7-A054C2347BE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8:C91" firstHeaderRow="1" firstDataRow="1" firstDataCol="1"/>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18"/>
  </rowFields>
  <rowItems count="3">
    <i>
      <x/>
    </i>
    <i>
      <x v="1"/>
    </i>
    <i t="grand">
      <x/>
    </i>
  </rowItems>
  <colItems count="1">
    <i/>
  </colItems>
  <dataFields count="1">
    <dataField name="Count of Collateral_Value" fld="17"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D09DAEC-7395-472C-8375-9F6FDC7503E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10:C116" firstHeaderRow="1" firstDataRow="1" firstDataCol="1"/>
  <pivotFields count="29">
    <pivotField showAll="0"/>
    <pivotField showAll="0"/>
    <pivotField showAll="0"/>
    <pivotField showAll="0"/>
    <pivotField showAll="0">
      <items count="6">
        <item x="2"/>
        <item x="4"/>
        <item x="0"/>
        <item x="1"/>
        <item x="3"/>
        <item t="default"/>
      </items>
    </pivotField>
    <pivotField showAll="0"/>
    <pivotField showAll="0">
      <items count="6">
        <item x="4"/>
        <item x="1"/>
        <item x="2"/>
        <item x="0"/>
        <item x="3"/>
        <item t="default"/>
      </items>
    </pivotField>
    <pivotField showAll="0"/>
    <pivotField showAll="0"/>
    <pivotField showAll="0"/>
    <pivotField showAll="0"/>
    <pivotField showAll="0">
      <items count="5">
        <item x="0"/>
        <item x="1"/>
        <item x="2"/>
        <item x="3"/>
        <item t="default"/>
      </items>
    </pivotField>
    <pivotField showAll="0"/>
    <pivotField showAll="0">
      <items count="3">
        <item x="1"/>
        <item x="0"/>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axis="axisRow" dataField="1" showAll="0">
      <items count="6">
        <item x="2"/>
        <item x="1"/>
        <item x="4"/>
        <item x="3"/>
        <item x="0"/>
        <item t="default"/>
      </items>
    </pivotField>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23"/>
  </rowFields>
  <rowItems count="6">
    <i>
      <x/>
    </i>
    <i>
      <x v="1"/>
    </i>
    <i>
      <x v="2"/>
    </i>
    <i>
      <x v="3"/>
    </i>
    <i>
      <x v="4"/>
    </i>
    <i t="grand">
      <x/>
    </i>
  </rowItems>
  <colItems count="1">
    <i/>
  </colItems>
  <dataFields count="1">
    <dataField name="Count of Loan_Purpose" fld="23" subtotal="count" baseField="0" baseItem="0"/>
  </dataField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3" count="1" selected="0">
            <x v="0"/>
          </reference>
        </references>
      </pivotArea>
    </chartFormat>
    <chartFormat chart="4" format="4">
      <pivotArea type="data" outline="0" fieldPosition="0">
        <references count="2">
          <reference field="4294967294" count="1" selected="0">
            <x v="0"/>
          </reference>
          <reference field="23" count="1" selected="0">
            <x v="1"/>
          </reference>
        </references>
      </pivotArea>
    </chartFormat>
    <chartFormat chart="4" format="5">
      <pivotArea type="data" outline="0" fieldPosition="0">
        <references count="2">
          <reference field="4294967294" count="1" selected="0">
            <x v="0"/>
          </reference>
          <reference field="23" count="1" selected="0">
            <x v="2"/>
          </reference>
        </references>
      </pivotArea>
    </chartFormat>
    <chartFormat chart="4" format="6">
      <pivotArea type="data" outline="0" fieldPosition="0">
        <references count="2">
          <reference field="4294967294" count="1" selected="0">
            <x v="0"/>
          </reference>
          <reference field="23" count="1" selected="0">
            <x v="3"/>
          </reference>
        </references>
      </pivotArea>
    </chartFormat>
    <chartFormat chart="4" format="7">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Categorical" xr10:uid="{83F11252-A671-43EA-AD3F-2206BACD7174}" sourceName="Credit Categorical">
  <pivotTables>
    <pivotTable tabId="3" name="PivotTable2"/>
    <pivotTable tabId="3" name="PivotTable1"/>
    <pivotTable tabId="3" name="PivotTable10"/>
    <pivotTable tabId="3" name="PivotTable11"/>
    <pivotTable tabId="3" name="PivotTable12"/>
    <pivotTable tabId="3" name="PivotTable13"/>
    <pivotTable tabId="3" name="PivotTable16"/>
    <pivotTable tabId="3" name="PivotTable17"/>
    <pivotTable tabId="3" name="PivotTable18"/>
    <pivotTable tabId="3" name="PivotTable19"/>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9"/>
  </pivotTables>
  <data>
    <tabular pivotCacheId="67006711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Approved" xr10:uid="{D6B1E97C-44C7-43B4-AB0D-1AF2FBDDC28C}" sourceName="Loan_Approved">
  <pivotTables>
    <pivotTable tabId="3" name="PivotTable11"/>
    <pivotTable tabId="3" name="PivotTable18"/>
    <pivotTable tabId="3" name="PivotTable21"/>
    <pivotTable tabId="3" name="PivotTable1"/>
    <pivotTable tabId="3" name="PivotTable10"/>
    <pivotTable tabId="3" name="PivotTable12"/>
    <pivotTable tabId="3" name="PivotTable13"/>
    <pivotTable tabId="3" name="PivotTable16"/>
    <pivotTable tabId="3" name="PivotTable17"/>
    <pivotTable tabId="3" name="PivotTable19"/>
    <pivotTable tabId="3" name="PivotTable2"/>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9"/>
  </pivotTables>
  <data>
    <tabular pivotCacheId="67006711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7BD5B522-F56F-4BE7-AE08-AA6547B31A78}" sourceName="Employment_Status">
  <pivotTables>
    <pivotTable tabId="3" name="PivotTable12"/>
    <pivotTable tabId="3" name="PivotTable1"/>
    <pivotTable tabId="3" name="PivotTable10"/>
    <pivotTable tabId="3" name="PivotTable11"/>
    <pivotTable tabId="3" name="PivotTable13"/>
    <pivotTable tabId="3" name="PivotTable16"/>
    <pivotTable tabId="3" name="PivotTable17"/>
    <pivotTable tabId="3" name="PivotTable18"/>
    <pivotTable tabId="3" name="PivotTable19"/>
    <pivotTable tabId="3" name="PivotTable2"/>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9"/>
  </pivotTables>
  <data>
    <tabular pivotCacheId="670067110">
      <items count="5">
        <i x="2" s="1"/>
        <i x="4"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B2B2BF-00A3-45A7-82E1-D3FDCFD39BC9}" sourceName="Gender">
  <pivotTables>
    <pivotTable tabId="3" name="PivotTable2"/>
    <pivotTable tabId="3" name="PivotTable1"/>
    <pivotTable tabId="3" name="PivotTable10"/>
    <pivotTable tabId="3" name="PivotTable11"/>
    <pivotTable tabId="3" name="PivotTable12"/>
    <pivotTable tabId="3" name="PivotTable13"/>
    <pivotTable tabId="3" name="PivotTable16"/>
    <pivotTable tabId="3" name="PivotTable17"/>
    <pivotTable tabId="3" name="PivotTable18"/>
    <pivotTable tabId="3" name="PivotTable19"/>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9"/>
  </pivotTables>
  <data>
    <tabular pivotCacheId="67006711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E4291189-0A86-4005-A667-628A6A818D9B}" sourceName="Age_Group">
  <pivotTables>
    <pivotTable tabId="3" name="PivotTable2"/>
    <pivotTable tabId="3" name="PivotTable1"/>
    <pivotTable tabId="3" name="PivotTable10"/>
    <pivotTable tabId="3" name="PivotTable11"/>
    <pivotTable tabId="3" name="PivotTable12"/>
    <pivotTable tabId="3" name="PivotTable13"/>
    <pivotTable tabId="3" name="PivotTable16"/>
    <pivotTable tabId="3" name="PivotTable17"/>
    <pivotTable tabId="3" name="PivotTable18"/>
    <pivotTable tabId="3" name="PivotTable19"/>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9"/>
  </pivotTables>
  <data>
    <tabular pivotCacheId="670067110">
      <items count="5">
        <i x="4" s="1"/>
        <i x="1" s="1"/>
        <i x="2"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3AD396F8-A752-4CB1-976A-32C2E000B48C}" sourceName="Education_Level">
  <pivotTables>
    <pivotTable tabId="3" name="PivotTable18"/>
    <pivotTable tabId="3" name="PivotTable12"/>
    <pivotTable tabId="3" name="PivotTable2"/>
    <pivotTable tabId="3" name="PivotTable23"/>
    <pivotTable tabId="3" name="PivotTable24"/>
    <pivotTable tabId="3" name="PivotTable1"/>
    <pivotTable tabId="3" name="PivotTable10"/>
    <pivotTable tabId="3" name="PivotTable11"/>
    <pivotTable tabId="3" name="PivotTable13"/>
    <pivotTable tabId="3" name="PivotTable16"/>
    <pivotTable tabId="3" name="PivotTable17"/>
    <pivotTable tabId="3" name="PivotTable19"/>
    <pivotTable tabId="3" name="PivotTable21"/>
    <pivotTable tabId="3" name="PivotTable22"/>
    <pivotTable tabId="3" name="PivotTable3"/>
    <pivotTable tabId="3" name="PivotTable4"/>
    <pivotTable tabId="3" name="PivotTable5"/>
    <pivotTable tabId="3" name="PivotTable6"/>
    <pivotTable tabId="3" name="PivotTable7"/>
    <pivotTable tabId="3" name="PivotTable8"/>
    <pivotTable tabId="3" name="PivotTable9"/>
  </pivotTables>
  <data>
    <tabular pivotCacheId="670067110">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Existing_Loan" xr10:uid="{F795BC53-D763-4633-8F94-BB424A9AF2B0}" sourceName="Has_Existing_Loan">
  <pivotTables>
    <pivotTable tabId="3" name="PivotTable21"/>
    <pivotTable tabId="3" name="PivotTable1"/>
    <pivotTable tabId="3" name="PivotTable10"/>
    <pivotTable tabId="3" name="PivotTable11"/>
    <pivotTable tabId="3" name="PivotTable12"/>
    <pivotTable tabId="3" name="PivotTable13"/>
    <pivotTable tabId="3" name="PivotTable16"/>
    <pivotTable tabId="3" name="PivotTable17"/>
    <pivotTable tabId="3" name="PivotTable18"/>
    <pivotTable tabId="3" name="PivotTable19"/>
    <pivotTable tabId="3" name="PivotTable2"/>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9"/>
  </pivotTables>
  <data>
    <tabular pivotCacheId="670067110">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I_RISK_LEVEL" xr10:uid="{95FED9C5-2C7D-4E1E-BF9C-A49273BB6F2C}" sourceName="DTI RISK LEVEL">
  <pivotTables>
    <pivotTable tabId="3" name="PivotTable11"/>
    <pivotTable tabId="3" name="PivotTable1"/>
    <pivotTable tabId="3" name="PivotTable10"/>
    <pivotTable tabId="3" name="PivotTable12"/>
    <pivotTable tabId="3" name="PivotTable13"/>
    <pivotTable tabId="3" name="PivotTable16"/>
    <pivotTable tabId="3" name="PivotTable17"/>
    <pivotTable tabId="3" name="PivotTable18"/>
    <pivotTable tabId="3" name="PivotTable19"/>
    <pivotTable tabId="3" name="PivotTable2"/>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9"/>
  </pivotTables>
  <data>
    <tabular pivotCacheId="670067110">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dit Categorical" xr10:uid="{09550686-B948-419E-9ECE-0282AF5C7632}" cache="Slicer_Credit_Categorical" caption="Credit Categorical" rowHeight="234950"/>
  <slicer name="Loan_Approved" xr10:uid="{673E4322-707A-4092-A4F4-8015FFBCBBC7}" cache="Slicer_Loan_Approved" caption="Loan_Approved" rowHeight="234950"/>
  <slicer name="Loan_Approved 1" xr10:uid="{CB710FDD-3FEC-48C3-8B1C-1C8B7773022B}" cache="Slicer_Loan_Approved" caption="Loan_Approved" rowHeight="234950"/>
  <slicer name="Employment_Status" xr10:uid="{C3021076-F276-4BD0-8212-E83F21BCB90C}" cache="Slicer_Employment_Status" caption="Employment_Status" rowHeight="234950"/>
  <slicer name="Gender" xr10:uid="{69A6CEA1-5FA6-4EE0-B3F2-FB37921C692C}" cache="Slicer_Gender" caption="Gender" rowHeight="234950"/>
  <slicer name="Age_Group 2" xr10:uid="{42F282CA-0053-44A9-A8AC-DE2CD5798085}" cache="Slicer_Age_Group1" caption="Age_Group" rowHeight="234950"/>
  <slicer name="Age_Group" xr10:uid="{713AD791-504E-4BB2-8312-577E9B3456DE}" cache="Slicer_Age_Group1" caption="Age_Group" rowHeight="234950"/>
  <slicer name="Has_Existing_Loan" xr10:uid="{D2F3D081-BE8C-48D7-854B-E0DF37570F69}" cache="Slicer_Has_Existing_Loan" caption="Has_Existing_Loa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dit Categorical 1" xr10:uid="{C16EE234-CBAB-4281-AAE9-0440351F98CD}" cache="Slicer_Credit_Categorical" caption="Credit Categorical" columnCount="2" style="SlicerStyleLight1 2" rowHeight="234950"/>
  <slicer name="Loan_Approved 2" xr10:uid="{1FE50E55-8583-4249-A84C-04D545EBFE6D}" cache="Slicer_Loan_Approved" caption="Loan_Approved" columnCount="2" style="SlicerStyleLight1 2" rowHeight="234950"/>
  <slicer name="Employment_Status 1" xr10:uid="{92A194CE-160C-4C00-B999-BA1603BBE855}" cache="Slicer_Employment_Status" caption="Employment_Status" columnCount="2" style="SlicerStyleLight1 2" rowHeight="234950"/>
  <slicer name="Gender 1" xr10:uid="{33C4887B-D26D-41A1-B5C4-A9266B0E2447}" cache="Slicer_Gender" caption="Gender" columnCount="2" style="SlicerStyleLight1 2" rowHeight="234950"/>
  <slicer name="Age_Group 3" xr10:uid="{9853D156-97CD-444C-ABD0-38AAFE56FF41}" cache="Slicer_Age_Group1" caption="Age_Group" columnCount="2" style="SlicerStyleLight1 2" rowHeight="234950"/>
  <slicer name="Education_Level" xr10:uid="{1C4CEF9F-A81F-4356-9F81-960027A4B6C0}" cache="Slicer_Education_Level" caption="Education_Level" columnCount="2" style="SlicerStyleLight1 2" rowHeight="234950"/>
  <slicer name="Has_Existing_Loan 1" xr10:uid="{0B10FE6E-7800-49C1-94EE-36683EDE32F1}" cache="Slicer_Has_Existing_Loan" caption="Has_Existing_Loan" columnCount="2" style="SlicerStyleLight1 2" rowHeight="234950"/>
  <slicer name="DTI RISK LEVEL" xr10:uid="{8B1568EE-63B4-4841-8DAA-457A577113A7}" cache="Slicer_DTI_RISK_LEVEL" caption="DTI RISK LEVEL" columnCount="2"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D09770-151B-4541-8BA5-FCA30269C379}" name="Table1" displayName="Table1" ref="A1:AC951" totalsRowShown="0">
  <autoFilter ref="A1:AC951" xr:uid="{3FD09770-151B-4541-8BA5-FCA30269C379}"/>
  <tableColumns count="29">
    <tableColumn id="1" xr3:uid="{0F24E380-EF02-4320-941E-2BC126D917B0}" name="Applicant_ID"/>
    <tableColumn id="2" xr3:uid="{40AB353D-A8BC-4C8A-B502-9B95A0801B7E}" name="Applicant_Income"/>
    <tableColumn id="3" xr3:uid="{667ADBCB-7897-48C0-9506-1FEB16C9233F}" name="Coapplicant_Income"/>
    <tableColumn id="4" xr3:uid="{48E6627F-AFEE-47A7-8615-0C3580282B0A}" name="Total_Income"/>
    <tableColumn id="5" xr3:uid="{D2E40A9D-86F5-4976-B8F2-07B30F01559F}" name="Employment_Status"/>
    <tableColumn id="6" xr3:uid="{E49F3ED3-57C2-423F-8FBC-F454FE948EDE}" name="Age"/>
    <tableColumn id="7" xr3:uid="{07468A7F-2D20-4DD5-82B2-5EAAE68ADC53}" name="Age_Group"/>
    <tableColumn id="8" xr3:uid="{6688B2EE-C71E-4021-99C2-FC7B4B5E0702}" name="Marital_Status"/>
    <tableColumn id="9" xr3:uid="{7443B56A-6710-46F7-B0EB-14ABAB712E2D}" name="Dependents"/>
    <tableColumn id="10" xr3:uid="{8DD55736-0EF8-48EF-8F85-32B57428D933}" name="Dependents Group"/>
    <tableColumn id="11" xr3:uid="{E69EB895-6856-40D0-9A61-C61E38A0F519}" name="Credit_Score"/>
    <tableColumn id="12" xr3:uid="{D2C98BFD-AA5A-420D-81C1-18AB5788D7F9}" name="Credit Categorical"/>
    <tableColumn id="13" xr3:uid="{3FFE9714-3C1D-4AEF-8B18-8D0A58324A15}" name="Existing_Loans"/>
    <tableColumn id="14" xr3:uid="{9125893D-7B22-4C76-B045-A3607B2C71FC}" name="Has_Existing_Loan"/>
    <tableColumn id="15" xr3:uid="{81FBCC5E-BC97-4A38-82D3-2ABC4F94358C}" name="DTI_Ratio"/>
    <tableColumn id="16" xr3:uid="{0A13F198-D234-4051-8AA7-C27FB9FF16C7}" name="DTI RISK LEVEL"/>
    <tableColumn id="17" xr3:uid="{473EC1EF-F633-4062-AC10-CE5E5D7EE6AA}" name="Savings"/>
    <tableColumn id="18" xr3:uid="{6A2DF176-F0C3-424F-8ABD-3F5F0B9FB30A}" name="Collateral_Value"/>
    <tableColumn id="19" xr3:uid="{286950A1-147F-42EF-925C-AD2DB9D5DA76}" name="Has Collateral"/>
    <tableColumn id="20" xr3:uid="{27653D54-08D9-49E1-9026-F6F19F307C92}" name="Loan_Amount"/>
    <tableColumn id="21" xr3:uid="{9AB9E8FC-49DC-4E9F-A554-85834C302F20}" name="Loan Size"/>
    <tableColumn id="22" xr3:uid="{6CB91BF6-1DDC-4E1A-AB61-0D887DF6B069}" name="Loan_Term"/>
    <tableColumn id="23" xr3:uid="{920BDB7B-CB91-4BE6-B5E7-B1535A204B2C}" name="Loan_Term_Year"/>
    <tableColumn id="24" xr3:uid="{B377CC7D-A20B-4DB7-82F7-F96F3D2078E8}" name="Loan_Purpose"/>
    <tableColumn id="25" xr3:uid="{CAFF3CB6-F9E4-4E7A-84AB-D81C0301D112}" name="Property_Area"/>
    <tableColumn id="26" xr3:uid="{3D54F27F-3556-4E82-A99A-5F024FBB8406}" name="Education_Level"/>
    <tableColumn id="27" xr3:uid="{38886091-4A73-441B-8F44-DE9E346519FF}" name="Gender"/>
    <tableColumn id="28" xr3:uid="{7726491F-8F08-4704-B566-C5740C080FF4}" name="Employer_Category"/>
    <tableColumn id="29" xr3:uid="{4E6275E2-9BF9-4BC0-9D82-AC6261F73D97}" name="Loan_Approv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0713-9534-42E6-8E58-449D8DF51BF0}">
  <dimension ref="A1:AC951"/>
  <sheetViews>
    <sheetView topLeftCell="G1" workbookViewId="0">
      <selection activeCell="L2" sqref="L2"/>
    </sheetView>
  </sheetViews>
  <sheetFormatPr defaultRowHeight="15" x14ac:dyDescent="0.25"/>
  <cols>
    <col min="12" max="12" width="13.7109375" customWidth="1"/>
    <col min="13" max="13" width="17.85546875" customWidth="1"/>
    <col min="16" max="16" width="15.28515625" customWidth="1"/>
    <col min="27" max="27" width="14.85546875" customWidth="1"/>
    <col min="28" max="28" width="18.85546875" customWidth="1"/>
    <col min="29" max="29" width="16" customWidth="1"/>
  </cols>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v>1</v>
      </c>
      <c r="B2">
        <v>17795</v>
      </c>
      <c r="C2">
        <v>1387</v>
      </c>
      <c r="D2">
        <f>B2+C2</f>
        <v>19182</v>
      </c>
      <c r="E2" t="s">
        <v>29</v>
      </c>
      <c r="F2">
        <v>51</v>
      </c>
      <c r="G2" t="str" cm="1">
        <f t="array" ref="G2">_xlfn.IFS(F2&lt;25,"18-24",F2&lt;35,"25-35",F2&lt;45,"35-44",F2&lt;55,"44-54",F2&gt;=55,"55+")</f>
        <v>44-54</v>
      </c>
      <c r="H2" t="s">
        <v>30</v>
      </c>
      <c r="I2">
        <v>0</v>
      </c>
      <c r="J2" t="str" cm="1">
        <f t="array" ref="J2">_xlfn.IFS(I2&lt;=0,"No Dependents",I2&lt;=1,"One",I2&lt;=2,"Two",I2&gt;=3,"Third")</f>
        <v>No Dependents</v>
      </c>
      <c r="K2">
        <v>637</v>
      </c>
      <c r="L2" t="str" cm="1">
        <f t="array" ref="L2">_xlfn.IFS(K2&lt;=580,"Poor",K2&lt;=670,"fair",K2&lt;=740,"Good",K2&lt;=800,"Very Good",K2&gt;=800,"Excellent")</f>
        <v>fair</v>
      </c>
      <c r="M2">
        <v>4</v>
      </c>
      <c r="N2" t="str">
        <f>IF(M2&gt;0,"Yes","No")</f>
        <v>Yes</v>
      </c>
      <c r="O2">
        <v>0.53</v>
      </c>
      <c r="P2" t="str" cm="1">
        <f t="array" ref="P2">_xlfn.IFS(O2&lt;=0.3,"Low Risk",O2&lt;=0.4,"medium Risk",O2&lt;=0.5,"High Risk",O2&gt;0.5,"Very High Risk")</f>
        <v>Very High Risk</v>
      </c>
      <c r="Q2">
        <v>19403</v>
      </c>
      <c r="R2">
        <v>45638</v>
      </c>
      <c r="S2" t="str">
        <f>IF(R2&gt;100,"Yes","No")</f>
        <v>Yes</v>
      </c>
      <c r="T2">
        <v>16619</v>
      </c>
      <c r="U2" t="str" cm="1">
        <f t="array" ref="U2">_xlfn.IFS(T2&lt;5000,"Small",T2&lt;20000,"Medium",T2&lt;35000,"Large",T2&gt;35000,"Very Large")</f>
        <v>Medium</v>
      </c>
      <c r="V2">
        <v>84</v>
      </c>
      <c r="W2">
        <f>V2/12</f>
        <v>7</v>
      </c>
      <c r="X2" t="s">
        <v>31</v>
      </c>
      <c r="Y2" t="s">
        <v>32</v>
      </c>
      <c r="Z2" t="s">
        <v>33</v>
      </c>
      <c r="AA2" t="s">
        <v>34</v>
      </c>
      <c r="AB2" t="s">
        <v>35</v>
      </c>
      <c r="AC2" t="s">
        <v>36</v>
      </c>
    </row>
    <row r="3" spans="1:29" x14ac:dyDescent="0.25">
      <c r="A3">
        <v>2</v>
      </c>
      <c r="B3">
        <v>2860</v>
      </c>
      <c r="C3">
        <v>2679</v>
      </c>
      <c r="D3">
        <f t="shared" ref="D3:D66" si="0">B3+C3</f>
        <v>5539</v>
      </c>
      <c r="E3" t="s">
        <v>29</v>
      </c>
      <c r="F3">
        <v>46</v>
      </c>
      <c r="G3" t="str" cm="1">
        <f t="array" ref="G3">_xlfn.IFS(F3&lt;25,"18-24",F3&lt;35,"25-35",F3&lt;45,"35-44",F3&lt;55,"44-54",F3&gt;=55,"55+")</f>
        <v>44-54</v>
      </c>
      <c r="H3" t="s">
        <v>30</v>
      </c>
      <c r="I3">
        <v>3</v>
      </c>
      <c r="J3" t="str" cm="1">
        <f t="array" ref="J3">_xlfn.IFS(I3&lt;=0,"No Dependents",I3&lt;=1,"One",I3&lt;=2,"Two",I3&gt;=3,"Third")</f>
        <v>Third</v>
      </c>
      <c r="K3">
        <v>621</v>
      </c>
      <c r="L3" t="str" cm="1">
        <f t="array" ref="L3">_xlfn.IFS(K3&lt;=580,"Poor",K3&lt;=670,"fair",K3&lt;=740,"Good",K3&lt;=800,"Very Good",K3&gt;=800,"Excellent")</f>
        <v>fair</v>
      </c>
      <c r="M3">
        <v>2</v>
      </c>
      <c r="N3" t="str">
        <f t="shared" ref="N3:N66" si="1">IF(M3&gt;0,"Yes","No")</f>
        <v>Yes</v>
      </c>
      <c r="O3">
        <v>0.3</v>
      </c>
      <c r="P3" t="str" cm="1">
        <f t="array" ref="P3">_xlfn.IFS(O3&lt;=0.3,"Low Risk",O3&lt;=0.4,"medium Risk",O3&lt;=0.5,"High Risk",O3&gt;0.5,"Very High Risk")</f>
        <v>Low Risk</v>
      </c>
      <c r="Q3">
        <v>2580</v>
      </c>
      <c r="R3">
        <v>49272</v>
      </c>
      <c r="S3" t="str">
        <f t="shared" ref="S3:S66" si="2">IF(R3&gt;100,"Yes","No")</f>
        <v>Yes</v>
      </c>
      <c r="T3">
        <v>38687</v>
      </c>
      <c r="U3" t="str" cm="1">
        <f t="array" ref="U3">_xlfn.IFS(T3&lt;5000,"Small",T3&lt;20000,"Medium",T3&lt;35000,"Large",T3&gt;35000,"Very Large")</f>
        <v>Very Large</v>
      </c>
      <c r="V3">
        <v>48</v>
      </c>
      <c r="W3">
        <f t="shared" ref="W3:W66" si="3">V3/12</f>
        <v>4</v>
      </c>
      <c r="X3" t="s">
        <v>37</v>
      </c>
      <c r="Y3" t="s">
        <v>38</v>
      </c>
      <c r="Z3" t="s">
        <v>39</v>
      </c>
      <c r="AA3" t="s">
        <v>40</v>
      </c>
      <c r="AB3" t="s">
        <v>35</v>
      </c>
      <c r="AC3" t="s">
        <v>36</v>
      </c>
    </row>
    <row r="4" spans="1:29" x14ac:dyDescent="0.25">
      <c r="A4">
        <v>3</v>
      </c>
      <c r="B4">
        <v>7390</v>
      </c>
      <c r="C4">
        <v>2106</v>
      </c>
      <c r="D4">
        <f t="shared" si="0"/>
        <v>9496</v>
      </c>
      <c r="E4" t="s">
        <v>29</v>
      </c>
      <c r="F4">
        <v>25</v>
      </c>
      <c r="G4" t="str" cm="1">
        <f t="array" ref="G4">_xlfn.IFS(F4&lt;25,"18-24",F4&lt;35,"25-35",F4&lt;45,"35-44",F4&lt;55,"44-54",F4&gt;=55,"55+")</f>
        <v>25-35</v>
      </c>
      <c r="H4" t="s">
        <v>41</v>
      </c>
      <c r="I4">
        <v>2</v>
      </c>
      <c r="J4" t="str" cm="1">
        <f t="array" ref="J4">_xlfn.IFS(I4&lt;=0,"No Dependents",I4&lt;=1,"One",I4&lt;=2,"Two",I4&gt;=3,"Third")</f>
        <v>Two</v>
      </c>
      <c r="K4">
        <v>674</v>
      </c>
      <c r="L4" t="str" cm="1">
        <f t="array" ref="L4">_xlfn.IFS(K4&lt;=580,"Poor",K4&lt;=670,"fair",K4&lt;=740,"Good",K4&lt;=800,"Very Good",K4&gt;=800,"Excellent")</f>
        <v>Good</v>
      </c>
      <c r="M4">
        <v>4</v>
      </c>
      <c r="N4" t="str">
        <f t="shared" si="1"/>
        <v>Yes</v>
      </c>
      <c r="O4">
        <v>0.2</v>
      </c>
      <c r="P4" t="str" cm="1">
        <f t="array" ref="P4">_xlfn.IFS(O4&lt;=0.3,"Low Risk",O4&lt;=0.4,"medium Risk",O4&lt;=0.5,"High Risk",O4&gt;0.5,"Very High Risk")</f>
        <v>Low Risk</v>
      </c>
      <c r="Q4">
        <v>13844</v>
      </c>
      <c r="R4">
        <v>6908</v>
      </c>
      <c r="S4" t="str">
        <f t="shared" si="2"/>
        <v>Yes</v>
      </c>
      <c r="T4">
        <v>27943</v>
      </c>
      <c r="U4" t="str" cm="1">
        <f t="array" ref="U4">_xlfn.IFS(T4&lt;5000,"Small",T4&lt;20000,"Medium",T4&lt;35000,"Large",T4&gt;35000,"Very Large")</f>
        <v>Large</v>
      </c>
      <c r="V4">
        <v>72</v>
      </c>
      <c r="W4">
        <f t="shared" si="3"/>
        <v>6</v>
      </c>
      <c r="X4" t="s">
        <v>42</v>
      </c>
      <c r="Y4" t="s">
        <v>32</v>
      </c>
      <c r="Z4" t="s">
        <v>39</v>
      </c>
      <c r="AA4" t="s">
        <v>34</v>
      </c>
      <c r="AB4" t="s">
        <v>43</v>
      </c>
      <c r="AC4" t="s">
        <v>44</v>
      </c>
    </row>
    <row r="5" spans="1:29" x14ac:dyDescent="0.25">
      <c r="A5">
        <v>4</v>
      </c>
      <c r="B5">
        <v>13964</v>
      </c>
      <c r="C5">
        <v>8173</v>
      </c>
      <c r="D5">
        <f t="shared" si="0"/>
        <v>22137</v>
      </c>
      <c r="E5" t="s">
        <v>29</v>
      </c>
      <c r="F5">
        <v>40</v>
      </c>
      <c r="G5" t="str" cm="1">
        <f t="array" ref="G5">_xlfn.IFS(F5&lt;25,"18-24",F5&lt;35,"25-35",F5&lt;45,"35-44",F5&lt;55,"44-54",F5&gt;=55,"55+")</f>
        <v>35-44</v>
      </c>
      <c r="H5" t="s">
        <v>30</v>
      </c>
      <c r="I5">
        <v>2</v>
      </c>
      <c r="J5" t="str" cm="1">
        <f t="array" ref="J5">_xlfn.IFS(I5&lt;=0,"No Dependents",I5&lt;=1,"One",I5&lt;=2,"Two",I5&gt;=3,"Third")</f>
        <v>Two</v>
      </c>
      <c r="K5">
        <v>579</v>
      </c>
      <c r="L5" t="str" cm="1">
        <f t="array" ref="L5">_xlfn.IFS(K5&lt;=580,"Poor",K5&lt;=670,"fair",K5&lt;=740,"Good",K5&lt;=800,"Very Good",K5&gt;=800,"Excellent")</f>
        <v>Poor</v>
      </c>
      <c r="M5">
        <v>3</v>
      </c>
      <c r="N5" t="str">
        <f t="shared" si="1"/>
        <v>Yes</v>
      </c>
      <c r="O5">
        <v>0.31</v>
      </c>
      <c r="P5" t="str" cm="1">
        <f t="array" ref="P5">_xlfn.IFS(O5&lt;=0.3,"Low Risk",O5&lt;=0.4,"medium Risk",O5&lt;=0.5,"High Risk",O5&gt;0.5,"Very High Risk")</f>
        <v>medium Risk</v>
      </c>
      <c r="Q5">
        <v>9553</v>
      </c>
      <c r="R5">
        <v>10844</v>
      </c>
      <c r="S5" t="str">
        <f t="shared" si="2"/>
        <v>Yes</v>
      </c>
      <c r="T5">
        <v>27819</v>
      </c>
      <c r="U5" t="str" cm="1">
        <f t="array" ref="U5">_xlfn.IFS(T5&lt;5000,"Small",T5&lt;20000,"Medium",T5&lt;35000,"Large",T5&gt;35000,"Very Large")</f>
        <v>Large</v>
      </c>
      <c r="V5">
        <v>60</v>
      </c>
      <c r="W5">
        <f t="shared" si="3"/>
        <v>5</v>
      </c>
      <c r="X5" t="s">
        <v>42</v>
      </c>
      <c r="Y5" t="s">
        <v>45</v>
      </c>
      <c r="Z5" t="s">
        <v>39</v>
      </c>
      <c r="AA5" t="s">
        <v>34</v>
      </c>
      <c r="AB5" t="s">
        <v>43</v>
      </c>
      <c r="AC5" t="s">
        <v>36</v>
      </c>
    </row>
    <row r="6" spans="1:29" x14ac:dyDescent="0.25">
      <c r="A6">
        <v>5</v>
      </c>
      <c r="B6">
        <v>13284</v>
      </c>
      <c r="C6">
        <v>4223</v>
      </c>
      <c r="D6">
        <f t="shared" si="0"/>
        <v>17507</v>
      </c>
      <c r="E6" t="s">
        <v>46</v>
      </c>
      <c r="F6">
        <v>31</v>
      </c>
      <c r="G6" t="str" cm="1">
        <f t="array" ref="G6">_xlfn.IFS(F6&lt;25,"18-24",F6&lt;35,"25-35",F6&lt;45,"35-44",F6&lt;55,"44-54",F6&gt;=55,"55+")</f>
        <v>25-35</v>
      </c>
      <c r="H6" t="s">
        <v>41</v>
      </c>
      <c r="I6">
        <v>2</v>
      </c>
      <c r="J6" t="str" cm="1">
        <f t="array" ref="J6">_xlfn.IFS(I6&lt;=0,"No Dependents",I6&lt;=1,"One",I6&lt;=2,"Two",I6&gt;=3,"Third")</f>
        <v>Two</v>
      </c>
      <c r="K6">
        <v>721</v>
      </c>
      <c r="L6" t="str" cm="1">
        <f t="array" ref="L6">_xlfn.IFS(K6&lt;=580,"Poor",K6&lt;=670,"fair",K6&lt;=740,"Good",K6&lt;=800,"Very Good",K6&gt;=800,"Excellent")</f>
        <v>Good</v>
      </c>
      <c r="M6">
        <v>1</v>
      </c>
      <c r="N6" t="str">
        <f t="shared" si="1"/>
        <v>Yes</v>
      </c>
      <c r="O6">
        <v>0.28999999999999998</v>
      </c>
      <c r="P6" t="str" cm="1">
        <f t="array" ref="P6">_xlfn.IFS(O6&lt;=0.3,"Low Risk",O6&lt;=0.4,"medium Risk",O6&lt;=0.5,"High Risk",O6&gt;0.5,"Very High Risk")</f>
        <v>Low Risk</v>
      </c>
      <c r="Q6">
        <v>9386</v>
      </c>
      <c r="R6">
        <v>37629</v>
      </c>
      <c r="S6" t="str">
        <f t="shared" si="2"/>
        <v>Yes</v>
      </c>
      <c r="T6">
        <v>12741</v>
      </c>
      <c r="U6" t="str" cm="1">
        <f t="array" ref="U6">_xlfn.IFS(T6&lt;5000,"Small",T6&lt;20000,"Medium",T6&lt;35000,"Large",T6&gt;35000,"Very Large")</f>
        <v>Medium</v>
      </c>
      <c r="V6">
        <v>72</v>
      </c>
      <c r="W6">
        <f t="shared" si="3"/>
        <v>6</v>
      </c>
      <c r="X6" t="s">
        <v>37</v>
      </c>
      <c r="Y6" t="s">
        <v>32</v>
      </c>
      <c r="Z6" t="s">
        <v>39</v>
      </c>
      <c r="AA6" t="s">
        <v>40</v>
      </c>
      <c r="AB6" t="s">
        <v>35</v>
      </c>
      <c r="AC6" t="s">
        <v>44</v>
      </c>
    </row>
    <row r="7" spans="1:29" x14ac:dyDescent="0.25">
      <c r="A7">
        <v>6</v>
      </c>
      <c r="B7">
        <v>8265</v>
      </c>
      <c r="C7">
        <v>4831</v>
      </c>
      <c r="D7">
        <f t="shared" si="0"/>
        <v>13096</v>
      </c>
      <c r="E7" t="s">
        <v>29</v>
      </c>
      <c r="F7">
        <v>53</v>
      </c>
      <c r="G7" t="str" cm="1">
        <f t="array" ref="G7">_xlfn.IFS(F7&lt;25,"18-24",F7&lt;35,"25-35",F7&lt;45,"35-44",F7&lt;55,"44-54",F7&gt;=55,"55+")</f>
        <v>44-54</v>
      </c>
      <c r="H7" t="s">
        <v>41</v>
      </c>
      <c r="I7">
        <v>1</v>
      </c>
      <c r="J7" t="str" cm="1">
        <f t="array" ref="J7">_xlfn.IFS(I7&lt;=0,"No Dependents",I7&lt;=1,"One",I7&lt;=2,"Two",I7&gt;=3,"Third")</f>
        <v>One</v>
      </c>
      <c r="K7">
        <v>602</v>
      </c>
      <c r="L7" t="str" cm="1">
        <f t="array" ref="L7">_xlfn.IFS(K7&lt;=580,"Poor",K7&lt;=670,"fair",K7&lt;=740,"Good",K7&lt;=800,"Very Good",K7&gt;=800,"Excellent")</f>
        <v>fair</v>
      </c>
      <c r="M7">
        <v>1</v>
      </c>
      <c r="N7" t="str">
        <f t="shared" si="1"/>
        <v>Yes</v>
      </c>
      <c r="O7">
        <v>0.56000000000000005</v>
      </c>
      <c r="P7" t="str" cm="1">
        <f t="array" ref="P7">_xlfn.IFS(O7&lt;=0.3,"Low Risk",O7&lt;=0.4,"medium Risk",O7&lt;=0.5,"High Risk",O7&gt;0.5,"Very High Risk")</f>
        <v>Very High Risk</v>
      </c>
      <c r="Q7">
        <v>19522</v>
      </c>
      <c r="R7">
        <v>2911</v>
      </c>
      <c r="S7" t="str">
        <f t="shared" si="2"/>
        <v>Yes</v>
      </c>
      <c r="T7">
        <v>9798</v>
      </c>
      <c r="U7" t="str" cm="1">
        <f t="array" ref="U7">_xlfn.IFS(T7&lt;5000,"Small",T7&lt;20000,"Medium",T7&lt;35000,"Large",T7&gt;35000,"Very Large")</f>
        <v>Medium</v>
      </c>
      <c r="V7">
        <v>36</v>
      </c>
      <c r="W7">
        <f t="shared" si="3"/>
        <v>3</v>
      </c>
      <c r="X7" t="s">
        <v>47</v>
      </c>
      <c r="Y7" t="s">
        <v>38</v>
      </c>
      <c r="Z7" t="s">
        <v>39</v>
      </c>
      <c r="AA7" t="s">
        <v>40</v>
      </c>
      <c r="AB7" t="s">
        <v>48</v>
      </c>
      <c r="AC7" t="s">
        <v>36</v>
      </c>
    </row>
    <row r="8" spans="1:29" x14ac:dyDescent="0.25">
      <c r="A8">
        <v>7</v>
      </c>
      <c r="B8">
        <v>18850</v>
      </c>
      <c r="C8">
        <v>2768</v>
      </c>
      <c r="D8">
        <f t="shared" si="0"/>
        <v>21618</v>
      </c>
      <c r="E8" t="s">
        <v>29</v>
      </c>
      <c r="F8">
        <v>58</v>
      </c>
      <c r="G8" t="str" cm="1">
        <f t="array" ref="G8">_xlfn.IFS(F8&lt;25,"18-24",F8&lt;35,"25-35",F8&lt;45,"35-44",F8&lt;55,"44-54",F8&gt;=55,"55+")</f>
        <v>55+</v>
      </c>
      <c r="H8" t="s">
        <v>30</v>
      </c>
      <c r="I8">
        <v>0</v>
      </c>
      <c r="J8" t="str" cm="1">
        <f t="array" ref="J8">_xlfn.IFS(I8&lt;=0,"No Dependents",I8&lt;=1,"One",I8&lt;=2,"Two",I8&gt;=3,"Third")</f>
        <v>No Dependents</v>
      </c>
      <c r="K8">
        <v>687</v>
      </c>
      <c r="L8" t="str" cm="1">
        <f t="array" ref="L8">_xlfn.IFS(K8&lt;=580,"Poor",K8&lt;=670,"fair",K8&lt;=740,"Good",K8&lt;=800,"Very Good",K8&gt;=800,"Excellent")</f>
        <v>Good</v>
      </c>
      <c r="M8">
        <v>0</v>
      </c>
      <c r="N8" t="str">
        <f t="shared" si="1"/>
        <v>No</v>
      </c>
      <c r="O8">
        <v>0.48</v>
      </c>
      <c r="P8" t="str" cm="1">
        <f t="array" ref="P8">_xlfn.IFS(O8&lt;=0.3,"Low Risk",O8&lt;=0.4,"medium Risk",O8&lt;=0.5,"High Risk",O8&gt;0.5,"Very High Risk")</f>
        <v>High Risk</v>
      </c>
      <c r="Q8">
        <v>14635</v>
      </c>
      <c r="R8">
        <v>8991</v>
      </c>
      <c r="S8" t="str">
        <f t="shared" si="2"/>
        <v>Yes</v>
      </c>
      <c r="T8">
        <v>26143</v>
      </c>
      <c r="U8" t="str" cm="1">
        <f t="array" ref="U8">_xlfn.IFS(T8&lt;5000,"Small",T8&lt;20000,"Medium",T8&lt;35000,"Large",T8&gt;35000,"Very Large")</f>
        <v>Large</v>
      </c>
      <c r="V8">
        <v>24</v>
      </c>
      <c r="W8">
        <f t="shared" si="3"/>
        <v>2</v>
      </c>
      <c r="X8" t="s">
        <v>47</v>
      </c>
      <c r="Y8" t="s">
        <v>45</v>
      </c>
      <c r="Z8" t="s">
        <v>39</v>
      </c>
      <c r="AA8" t="s">
        <v>40</v>
      </c>
      <c r="AB8" t="s">
        <v>35</v>
      </c>
      <c r="AC8" t="s">
        <v>36</v>
      </c>
    </row>
    <row r="9" spans="1:29" x14ac:dyDescent="0.25">
      <c r="A9">
        <v>8</v>
      </c>
      <c r="B9">
        <v>6426</v>
      </c>
      <c r="C9">
        <v>3186</v>
      </c>
      <c r="D9">
        <f t="shared" si="0"/>
        <v>9612</v>
      </c>
      <c r="E9" t="s">
        <v>29</v>
      </c>
      <c r="F9">
        <v>47</v>
      </c>
      <c r="G9" t="str" cm="1">
        <f t="array" ref="G9">_xlfn.IFS(F9&lt;25,"18-24",F9&lt;35,"25-35",F9&lt;45,"35-44",F9&lt;55,"44-54",F9&gt;=55,"55+")</f>
        <v>44-54</v>
      </c>
      <c r="H9" t="s">
        <v>30</v>
      </c>
      <c r="I9">
        <v>2</v>
      </c>
      <c r="J9" t="str" cm="1">
        <f t="array" ref="J9">_xlfn.IFS(I9&lt;=0,"No Dependents",I9&lt;=1,"One",I9&lt;=2,"Two",I9&gt;=3,"Third")</f>
        <v>Two</v>
      </c>
      <c r="K9">
        <v>636</v>
      </c>
      <c r="L9" t="str" cm="1">
        <f t="array" ref="L9">_xlfn.IFS(K9&lt;=580,"Poor",K9&lt;=670,"fair",K9&lt;=740,"Good",K9&lt;=800,"Very Good",K9&gt;=800,"Excellent")</f>
        <v>fair</v>
      </c>
      <c r="M9">
        <v>4</v>
      </c>
      <c r="N9" t="str">
        <f t="shared" si="1"/>
        <v>Yes</v>
      </c>
      <c r="O9">
        <v>0.35</v>
      </c>
      <c r="P9" t="str" cm="1">
        <f t="array" ref="P9">_xlfn.IFS(O9&lt;=0.3,"Low Risk",O9&lt;=0.4,"medium Risk",O9&lt;=0.5,"High Risk",O9&gt;0.5,"Very High Risk")</f>
        <v>medium Risk</v>
      </c>
      <c r="Q9">
        <v>671</v>
      </c>
      <c r="R9">
        <v>11572</v>
      </c>
      <c r="S9" t="str">
        <f t="shared" si="2"/>
        <v>Yes</v>
      </c>
      <c r="T9">
        <v>33747</v>
      </c>
      <c r="U9" t="str" cm="1">
        <f t="array" ref="U9">_xlfn.IFS(T9&lt;5000,"Small",T9&lt;20000,"Medium",T9&lt;35000,"Large",T9&gt;35000,"Very Large")</f>
        <v>Large</v>
      </c>
      <c r="V9">
        <v>84</v>
      </c>
      <c r="W9">
        <f t="shared" si="3"/>
        <v>7</v>
      </c>
      <c r="X9" t="s">
        <v>31</v>
      </c>
      <c r="Y9" t="s">
        <v>45</v>
      </c>
      <c r="Z9" t="s">
        <v>39</v>
      </c>
      <c r="AA9" t="s">
        <v>34</v>
      </c>
      <c r="AB9" t="s">
        <v>35</v>
      </c>
      <c r="AC9" t="s">
        <v>36</v>
      </c>
    </row>
    <row r="10" spans="1:29" x14ac:dyDescent="0.25">
      <c r="A10">
        <v>9</v>
      </c>
      <c r="B10">
        <v>16423</v>
      </c>
      <c r="C10">
        <v>0</v>
      </c>
      <c r="D10">
        <f t="shared" si="0"/>
        <v>16423</v>
      </c>
      <c r="E10" t="s">
        <v>29</v>
      </c>
      <c r="F10">
        <v>54</v>
      </c>
      <c r="G10" t="str" cm="1">
        <f t="array" ref="G10">_xlfn.IFS(F10&lt;25,"18-24",F10&lt;35,"25-35",F10&lt;45,"35-44",F10&lt;55,"44-54",F10&gt;=55,"55+")</f>
        <v>44-54</v>
      </c>
      <c r="H10" t="s">
        <v>30</v>
      </c>
      <c r="I10">
        <v>1</v>
      </c>
      <c r="J10" t="str" cm="1">
        <f t="array" ref="J10">_xlfn.IFS(I10&lt;=0,"No Dependents",I10&lt;=1,"One",I10&lt;=2,"Two",I10&gt;=3,"Third")</f>
        <v>One</v>
      </c>
      <c r="K10">
        <v>729</v>
      </c>
      <c r="L10" t="str" cm="1">
        <f t="array" ref="L10">_xlfn.IFS(K10&lt;=580,"Poor",K10&lt;=670,"fair",K10&lt;=740,"Good",K10&lt;=800,"Very Good",K10&gt;=800,"Excellent")</f>
        <v>Good</v>
      </c>
      <c r="M10">
        <v>0</v>
      </c>
      <c r="N10" t="str">
        <f t="shared" si="1"/>
        <v>No</v>
      </c>
      <c r="O10">
        <v>0.59</v>
      </c>
      <c r="P10" t="str" cm="1">
        <f t="array" ref="P10">_xlfn.IFS(O10&lt;=0.3,"Low Risk",O10&lt;=0.4,"medium Risk",O10&lt;=0.5,"High Risk",O10&gt;0.5,"Very High Risk")</f>
        <v>Very High Risk</v>
      </c>
      <c r="Q10">
        <v>777</v>
      </c>
      <c r="R10">
        <v>43066</v>
      </c>
      <c r="S10" t="str">
        <f t="shared" si="2"/>
        <v>Yes</v>
      </c>
      <c r="T10">
        <v>34651</v>
      </c>
      <c r="U10" t="str" cm="1">
        <f t="array" ref="U10">_xlfn.IFS(T10&lt;5000,"Small",T10&lt;20000,"Medium",T10&lt;35000,"Large",T10&gt;35000,"Very Large")</f>
        <v>Large</v>
      </c>
      <c r="V10">
        <v>36</v>
      </c>
      <c r="W10">
        <f t="shared" si="3"/>
        <v>3</v>
      </c>
      <c r="X10" t="s">
        <v>47</v>
      </c>
      <c r="Y10" t="s">
        <v>38</v>
      </c>
      <c r="Z10" t="s">
        <v>39</v>
      </c>
      <c r="AA10" t="s">
        <v>40</v>
      </c>
      <c r="AB10" t="s">
        <v>35</v>
      </c>
      <c r="AC10" t="s">
        <v>36</v>
      </c>
    </row>
    <row r="11" spans="1:29" x14ac:dyDescent="0.25">
      <c r="A11">
        <v>10</v>
      </c>
      <c r="B11">
        <v>13363</v>
      </c>
      <c r="C11">
        <v>2599</v>
      </c>
      <c r="D11">
        <f t="shared" si="0"/>
        <v>15962</v>
      </c>
      <c r="E11" t="s">
        <v>49</v>
      </c>
      <c r="F11">
        <v>35</v>
      </c>
      <c r="G11" t="str" cm="1">
        <f t="array" ref="G11">_xlfn.IFS(F11&lt;25,"18-24",F11&lt;35,"25-35",F11&lt;45,"35-44",F11&lt;55,"44-54",F11&gt;=55,"55+")</f>
        <v>35-44</v>
      </c>
      <c r="H11" t="s">
        <v>41</v>
      </c>
      <c r="I11">
        <v>3</v>
      </c>
      <c r="J11" t="str" cm="1">
        <f t="array" ref="J11">_xlfn.IFS(I11&lt;=0,"No Dependents",I11&lt;=1,"One",I11&lt;=2,"Two",I11&gt;=3,"Third")</f>
        <v>Third</v>
      </c>
      <c r="K11">
        <v>726</v>
      </c>
      <c r="L11" t="str" cm="1">
        <f t="array" ref="L11">_xlfn.IFS(K11&lt;=580,"Poor",K11&lt;=670,"fair",K11&lt;=740,"Good",K11&lt;=800,"Very Good",K11&gt;=800,"Excellent")</f>
        <v>Good</v>
      </c>
      <c r="M11">
        <v>1</v>
      </c>
      <c r="N11" t="str">
        <f t="shared" si="1"/>
        <v>Yes</v>
      </c>
      <c r="O11">
        <v>0.35</v>
      </c>
      <c r="P11" t="str" cm="1">
        <f t="array" ref="P11">_xlfn.IFS(O11&lt;=0.3,"Low Risk",O11&lt;=0.4,"medium Risk",O11&lt;=0.5,"High Risk",O11&gt;0.5,"Very High Risk")</f>
        <v>medium Risk</v>
      </c>
      <c r="Q11">
        <v>3022</v>
      </c>
      <c r="R11">
        <v>29693</v>
      </c>
      <c r="S11" t="str">
        <f t="shared" si="2"/>
        <v>Yes</v>
      </c>
      <c r="T11">
        <v>22182</v>
      </c>
      <c r="U11" t="str" cm="1">
        <f t="array" ref="U11">_xlfn.IFS(T11&lt;5000,"Small",T11&lt;20000,"Medium",T11&lt;35000,"Large",T11&gt;35000,"Very Large")</f>
        <v>Large</v>
      </c>
      <c r="V11">
        <v>60</v>
      </c>
      <c r="W11">
        <f t="shared" si="3"/>
        <v>5</v>
      </c>
      <c r="X11" t="s">
        <v>31</v>
      </c>
      <c r="Y11" t="s">
        <v>45</v>
      </c>
      <c r="Z11" t="s">
        <v>39</v>
      </c>
      <c r="AA11" t="s">
        <v>34</v>
      </c>
      <c r="AB11" t="s">
        <v>43</v>
      </c>
      <c r="AC11" t="s">
        <v>44</v>
      </c>
    </row>
    <row r="12" spans="1:29" x14ac:dyDescent="0.25">
      <c r="A12">
        <v>11</v>
      </c>
      <c r="B12">
        <v>18023</v>
      </c>
      <c r="C12">
        <v>4033</v>
      </c>
      <c r="D12">
        <f t="shared" si="0"/>
        <v>22056</v>
      </c>
      <c r="E12" t="s">
        <v>29</v>
      </c>
      <c r="F12">
        <v>52</v>
      </c>
      <c r="G12" t="str" cm="1">
        <f t="array" ref="G12">_xlfn.IFS(F12&lt;25,"18-24",F12&lt;35,"25-35",F12&lt;45,"35-44",F12&lt;55,"44-54",F12&gt;=55,"55+")</f>
        <v>44-54</v>
      </c>
      <c r="H12" t="s">
        <v>30</v>
      </c>
      <c r="I12">
        <v>2</v>
      </c>
      <c r="J12" t="str" cm="1">
        <f t="array" ref="J12">_xlfn.IFS(I12&lt;=0,"No Dependents",I12&lt;=1,"One",I12&lt;=2,"Two",I12&gt;=3,"Third")</f>
        <v>Two</v>
      </c>
      <c r="K12">
        <v>688</v>
      </c>
      <c r="L12" t="str" cm="1">
        <f t="array" ref="L12">_xlfn.IFS(K12&lt;=580,"Poor",K12&lt;=670,"fair",K12&lt;=740,"Good",K12&lt;=800,"Very Good",K12&gt;=800,"Excellent")</f>
        <v>Good</v>
      </c>
      <c r="M12">
        <v>1</v>
      </c>
      <c r="N12" t="str">
        <f t="shared" si="1"/>
        <v>Yes</v>
      </c>
      <c r="O12">
        <v>0.13</v>
      </c>
      <c r="P12" t="str" cm="1">
        <f t="array" ref="P12">_xlfn.IFS(O12&lt;=0.3,"Low Risk",O12&lt;=0.4,"medium Risk",O12&lt;=0.5,"High Risk",O12&gt;0.5,"Very High Risk")</f>
        <v>Low Risk</v>
      </c>
      <c r="Q12">
        <v>18244</v>
      </c>
      <c r="R12">
        <v>40004</v>
      </c>
      <c r="S12" t="str">
        <f t="shared" si="2"/>
        <v>Yes</v>
      </c>
      <c r="T12">
        <v>10415</v>
      </c>
      <c r="U12" t="str" cm="1">
        <f t="array" ref="U12">_xlfn.IFS(T12&lt;5000,"Small",T12&lt;20000,"Medium",T12&lt;35000,"Large",T12&gt;35000,"Very Large")</f>
        <v>Medium</v>
      </c>
      <c r="V12">
        <v>12</v>
      </c>
      <c r="W12">
        <f t="shared" si="3"/>
        <v>1</v>
      </c>
      <c r="X12" t="s">
        <v>50</v>
      </c>
      <c r="Y12" t="s">
        <v>32</v>
      </c>
      <c r="Z12" t="s">
        <v>33</v>
      </c>
      <c r="AA12" t="s">
        <v>34</v>
      </c>
      <c r="AB12" t="s">
        <v>51</v>
      </c>
      <c r="AC12" t="s">
        <v>44</v>
      </c>
    </row>
    <row r="13" spans="1:29" x14ac:dyDescent="0.25">
      <c r="A13">
        <v>12</v>
      </c>
      <c r="B13">
        <v>10322</v>
      </c>
      <c r="C13">
        <v>8428</v>
      </c>
      <c r="D13">
        <f t="shared" si="0"/>
        <v>18750</v>
      </c>
      <c r="E13" t="s">
        <v>46</v>
      </c>
      <c r="F13">
        <v>41</v>
      </c>
      <c r="G13" t="str" cm="1">
        <f t="array" ref="G13">_xlfn.IFS(F13&lt;25,"18-24",F13&lt;35,"25-35",F13&lt;45,"35-44",F13&lt;55,"44-54",F13&gt;=55,"55+")</f>
        <v>35-44</v>
      </c>
      <c r="H13" t="s">
        <v>30</v>
      </c>
      <c r="I13">
        <v>1</v>
      </c>
      <c r="J13" t="str" cm="1">
        <f t="array" ref="J13">_xlfn.IFS(I13&lt;=0,"No Dependents",I13&lt;=1,"One",I13&lt;=2,"Two",I13&gt;=3,"Third")</f>
        <v>One</v>
      </c>
      <c r="K13">
        <v>743</v>
      </c>
      <c r="L13" t="str" cm="1">
        <f t="array" ref="L13">_xlfn.IFS(K13&lt;=580,"Poor",K13&lt;=670,"fair",K13&lt;=740,"Good",K13&lt;=800,"Very Good",K13&gt;=800,"Excellent")</f>
        <v>Very Good</v>
      </c>
      <c r="M13">
        <v>4</v>
      </c>
      <c r="N13" t="str">
        <f t="shared" si="1"/>
        <v>Yes</v>
      </c>
      <c r="O13">
        <v>0.23</v>
      </c>
      <c r="P13" t="str" cm="1">
        <f t="array" ref="P13">_xlfn.IFS(O13&lt;=0.3,"Low Risk",O13&lt;=0.4,"medium Risk",O13&lt;=0.5,"High Risk",O13&gt;0.5,"Very High Risk")</f>
        <v>Low Risk</v>
      </c>
      <c r="Q13">
        <v>0</v>
      </c>
      <c r="R13">
        <v>38333</v>
      </c>
      <c r="S13" t="str">
        <f t="shared" si="2"/>
        <v>Yes</v>
      </c>
      <c r="T13">
        <v>12085</v>
      </c>
      <c r="U13" t="str" cm="1">
        <f t="array" ref="U13">_xlfn.IFS(T13&lt;5000,"Small",T13&lt;20000,"Medium",T13&lt;35000,"Large",T13&gt;35000,"Very Large")</f>
        <v>Medium</v>
      </c>
      <c r="V13">
        <v>84</v>
      </c>
      <c r="W13">
        <f t="shared" si="3"/>
        <v>7</v>
      </c>
      <c r="X13" t="s">
        <v>37</v>
      </c>
      <c r="Y13" t="s">
        <v>38</v>
      </c>
      <c r="Z13" t="s">
        <v>39</v>
      </c>
      <c r="AA13" t="s">
        <v>40</v>
      </c>
      <c r="AB13" t="s">
        <v>43</v>
      </c>
      <c r="AC13" t="s">
        <v>44</v>
      </c>
    </row>
    <row r="14" spans="1:29" x14ac:dyDescent="0.25">
      <c r="A14">
        <v>13</v>
      </c>
      <c r="B14">
        <v>3685</v>
      </c>
      <c r="C14">
        <v>1304</v>
      </c>
      <c r="D14">
        <f t="shared" si="0"/>
        <v>4989</v>
      </c>
      <c r="E14" t="s">
        <v>49</v>
      </c>
      <c r="F14">
        <v>25</v>
      </c>
      <c r="G14" t="str" cm="1">
        <f t="array" ref="G14">_xlfn.IFS(F14&lt;25,"18-24",F14&lt;35,"25-35",F14&lt;45,"35-44",F14&lt;55,"44-54",F14&gt;=55,"55+")</f>
        <v>25-35</v>
      </c>
      <c r="H14" t="s">
        <v>30</v>
      </c>
      <c r="I14">
        <v>2</v>
      </c>
      <c r="J14" t="str" cm="1">
        <f t="array" ref="J14">_xlfn.IFS(I14&lt;=0,"No Dependents",I14&lt;=1,"One",I14&lt;=2,"Two",I14&gt;=3,"Third")</f>
        <v>Two</v>
      </c>
      <c r="K14">
        <v>735</v>
      </c>
      <c r="L14" t="str" cm="1">
        <f t="array" ref="L14">_xlfn.IFS(K14&lt;=580,"Poor",K14&lt;=670,"fair",K14&lt;=740,"Good",K14&lt;=800,"Very Good",K14&gt;=800,"Excellent")</f>
        <v>Good</v>
      </c>
      <c r="M14">
        <v>3</v>
      </c>
      <c r="N14" t="str">
        <f t="shared" si="1"/>
        <v>Yes</v>
      </c>
      <c r="O14">
        <v>0.32</v>
      </c>
      <c r="P14" t="str" cm="1">
        <f t="array" ref="P14">_xlfn.IFS(O14&lt;=0.3,"Low Risk",O14&lt;=0.4,"medium Risk",O14&lt;=0.5,"High Risk",O14&gt;0.5,"Very High Risk")</f>
        <v>medium Risk</v>
      </c>
      <c r="Q14">
        <v>13817</v>
      </c>
      <c r="R14">
        <v>17493</v>
      </c>
      <c r="S14" t="str">
        <f t="shared" si="2"/>
        <v>Yes</v>
      </c>
      <c r="T14">
        <v>16008</v>
      </c>
      <c r="U14" t="str" cm="1">
        <f t="array" ref="U14">_xlfn.IFS(T14&lt;5000,"Small",T14&lt;20000,"Medium",T14&lt;35000,"Large",T14&gt;35000,"Very Large")</f>
        <v>Medium</v>
      </c>
      <c r="V14">
        <v>36</v>
      </c>
      <c r="W14">
        <f t="shared" si="3"/>
        <v>3</v>
      </c>
      <c r="X14" t="s">
        <v>42</v>
      </c>
      <c r="Y14" t="s">
        <v>45</v>
      </c>
      <c r="Z14" t="s">
        <v>39</v>
      </c>
      <c r="AA14" t="s">
        <v>40</v>
      </c>
      <c r="AB14" t="s">
        <v>35</v>
      </c>
      <c r="AC14" t="s">
        <v>36</v>
      </c>
    </row>
    <row r="15" spans="1:29" x14ac:dyDescent="0.25">
      <c r="A15">
        <v>14</v>
      </c>
      <c r="B15">
        <v>2769</v>
      </c>
      <c r="C15">
        <v>7368</v>
      </c>
      <c r="D15">
        <f t="shared" si="0"/>
        <v>10137</v>
      </c>
      <c r="E15" t="s">
        <v>46</v>
      </c>
      <c r="F15">
        <v>26</v>
      </c>
      <c r="G15" t="str" cm="1">
        <f t="array" ref="G15">_xlfn.IFS(F15&lt;25,"18-24",F15&lt;35,"25-35",F15&lt;45,"35-44",F15&lt;55,"44-54",F15&gt;=55,"55+")</f>
        <v>25-35</v>
      </c>
      <c r="H15" t="s">
        <v>41</v>
      </c>
      <c r="I15">
        <v>0</v>
      </c>
      <c r="J15" t="str" cm="1">
        <f t="array" ref="J15">_xlfn.IFS(I15&lt;=0,"No Dependents",I15&lt;=1,"One",I15&lt;=2,"Two",I15&gt;=3,"Third")</f>
        <v>No Dependents</v>
      </c>
      <c r="K15">
        <v>767</v>
      </c>
      <c r="L15" t="str" cm="1">
        <f t="array" ref="L15">_xlfn.IFS(K15&lt;=580,"Poor",K15&lt;=670,"fair",K15&lt;=740,"Good",K15&lt;=800,"Very Good",K15&gt;=800,"Excellent")</f>
        <v>Very Good</v>
      </c>
      <c r="M15">
        <v>3</v>
      </c>
      <c r="N15" t="str">
        <f t="shared" si="1"/>
        <v>Yes</v>
      </c>
      <c r="O15">
        <v>0.18</v>
      </c>
      <c r="P15" t="str" cm="1">
        <f t="array" ref="P15">_xlfn.IFS(O15&lt;=0.3,"Low Risk",O15&lt;=0.4,"medium Risk",O15&lt;=0.5,"High Risk",O15&gt;0.5,"Very High Risk")</f>
        <v>Low Risk</v>
      </c>
      <c r="Q15">
        <v>14260</v>
      </c>
      <c r="R15">
        <v>39697</v>
      </c>
      <c r="S15" t="str">
        <f t="shared" si="2"/>
        <v>Yes</v>
      </c>
      <c r="T15">
        <v>23102</v>
      </c>
      <c r="U15" t="str" cm="1">
        <f t="array" ref="U15">_xlfn.IFS(T15&lt;5000,"Small",T15&lt;20000,"Medium",T15&lt;35000,"Large",T15&gt;35000,"Very Large")</f>
        <v>Large</v>
      </c>
      <c r="V15">
        <v>72</v>
      </c>
      <c r="W15">
        <f t="shared" si="3"/>
        <v>6</v>
      </c>
      <c r="X15" t="s">
        <v>31</v>
      </c>
      <c r="Y15" t="s">
        <v>38</v>
      </c>
      <c r="Z15" t="s">
        <v>39</v>
      </c>
      <c r="AA15" t="s">
        <v>40</v>
      </c>
      <c r="AB15" t="s">
        <v>35</v>
      </c>
      <c r="AC15" t="s">
        <v>36</v>
      </c>
    </row>
    <row r="16" spans="1:29" x14ac:dyDescent="0.25">
      <c r="A16">
        <v>15</v>
      </c>
      <c r="B16">
        <v>4433</v>
      </c>
      <c r="C16">
        <v>5877</v>
      </c>
      <c r="D16">
        <f t="shared" si="0"/>
        <v>10310</v>
      </c>
      <c r="E16" t="s">
        <v>49</v>
      </c>
      <c r="F16">
        <v>58</v>
      </c>
      <c r="G16" t="str" cm="1">
        <f t="array" ref="G16">_xlfn.IFS(F16&lt;25,"18-24",F16&lt;35,"25-35",F16&lt;45,"35-44",F16&lt;55,"44-54",F16&gt;=55,"55+")</f>
        <v>55+</v>
      </c>
      <c r="H16" t="s">
        <v>41</v>
      </c>
      <c r="I16">
        <v>0</v>
      </c>
      <c r="J16" t="str" cm="1">
        <f t="array" ref="J16">_xlfn.IFS(I16&lt;=0,"No Dependents",I16&lt;=1,"One",I16&lt;=2,"Two",I16&gt;=3,"Third")</f>
        <v>No Dependents</v>
      </c>
      <c r="K16">
        <v>713</v>
      </c>
      <c r="L16" t="str" cm="1">
        <f t="array" ref="L16">_xlfn.IFS(K16&lt;=580,"Poor",K16&lt;=670,"fair",K16&lt;=740,"Good",K16&lt;=800,"Very Good",K16&gt;=800,"Excellent")</f>
        <v>Good</v>
      </c>
      <c r="M16">
        <v>4</v>
      </c>
      <c r="N16" t="str">
        <f t="shared" si="1"/>
        <v>Yes</v>
      </c>
      <c r="O16">
        <v>0.56999999999999995</v>
      </c>
      <c r="P16" t="str" cm="1">
        <f t="array" ref="P16">_xlfn.IFS(O16&lt;=0.3,"Low Risk",O16&lt;=0.4,"medium Risk",O16&lt;=0.5,"High Risk",O16&gt;0.5,"Very High Risk")</f>
        <v>Very High Risk</v>
      </c>
      <c r="Q16">
        <v>1074</v>
      </c>
      <c r="R16">
        <v>0</v>
      </c>
      <c r="S16" t="str">
        <f t="shared" si="2"/>
        <v>No</v>
      </c>
      <c r="T16">
        <v>19452</v>
      </c>
      <c r="U16" t="str" cm="1">
        <f t="array" ref="U16">_xlfn.IFS(T16&lt;5000,"Small",T16&lt;20000,"Medium",T16&lt;35000,"Large",T16&gt;35000,"Very Large")</f>
        <v>Medium</v>
      </c>
      <c r="V16">
        <v>84</v>
      </c>
      <c r="W16">
        <f t="shared" si="3"/>
        <v>7</v>
      </c>
      <c r="X16" t="s">
        <v>42</v>
      </c>
      <c r="Y16" t="s">
        <v>38</v>
      </c>
      <c r="Z16" t="s">
        <v>39</v>
      </c>
      <c r="AA16" t="s">
        <v>40</v>
      </c>
      <c r="AB16" t="s">
        <v>51</v>
      </c>
      <c r="AC16" t="s">
        <v>36</v>
      </c>
    </row>
    <row r="17" spans="1:29" x14ac:dyDescent="0.25">
      <c r="A17">
        <v>16</v>
      </c>
      <c r="B17">
        <v>7311</v>
      </c>
      <c r="C17">
        <v>1301</v>
      </c>
      <c r="D17">
        <f t="shared" si="0"/>
        <v>8612</v>
      </c>
      <c r="E17" t="s">
        <v>29</v>
      </c>
      <c r="F17">
        <v>42</v>
      </c>
      <c r="G17" t="str" cm="1">
        <f t="array" ref="G17">_xlfn.IFS(F17&lt;25,"18-24",F17&lt;35,"25-35",F17&lt;45,"35-44",F17&lt;55,"44-54",F17&gt;=55,"55+")</f>
        <v>35-44</v>
      </c>
      <c r="H17" t="s">
        <v>30</v>
      </c>
      <c r="I17">
        <v>3</v>
      </c>
      <c r="J17" t="str" cm="1">
        <f t="array" ref="J17">_xlfn.IFS(I17&lt;=0,"No Dependents",I17&lt;=1,"One",I17&lt;=2,"Two",I17&gt;=3,"Third")</f>
        <v>Third</v>
      </c>
      <c r="K17">
        <v>710</v>
      </c>
      <c r="L17" t="str" cm="1">
        <f t="array" ref="L17">_xlfn.IFS(K17&lt;=580,"Poor",K17&lt;=670,"fair",K17&lt;=740,"Good",K17&lt;=800,"Very Good",K17&gt;=800,"Excellent")</f>
        <v>Good</v>
      </c>
      <c r="M17">
        <v>4</v>
      </c>
      <c r="N17" t="str">
        <f t="shared" si="1"/>
        <v>Yes</v>
      </c>
      <c r="O17">
        <v>0.48</v>
      </c>
      <c r="P17" t="str" cm="1">
        <f t="array" ref="P17">_xlfn.IFS(O17&lt;=0.3,"Low Risk",O17&lt;=0.4,"medium Risk",O17&lt;=0.5,"High Risk",O17&gt;0.5,"Very High Risk")</f>
        <v>High Risk</v>
      </c>
      <c r="Q17">
        <v>9908</v>
      </c>
      <c r="R17">
        <v>24561</v>
      </c>
      <c r="S17" t="str">
        <f t="shared" si="2"/>
        <v>Yes</v>
      </c>
      <c r="T17">
        <v>9120</v>
      </c>
      <c r="U17" t="str" cm="1">
        <f t="array" ref="U17">_xlfn.IFS(T17&lt;5000,"Small",T17&lt;20000,"Medium",T17&lt;35000,"Large",T17&gt;35000,"Very Large")</f>
        <v>Medium</v>
      </c>
      <c r="V17">
        <v>72</v>
      </c>
      <c r="W17">
        <f t="shared" si="3"/>
        <v>6</v>
      </c>
      <c r="X17" t="s">
        <v>31</v>
      </c>
      <c r="Y17" t="s">
        <v>32</v>
      </c>
      <c r="Z17" t="s">
        <v>33</v>
      </c>
      <c r="AA17" t="s">
        <v>34</v>
      </c>
      <c r="AB17" t="s">
        <v>35</v>
      </c>
      <c r="AC17" t="s">
        <v>36</v>
      </c>
    </row>
    <row r="18" spans="1:29" x14ac:dyDescent="0.25">
      <c r="A18">
        <v>17</v>
      </c>
      <c r="B18">
        <v>7051</v>
      </c>
      <c r="C18">
        <v>2541</v>
      </c>
      <c r="D18">
        <f t="shared" si="0"/>
        <v>9592</v>
      </c>
      <c r="E18" t="s">
        <v>48</v>
      </c>
      <c r="F18">
        <v>38</v>
      </c>
      <c r="G18" t="str" cm="1">
        <f t="array" ref="G18">_xlfn.IFS(F18&lt;25,"18-24",F18&lt;35,"25-35",F18&lt;45,"35-44",F18&lt;55,"44-54",F18&gt;=55,"55+")</f>
        <v>35-44</v>
      </c>
      <c r="H18" t="s">
        <v>30</v>
      </c>
      <c r="I18">
        <v>2</v>
      </c>
      <c r="J18" t="str" cm="1">
        <f t="array" ref="J18">_xlfn.IFS(I18&lt;=0,"No Dependents",I18&lt;=1,"One",I18&lt;=2,"Two",I18&gt;=3,"Third")</f>
        <v>Two</v>
      </c>
      <c r="K18">
        <v>724</v>
      </c>
      <c r="L18" t="str" cm="1">
        <f t="array" ref="L18">_xlfn.IFS(K18&lt;=580,"Poor",K18&lt;=670,"fair",K18&lt;=740,"Good",K18&lt;=800,"Very Good",K18&gt;=800,"Excellent")</f>
        <v>Good</v>
      </c>
      <c r="M18">
        <v>0</v>
      </c>
      <c r="N18" t="str">
        <f t="shared" si="1"/>
        <v>No</v>
      </c>
      <c r="O18">
        <v>0.23</v>
      </c>
      <c r="P18" t="str" cm="1">
        <f t="array" ref="P18">_xlfn.IFS(O18&lt;=0.3,"Low Risk",O18&lt;=0.4,"medium Risk",O18&lt;=0.5,"High Risk",O18&gt;0.5,"Very High Risk")</f>
        <v>Low Risk</v>
      </c>
      <c r="Q18">
        <v>9475</v>
      </c>
      <c r="R18">
        <v>18033</v>
      </c>
      <c r="S18" t="str">
        <f t="shared" si="2"/>
        <v>Yes</v>
      </c>
      <c r="T18">
        <v>8820</v>
      </c>
      <c r="U18" t="str" cm="1">
        <f t="array" ref="U18">_xlfn.IFS(T18&lt;5000,"Small",T18&lt;20000,"Medium",T18&lt;35000,"Large",T18&gt;35000,"Very Large")</f>
        <v>Medium</v>
      </c>
      <c r="V18">
        <v>48</v>
      </c>
      <c r="W18">
        <f t="shared" si="3"/>
        <v>4</v>
      </c>
      <c r="X18" t="s">
        <v>31</v>
      </c>
      <c r="Y18" t="s">
        <v>32</v>
      </c>
      <c r="Z18" t="s">
        <v>39</v>
      </c>
      <c r="AA18" t="s">
        <v>34</v>
      </c>
      <c r="AB18" t="s">
        <v>35</v>
      </c>
      <c r="AC18" t="s">
        <v>44</v>
      </c>
    </row>
    <row r="19" spans="1:29" x14ac:dyDescent="0.25">
      <c r="A19">
        <v>18</v>
      </c>
      <c r="B19">
        <v>8420</v>
      </c>
      <c r="C19">
        <v>2051</v>
      </c>
      <c r="D19">
        <f t="shared" si="0"/>
        <v>10471</v>
      </c>
      <c r="E19" t="s">
        <v>29</v>
      </c>
      <c r="F19">
        <v>34</v>
      </c>
      <c r="G19" t="str" cm="1">
        <f t="array" ref="G19">_xlfn.IFS(F19&lt;25,"18-24",F19&lt;35,"25-35",F19&lt;45,"35-44",F19&lt;55,"44-54",F19&gt;=55,"55+")</f>
        <v>25-35</v>
      </c>
      <c r="H19" t="s">
        <v>30</v>
      </c>
      <c r="I19">
        <v>1</v>
      </c>
      <c r="J19" t="str" cm="1">
        <f t="array" ref="J19">_xlfn.IFS(I19&lt;=0,"No Dependents",I19&lt;=1,"One",I19&lt;=2,"Two",I19&gt;=3,"Third")</f>
        <v>One</v>
      </c>
      <c r="K19">
        <v>562</v>
      </c>
      <c r="L19" t="str" cm="1">
        <f t="array" ref="L19">_xlfn.IFS(K19&lt;=580,"Poor",K19&lt;=670,"fair",K19&lt;=740,"Good",K19&lt;=800,"Very Good",K19&gt;=800,"Excellent")</f>
        <v>Poor</v>
      </c>
      <c r="M19">
        <v>4</v>
      </c>
      <c r="N19" t="str">
        <f t="shared" si="1"/>
        <v>Yes</v>
      </c>
      <c r="O19">
        <v>0.4</v>
      </c>
      <c r="P19" t="str" cm="1">
        <f t="array" ref="P19">_xlfn.IFS(O19&lt;=0.3,"Low Risk",O19&lt;=0.4,"medium Risk",O19&lt;=0.5,"High Risk",O19&gt;0.5,"Very High Risk")</f>
        <v>medium Risk</v>
      </c>
      <c r="Q19">
        <v>12878</v>
      </c>
      <c r="R19">
        <v>7351</v>
      </c>
      <c r="S19" t="str">
        <f t="shared" si="2"/>
        <v>Yes</v>
      </c>
      <c r="T19">
        <v>19170</v>
      </c>
      <c r="U19" t="str" cm="1">
        <f t="array" ref="U19">_xlfn.IFS(T19&lt;5000,"Small",T19&lt;20000,"Medium",T19&lt;35000,"Large",T19&gt;35000,"Very Large")</f>
        <v>Medium</v>
      </c>
      <c r="V19">
        <v>48</v>
      </c>
      <c r="W19">
        <f t="shared" si="3"/>
        <v>4</v>
      </c>
      <c r="X19" t="s">
        <v>47</v>
      </c>
      <c r="Y19" t="s">
        <v>32</v>
      </c>
      <c r="Z19" t="s">
        <v>39</v>
      </c>
      <c r="AA19" t="s">
        <v>40</v>
      </c>
      <c r="AB19" t="s">
        <v>35</v>
      </c>
      <c r="AC19" t="s">
        <v>36</v>
      </c>
    </row>
    <row r="20" spans="1:29" x14ac:dyDescent="0.25">
      <c r="A20">
        <v>19</v>
      </c>
      <c r="B20">
        <v>19568</v>
      </c>
      <c r="C20">
        <v>6809</v>
      </c>
      <c r="D20">
        <f t="shared" si="0"/>
        <v>26377</v>
      </c>
      <c r="E20" t="s">
        <v>29</v>
      </c>
      <c r="F20">
        <v>30</v>
      </c>
      <c r="G20" t="str" cm="1">
        <f t="array" ref="G20">_xlfn.IFS(F20&lt;25,"18-24",F20&lt;35,"25-35",F20&lt;45,"35-44",F20&lt;55,"44-54",F20&gt;=55,"55+")</f>
        <v>25-35</v>
      </c>
      <c r="H20" t="s">
        <v>30</v>
      </c>
      <c r="I20">
        <v>3</v>
      </c>
      <c r="J20" t="str" cm="1">
        <f t="array" ref="J20">_xlfn.IFS(I20&lt;=0,"No Dependents",I20&lt;=1,"One",I20&lt;=2,"Two",I20&gt;=3,"Third")</f>
        <v>Third</v>
      </c>
      <c r="K20">
        <v>589</v>
      </c>
      <c r="L20" t="str" cm="1">
        <f t="array" ref="L20">_xlfn.IFS(K20&lt;=580,"Poor",K20&lt;=670,"fair",K20&lt;=740,"Good",K20&lt;=800,"Very Good",K20&gt;=800,"Excellent")</f>
        <v>fair</v>
      </c>
      <c r="M20">
        <v>3</v>
      </c>
      <c r="N20" t="str">
        <f t="shared" si="1"/>
        <v>Yes</v>
      </c>
      <c r="O20">
        <v>0.46</v>
      </c>
      <c r="P20" t="str" cm="1">
        <f t="array" ref="P20">_xlfn.IFS(O20&lt;=0.3,"Low Risk",O20&lt;=0.4,"medium Risk",O20&lt;=0.5,"High Risk",O20&gt;0.5,"Very High Risk")</f>
        <v>High Risk</v>
      </c>
      <c r="Q20">
        <v>15120</v>
      </c>
      <c r="R20">
        <v>25921</v>
      </c>
      <c r="S20" t="str">
        <f t="shared" si="2"/>
        <v>Yes</v>
      </c>
      <c r="T20">
        <v>17259</v>
      </c>
      <c r="U20" t="str" cm="1">
        <f t="array" ref="U20">_xlfn.IFS(T20&lt;5000,"Small",T20&lt;20000,"Medium",T20&lt;35000,"Large",T20&gt;35000,"Very Large")</f>
        <v>Medium</v>
      </c>
      <c r="V20">
        <v>48</v>
      </c>
      <c r="W20">
        <f t="shared" si="3"/>
        <v>4</v>
      </c>
      <c r="X20" t="s">
        <v>47</v>
      </c>
      <c r="Y20" t="s">
        <v>45</v>
      </c>
      <c r="Z20" t="s">
        <v>33</v>
      </c>
      <c r="AA20" t="s">
        <v>34</v>
      </c>
      <c r="AB20" t="s">
        <v>35</v>
      </c>
      <c r="AC20" t="s">
        <v>36</v>
      </c>
    </row>
    <row r="21" spans="1:29" x14ac:dyDescent="0.25">
      <c r="A21">
        <v>20</v>
      </c>
      <c r="B21">
        <v>8396</v>
      </c>
      <c r="C21">
        <v>8633</v>
      </c>
      <c r="D21">
        <f t="shared" si="0"/>
        <v>17029</v>
      </c>
      <c r="E21" t="s">
        <v>52</v>
      </c>
      <c r="F21">
        <v>33</v>
      </c>
      <c r="G21" t="str" cm="1">
        <f t="array" ref="G21">_xlfn.IFS(F21&lt;25,"18-24",F21&lt;35,"25-35",F21&lt;45,"35-44",F21&lt;55,"44-54",F21&gt;=55,"55+")</f>
        <v>25-35</v>
      </c>
      <c r="H21" t="s">
        <v>41</v>
      </c>
      <c r="I21">
        <v>2</v>
      </c>
      <c r="J21" t="str" cm="1">
        <f t="array" ref="J21">_xlfn.IFS(I21&lt;=0,"No Dependents",I21&lt;=1,"One",I21&lt;=2,"Two",I21&gt;=3,"Third")</f>
        <v>Two</v>
      </c>
      <c r="K21">
        <v>638</v>
      </c>
      <c r="L21" t="str" cm="1">
        <f t="array" ref="L21">_xlfn.IFS(K21&lt;=580,"Poor",K21&lt;=670,"fair",K21&lt;=740,"Good",K21&lt;=800,"Very Good",K21&gt;=800,"Excellent")</f>
        <v>fair</v>
      </c>
      <c r="M21">
        <v>0</v>
      </c>
      <c r="N21" t="str">
        <f t="shared" si="1"/>
        <v>No</v>
      </c>
      <c r="O21">
        <v>0.56999999999999995</v>
      </c>
      <c r="P21" t="str" cm="1">
        <f t="array" ref="P21">_xlfn.IFS(O21&lt;=0.3,"Low Risk",O21&lt;=0.4,"medium Risk",O21&lt;=0.5,"High Risk",O21&gt;0.5,"Very High Risk")</f>
        <v>Very High Risk</v>
      </c>
      <c r="Q21">
        <v>1986</v>
      </c>
      <c r="R21">
        <v>19340</v>
      </c>
      <c r="S21" t="str">
        <f t="shared" si="2"/>
        <v>Yes</v>
      </c>
      <c r="T21">
        <v>23099</v>
      </c>
      <c r="U21" t="str" cm="1">
        <f t="array" ref="U21">_xlfn.IFS(T21&lt;5000,"Small",T21&lt;20000,"Medium",T21&lt;35000,"Large",T21&gt;35000,"Very Large")</f>
        <v>Large</v>
      </c>
      <c r="V21">
        <v>84</v>
      </c>
      <c r="W21">
        <f t="shared" si="3"/>
        <v>7</v>
      </c>
      <c r="X21" t="s">
        <v>37</v>
      </c>
      <c r="Y21" t="s">
        <v>32</v>
      </c>
      <c r="Z21" t="s">
        <v>39</v>
      </c>
      <c r="AA21" t="s">
        <v>40</v>
      </c>
      <c r="AB21" t="s">
        <v>35</v>
      </c>
      <c r="AC21" t="s">
        <v>36</v>
      </c>
    </row>
    <row r="22" spans="1:29" x14ac:dyDescent="0.25">
      <c r="A22">
        <v>21</v>
      </c>
      <c r="B22">
        <v>10666</v>
      </c>
      <c r="C22">
        <v>8996</v>
      </c>
      <c r="D22">
        <f t="shared" si="0"/>
        <v>19662</v>
      </c>
      <c r="E22" t="s">
        <v>48</v>
      </c>
      <c r="F22">
        <v>51</v>
      </c>
      <c r="G22" t="str" cm="1">
        <f t="array" ref="G22">_xlfn.IFS(F22&lt;25,"18-24",F22&lt;35,"25-35",F22&lt;45,"35-44",F22&lt;55,"44-54",F22&gt;=55,"55+")</f>
        <v>44-54</v>
      </c>
      <c r="H22" t="s">
        <v>30</v>
      </c>
      <c r="I22">
        <v>3</v>
      </c>
      <c r="J22" t="str" cm="1">
        <f t="array" ref="J22">_xlfn.IFS(I22&lt;=0,"No Dependents",I22&lt;=1,"One",I22&lt;=2,"Two",I22&gt;=3,"Third")</f>
        <v>Third</v>
      </c>
      <c r="K22">
        <v>617</v>
      </c>
      <c r="L22" t="str" cm="1">
        <f t="array" ref="L22">_xlfn.IFS(K22&lt;=580,"Poor",K22&lt;=670,"fair",K22&lt;=740,"Good",K22&lt;=800,"Very Good",K22&gt;=800,"Excellent")</f>
        <v>fair</v>
      </c>
      <c r="M22">
        <v>0</v>
      </c>
      <c r="N22" t="str">
        <f t="shared" si="1"/>
        <v>No</v>
      </c>
      <c r="O22">
        <v>0.54</v>
      </c>
      <c r="P22" t="str" cm="1">
        <f t="array" ref="P22">_xlfn.IFS(O22&lt;=0.3,"Low Risk",O22&lt;=0.4,"medium Risk",O22&lt;=0.5,"High Risk",O22&gt;0.5,"Very High Risk")</f>
        <v>Very High Risk</v>
      </c>
      <c r="Q22">
        <v>10825</v>
      </c>
      <c r="R22">
        <v>14901</v>
      </c>
      <c r="S22" t="str">
        <f t="shared" si="2"/>
        <v>Yes</v>
      </c>
      <c r="T22">
        <v>10649</v>
      </c>
      <c r="U22" t="str" cm="1">
        <f t="array" ref="U22">_xlfn.IFS(T22&lt;5000,"Small",T22&lt;20000,"Medium",T22&lt;35000,"Large",T22&gt;35000,"Very Large")</f>
        <v>Medium</v>
      </c>
      <c r="V22">
        <v>12</v>
      </c>
      <c r="W22">
        <f t="shared" si="3"/>
        <v>1</v>
      </c>
      <c r="X22" t="s">
        <v>42</v>
      </c>
      <c r="Y22" t="s">
        <v>45</v>
      </c>
      <c r="Z22" t="s">
        <v>39</v>
      </c>
      <c r="AA22" t="s">
        <v>40</v>
      </c>
      <c r="AB22" t="s">
        <v>51</v>
      </c>
      <c r="AC22" t="s">
        <v>36</v>
      </c>
    </row>
    <row r="23" spans="1:29" x14ac:dyDescent="0.25">
      <c r="A23">
        <v>22</v>
      </c>
      <c r="B23">
        <v>4747</v>
      </c>
      <c r="C23">
        <v>74</v>
      </c>
      <c r="D23">
        <f t="shared" si="0"/>
        <v>4821</v>
      </c>
      <c r="E23" t="s">
        <v>49</v>
      </c>
      <c r="F23">
        <v>50</v>
      </c>
      <c r="G23" t="str" cm="1">
        <f t="array" ref="G23">_xlfn.IFS(F23&lt;25,"18-24",F23&lt;35,"25-35",F23&lt;45,"35-44",F23&lt;55,"44-54",F23&gt;=55,"55+")</f>
        <v>44-54</v>
      </c>
      <c r="H23" t="s">
        <v>30</v>
      </c>
      <c r="I23">
        <v>1</v>
      </c>
      <c r="J23" t="str" cm="1">
        <f t="array" ref="J23">_xlfn.IFS(I23&lt;=0,"No Dependents",I23&lt;=1,"One",I23&lt;=2,"Two",I23&gt;=3,"Third")</f>
        <v>One</v>
      </c>
      <c r="K23">
        <v>591</v>
      </c>
      <c r="L23" t="str" cm="1">
        <f t="array" ref="L23">_xlfn.IFS(K23&lt;=580,"Poor",K23&lt;=670,"fair",K23&lt;=740,"Good",K23&lt;=800,"Very Good",K23&gt;=800,"Excellent")</f>
        <v>fair</v>
      </c>
      <c r="M23">
        <v>0</v>
      </c>
      <c r="N23" t="str">
        <f t="shared" si="1"/>
        <v>No</v>
      </c>
      <c r="O23">
        <v>0.36</v>
      </c>
      <c r="P23" t="str" cm="1">
        <f t="array" ref="P23">_xlfn.IFS(O23&lt;=0.3,"Low Risk",O23&lt;=0.4,"medium Risk",O23&lt;=0.5,"High Risk",O23&gt;0.5,"Very High Risk")</f>
        <v>medium Risk</v>
      </c>
      <c r="Q23">
        <v>9193</v>
      </c>
      <c r="R23">
        <v>0</v>
      </c>
      <c r="S23" t="str">
        <f t="shared" si="2"/>
        <v>No</v>
      </c>
      <c r="T23">
        <v>31255</v>
      </c>
      <c r="U23" t="str" cm="1">
        <f t="array" ref="U23">_xlfn.IFS(T23&lt;5000,"Small",T23&lt;20000,"Medium",T23&lt;35000,"Large",T23&gt;35000,"Very Large")</f>
        <v>Large</v>
      </c>
      <c r="V23">
        <v>60</v>
      </c>
      <c r="W23">
        <f t="shared" si="3"/>
        <v>5</v>
      </c>
      <c r="X23" t="s">
        <v>37</v>
      </c>
      <c r="Y23" t="s">
        <v>32</v>
      </c>
      <c r="Z23" t="s">
        <v>39</v>
      </c>
      <c r="AA23" t="s">
        <v>40</v>
      </c>
      <c r="AB23" t="s">
        <v>42</v>
      </c>
      <c r="AC23" t="s">
        <v>36</v>
      </c>
    </row>
    <row r="24" spans="1:29" x14ac:dyDescent="0.25">
      <c r="A24">
        <v>23</v>
      </c>
      <c r="B24">
        <v>2189</v>
      </c>
      <c r="C24">
        <v>6981</v>
      </c>
      <c r="D24">
        <f t="shared" si="0"/>
        <v>9170</v>
      </c>
      <c r="E24" t="s">
        <v>29</v>
      </c>
      <c r="F24">
        <v>23</v>
      </c>
      <c r="G24" t="str" cm="1">
        <f t="array" ref="G24">_xlfn.IFS(F24&lt;25,"18-24",F24&lt;35,"25-35",F24&lt;45,"35-44",F24&lt;55,"44-54",F24&gt;=55,"55+")</f>
        <v>18-24</v>
      </c>
      <c r="H24" t="s">
        <v>30</v>
      </c>
      <c r="I24">
        <v>3</v>
      </c>
      <c r="J24" t="str" cm="1">
        <f t="array" ref="J24">_xlfn.IFS(I24&lt;=0,"No Dependents",I24&lt;=1,"One",I24&lt;=2,"Two",I24&gt;=3,"Third")</f>
        <v>Third</v>
      </c>
      <c r="K24">
        <v>696</v>
      </c>
      <c r="L24" t="str" cm="1">
        <f t="array" ref="L24">_xlfn.IFS(K24&lt;=580,"Poor",K24&lt;=670,"fair",K24&lt;=740,"Good",K24&lt;=800,"Very Good",K24&gt;=800,"Excellent")</f>
        <v>Good</v>
      </c>
      <c r="M24">
        <v>0</v>
      </c>
      <c r="N24" t="str">
        <f t="shared" si="1"/>
        <v>No</v>
      </c>
      <c r="O24">
        <v>0.49</v>
      </c>
      <c r="P24" t="str" cm="1">
        <f t="array" ref="P24">_xlfn.IFS(O24&lt;=0.3,"Low Risk",O24&lt;=0.4,"medium Risk",O24&lt;=0.5,"High Risk",O24&gt;0.5,"Very High Risk")</f>
        <v>High Risk</v>
      </c>
      <c r="Q24">
        <v>17430</v>
      </c>
      <c r="R24">
        <v>38596</v>
      </c>
      <c r="S24" t="str">
        <f t="shared" si="2"/>
        <v>Yes</v>
      </c>
      <c r="T24">
        <v>12805</v>
      </c>
      <c r="U24" t="str" cm="1">
        <f t="array" ref="U24">_xlfn.IFS(T24&lt;5000,"Small",T24&lt;20000,"Medium",T24&lt;35000,"Large",T24&gt;35000,"Very Large")</f>
        <v>Medium</v>
      </c>
      <c r="V24">
        <v>84</v>
      </c>
      <c r="W24">
        <f t="shared" si="3"/>
        <v>7</v>
      </c>
      <c r="X24" t="s">
        <v>42</v>
      </c>
      <c r="Y24" t="s">
        <v>32</v>
      </c>
      <c r="Z24" t="s">
        <v>39</v>
      </c>
      <c r="AA24" t="s">
        <v>40</v>
      </c>
      <c r="AB24" t="s">
        <v>43</v>
      </c>
      <c r="AC24" t="s">
        <v>36</v>
      </c>
    </row>
    <row r="25" spans="1:29" x14ac:dyDescent="0.25">
      <c r="A25">
        <v>24</v>
      </c>
      <c r="B25">
        <v>5005</v>
      </c>
      <c r="C25">
        <v>5475</v>
      </c>
      <c r="D25">
        <f t="shared" si="0"/>
        <v>10480</v>
      </c>
      <c r="E25" t="s">
        <v>29</v>
      </c>
      <c r="F25">
        <v>50</v>
      </c>
      <c r="G25" t="str" cm="1">
        <f t="array" ref="G25">_xlfn.IFS(F25&lt;25,"18-24",F25&lt;35,"25-35",F25&lt;45,"35-44",F25&lt;55,"44-54",F25&gt;=55,"55+")</f>
        <v>44-54</v>
      </c>
      <c r="H25" t="s">
        <v>41</v>
      </c>
      <c r="I25">
        <v>3</v>
      </c>
      <c r="J25" t="str" cm="1">
        <f t="array" ref="J25">_xlfn.IFS(I25&lt;=0,"No Dependents",I25&lt;=1,"One",I25&lt;=2,"Two",I25&gt;=3,"Third")</f>
        <v>Third</v>
      </c>
      <c r="K25">
        <v>759</v>
      </c>
      <c r="L25" t="str" cm="1">
        <f t="array" ref="L25">_xlfn.IFS(K25&lt;=580,"Poor",K25&lt;=670,"fair",K25&lt;=740,"Good",K25&lt;=800,"Very Good",K25&gt;=800,"Excellent")</f>
        <v>Very Good</v>
      </c>
      <c r="M25">
        <v>0</v>
      </c>
      <c r="N25" t="str">
        <f t="shared" si="1"/>
        <v>No</v>
      </c>
      <c r="O25">
        <v>0.38</v>
      </c>
      <c r="P25" t="str" cm="1">
        <f t="array" ref="P25">_xlfn.IFS(O25&lt;=0.3,"Low Risk",O25&lt;=0.4,"medium Risk",O25&lt;=0.5,"High Risk",O25&gt;0.5,"Very High Risk")</f>
        <v>medium Risk</v>
      </c>
      <c r="Q25">
        <v>2176</v>
      </c>
      <c r="R25">
        <v>21378</v>
      </c>
      <c r="S25" t="str">
        <f t="shared" si="2"/>
        <v>Yes</v>
      </c>
      <c r="T25">
        <v>9744</v>
      </c>
      <c r="U25" t="str" cm="1">
        <f t="array" ref="U25">_xlfn.IFS(T25&lt;5000,"Small",T25&lt;20000,"Medium",T25&lt;35000,"Large",T25&gt;35000,"Very Large")</f>
        <v>Medium</v>
      </c>
      <c r="V25">
        <v>24</v>
      </c>
      <c r="W25">
        <f t="shared" si="3"/>
        <v>2</v>
      </c>
      <c r="X25" t="s">
        <v>47</v>
      </c>
      <c r="Y25" t="s">
        <v>32</v>
      </c>
      <c r="Z25" t="s">
        <v>39</v>
      </c>
      <c r="AA25" t="s">
        <v>34</v>
      </c>
      <c r="AB25" t="s">
        <v>35</v>
      </c>
      <c r="AC25" t="s">
        <v>44</v>
      </c>
    </row>
    <row r="26" spans="1:29" x14ac:dyDescent="0.25">
      <c r="A26">
        <v>26</v>
      </c>
      <c r="B26">
        <v>3267</v>
      </c>
      <c r="C26">
        <v>0</v>
      </c>
      <c r="D26">
        <f t="shared" si="0"/>
        <v>3267</v>
      </c>
      <c r="E26" t="s">
        <v>29</v>
      </c>
      <c r="F26">
        <v>49</v>
      </c>
      <c r="G26" t="str" cm="1">
        <f t="array" ref="G26">_xlfn.IFS(F26&lt;25,"18-24",F26&lt;35,"25-35",F26&lt;45,"35-44",F26&lt;55,"44-54",F26&gt;=55,"55+")</f>
        <v>44-54</v>
      </c>
      <c r="H26" t="s">
        <v>30</v>
      </c>
      <c r="I26">
        <v>2</v>
      </c>
      <c r="J26" t="str" cm="1">
        <f t="array" ref="J26">_xlfn.IFS(I26&lt;=0,"No Dependents",I26&lt;=1,"One",I26&lt;=2,"Two",I26&gt;=3,"Third")</f>
        <v>Two</v>
      </c>
      <c r="K26">
        <v>643</v>
      </c>
      <c r="L26" t="str" cm="1">
        <f t="array" ref="L26">_xlfn.IFS(K26&lt;=580,"Poor",K26&lt;=670,"fair",K26&lt;=740,"Good",K26&lt;=800,"Very Good",K26&gt;=800,"Excellent")</f>
        <v>fair</v>
      </c>
      <c r="M26">
        <v>4</v>
      </c>
      <c r="N26" t="str">
        <f t="shared" si="1"/>
        <v>Yes</v>
      </c>
      <c r="O26">
        <v>0.16</v>
      </c>
      <c r="P26" t="str" cm="1">
        <f t="array" ref="P26">_xlfn.IFS(O26&lt;=0.3,"Low Risk",O26&lt;=0.4,"medium Risk",O26&lt;=0.5,"High Risk",O26&gt;0.5,"Very High Risk")</f>
        <v>Low Risk</v>
      </c>
      <c r="Q26">
        <v>10047</v>
      </c>
      <c r="R26">
        <v>22820</v>
      </c>
      <c r="S26" t="str">
        <f t="shared" si="2"/>
        <v>Yes</v>
      </c>
      <c r="T26">
        <v>26857</v>
      </c>
      <c r="U26" t="str" cm="1">
        <f t="array" ref="U26">_xlfn.IFS(T26&lt;5000,"Small",T26&lt;20000,"Medium",T26&lt;35000,"Large",T26&gt;35000,"Very Large")</f>
        <v>Large</v>
      </c>
      <c r="V26">
        <v>72</v>
      </c>
      <c r="W26">
        <f t="shared" si="3"/>
        <v>6</v>
      </c>
      <c r="X26" t="s">
        <v>42</v>
      </c>
      <c r="Y26" t="s">
        <v>45</v>
      </c>
      <c r="Z26" t="s">
        <v>39</v>
      </c>
      <c r="AA26" t="s">
        <v>40</v>
      </c>
      <c r="AB26" t="s">
        <v>43</v>
      </c>
      <c r="AC26" t="s">
        <v>36</v>
      </c>
    </row>
    <row r="27" spans="1:29" x14ac:dyDescent="0.25">
      <c r="A27">
        <v>27</v>
      </c>
      <c r="B27">
        <v>19912</v>
      </c>
      <c r="C27">
        <v>5796</v>
      </c>
      <c r="D27">
        <f t="shared" si="0"/>
        <v>25708</v>
      </c>
      <c r="E27" t="s">
        <v>49</v>
      </c>
      <c r="F27">
        <v>28</v>
      </c>
      <c r="G27" t="str" cm="1">
        <f t="array" ref="G27">_xlfn.IFS(F27&lt;25,"18-24",F27&lt;35,"25-35",F27&lt;45,"35-44",F27&lt;55,"44-54",F27&gt;=55,"55+")</f>
        <v>25-35</v>
      </c>
      <c r="H27" t="s">
        <v>41</v>
      </c>
      <c r="I27">
        <v>1</v>
      </c>
      <c r="J27" t="str" cm="1">
        <f t="array" ref="J27">_xlfn.IFS(I27&lt;=0,"No Dependents",I27&lt;=1,"One",I27&lt;=2,"Two",I27&gt;=3,"Third")</f>
        <v>One</v>
      </c>
      <c r="K27">
        <v>568</v>
      </c>
      <c r="L27" t="str" cm="1">
        <f t="array" ref="L27">_xlfn.IFS(K27&lt;=580,"Poor",K27&lt;=670,"fair",K27&lt;=740,"Good",K27&lt;=800,"Very Good",K27&gt;=800,"Excellent")</f>
        <v>Poor</v>
      </c>
      <c r="M27">
        <v>1</v>
      </c>
      <c r="N27" t="str">
        <f t="shared" si="1"/>
        <v>Yes</v>
      </c>
      <c r="O27">
        <v>0.16</v>
      </c>
      <c r="P27" t="str" cm="1">
        <f t="array" ref="P27">_xlfn.IFS(O27&lt;=0.3,"Low Risk",O27&lt;=0.4,"medium Risk",O27&lt;=0.5,"High Risk",O27&gt;0.5,"Very High Risk")</f>
        <v>Low Risk</v>
      </c>
      <c r="Q27">
        <v>16884</v>
      </c>
      <c r="R27">
        <v>25060</v>
      </c>
      <c r="S27" t="str">
        <f t="shared" si="2"/>
        <v>Yes</v>
      </c>
      <c r="T27">
        <v>11679</v>
      </c>
      <c r="U27" t="str" cm="1">
        <f t="array" ref="U27">_xlfn.IFS(T27&lt;5000,"Small",T27&lt;20000,"Medium",T27&lt;35000,"Large",T27&gt;35000,"Very Large")</f>
        <v>Medium</v>
      </c>
      <c r="V27">
        <v>84</v>
      </c>
      <c r="W27">
        <f t="shared" si="3"/>
        <v>7</v>
      </c>
      <c r="X27" t="s">
        <v>31</v>
      </c>
      <c r="Y27" t="s">
        <v>32</v>
      </c>
      <c r="Z27" t="s">
        <v>39</v>
      </c>
      <c r="AA27" t="s">
        <v>40</v>
      </c>
      <c r="AB27" t="s">
        <v>43</v>
      </c>
      <c r="AC27" t="s">
        <v>36</v>
      </c>
    </row>
    <row r="28" spans="1:29" x14ac:dyDescent="0.25">
      <c r="A28">
        <v>28</v>
      </c>
      <c r="B28">
        <v>13394</v>
      </c>
      <c r="C28">
        <v>7141</v>
      </c>
      <c r="D28">
        <f t="shared" si="0"/>
        <v>20535</v>
      </c>
      <c r="E28" t="s">
        <v>52</v>
      </c>
      <c r="F28">
        <v>53</v>
      </c>
      <c r="G28" t="str" cm="1">
        <f t="array" ref="G28">_xlfn.IFS(F28&lt;25,"18-24",F28&lt;35,"25-35",F28&lt;45,"35-44",F28&lt;55,"44-54",F28&gt;=55,"55+")</f>
        <v>44-54</v>
      </c>
      <c r="H28" t="s">
        <v>30</v>
      </c>
      <c r="I28">
        <v>0</v>
      </c>
      <c r="J28" t="str" cm="1">
        <f t="array" ref="J28">_xlfn.IFS(I28&lt;=0,"No Dependents",I28&lt;=1,"One",I28&lt;=2,"Two",I28&gt;=3,"Third")</f>
        <v>No Dependents</v>
      </c>
      <c r="K28">
        <v>735</v>
      </c>
      <c r="L28" t="str" cm="1">
        <f t="array" ref="L28">_xlfn.IFS(K28&lt;=580,"Poor",K28&lt;=670,"fair",K28&lt;=740,"Good",K28&lt;=800,"Very Good",K28&gt;=800,"Excellent")</f>
        <v>Good</v>
      </c>
      <c r="M28">
        <v>4</v>
      </c>
      <c r="N28" t="str">
        <f t="shared" si="1"/>
        <v>Yes</v>
      </c>
      <c r="O28">
        <v>0.36</v>
      </c>
      <c r="P28" t="str" cm="1">
        <f t="array" ref="P28">_xlfn.IFS(O28&lt;=0.3,"Low Risk",O28&lt;=0.4,"medium Risk",O28&lt;=0.5,"High Risk",O28&gt;0.5,"Very High Risk")</f>
        <v>medium Risk</v>
      </c>
      <c r="Q28">
        <v>18617</v>
      </c>
      <c r="R28">
        <v>32642</v>
      </c>
      <c r="S28" t="str">
        <f t="shared" si="2"/>
        <v>Yes</v>
      </c>
      <c r="T28">
        <v>30829</v>
      </c>
      <c r="U28" t="str" cm="1">
        <f t="array" ref="U28">_xlfn.IFS(T28&lt;5000,"Small",T28&lt;20000,"Medium",T28&lt;35000,"Large",T28&gt;35000,"Very Large")</f>
        <v>Large</v>
      </c>
      <c r="V28">
        <v>84</v>
      </c>
      <c r="W28">
        <f t="shared" si="3"/>
        <v>7</v>
      </c>
      <c r="X28" t="s">
        <v>37</v>
      </c>
      <c r="Y28" t="s">
        <v>32</v>
      </c>
      <c r="Z28" t="s">
        <v>33</v>
      </c>
      <c r="AA28" t="s">
        <v>40</v>
      </c>
      <c r="AB28" t="s">
        <v>35</v>
      </c>
      <c r="AC28" t="s">
        <v>44</v>
      </c>
    </row>
    <row r="29" spans="1:29" x14ac:dyDescent="0.25">
      <c r="A29">
        <v>29</v>
      </c>
      <c r="B29">
        <v>5556</v>
      </c>
      <c r="C29">
        <v>1622</v>
      </c>
      <c r="D29">
        <f t="shared" si="0"/>
        <v>7178</v>
      </c>
      <c r="E29" t="s">
        <v>29</v>
      </c>
      <c r="F29">
        <v>37</v>
      </c>
      <c r="G29" t="str" cm="1">
        <f t="array" ref="G29">_xlfn.IFS(F29&lt;25,"18-24",F29&lt;35,"25-35",F29&lt;45,"35-44",F29&lt;55,"44-54",F29&gt;=55,"55+")</f>
        <v>35-44</v>
      </c>
      <c r="H29" t="s">
        <v>30</v>
      </c>
      <c r="I29">
        <v>0</v>
      </c>
      <c r="J29" t="str" cm="1">
        <f t="array" ref="J29">_xlfn.IFS(I29&lt;=0,"No Dependents",I29&lt;=1,"One",I29&lt;=2,"Two",I29&gt;=3,"Third")</f>
        <v>No Dependents</v>
      </c>
      <c r="K29">
        <v>572</v>
      </c>
      <c r="L29" t="str" cm="1">
        <f t="array" ref="L29">_xlfn.IFS(K29&lt;=580,"Poor",K29&lt;=670,"fair",K29&lt;=740,"Good",K29&lt;=800,"Very Good",K29&gt;=800,"Excellent")</f>
        <v>Poor</v>
      </c>
      <c r="M29">
        <v>2</v>
      </c>
      <c r="N29" t="str">
        <f t="shared" si="1"/>
        <v>Yes</v>
      </c>
      <c r="O29">
        <v>0.23</v>
      </c>
      <c r="P29" t="str" cm="1">
        <f t="array" ref="P29">_xlfn.IFS(O29&lt;=0.3,"Low Risk",O29&lt;=0.4,"medium Risk",O29&lt;=0.5,"High Risk",O29&gt;0.5,"Very High Risk")</f>
        <v>Low Risk</v>
      </c>
      <c r="Q29">
        <v>4608</v>
      </c>
      <c r="R29">
        <v>25378</v>
      </c>
      <c r="S29" t="str">
        <f t="shared" si="2"/>
        <v>Yes</v>
      </c>
      <c r="T29">
        <v>11985</v>
      </c>
      <c r="U29" t="str" cm="1">
        <f t="array" ref="U29">_xlfn.IFS(T29&lt;5000,"Small",T29&lt;20000,"Medium",T29&lt;35000,"Large",T29&gt;35000,"Very Large")</f>
        <v>Medium</v>
      </c>
      <c r="V29">
        <v>60</v>
      </c>
      <c r="W29">
        <f t="shared" si="3"/>
        <v>5</v>
      </c>
      <c r="X29" t="s">
        <v>42</v>
      </c>
      <c r="Y29" t="s">
        <v>32</v>
      </c>
      <c r="Z29" t="s">
        <v>33</v>
      </c>
      <c r="AA29" t="s">
        <v>40</v>
      </c>
      <c r="AB29" t="s">
        <v>48</v>
      </c>
      <c r="AC29" t="s">
        <v>36</v>
      </c>
    </row>
    <row r="30" spans="1:29" x14ac:dyDescent="0.25">
      <c r="A30">
        <v>30</v>
      </c>
      <c r="B30">
        <v>5890</v>
      </c>
      <c r="C30">
        <v>8041</v>
      </c>
      <c r="D30">
        <f t="shared" si="0"/>
        <v>13931</v>
      </c>
      <c r="E30" t="s">
        <v>29</v>
      </c>
      <c r="F30">
        <v>31</v>
      </c>
      <c r="G30" t="str" cm="1">
        <f t="array" ref="G30">_xlfn.IFS(F30&lt;25,"18-24",F30&lt;35,"25-35",F30&lt;45,"35-44",F30&lt;55,"44-54",F30&gt;=55,"55+")</f>
        <v>25-35</v>
      </c>
      <c r="H30" t="s">
        <v>30</v>
      </c>
      <c r="I30">
        <v>0</v>
      </c>
      <c r="J30" t="str" cm="1">
        <f t="array" ref="J30">_xlfn.IFS(I30&lt;=0,"No Dependents",I30&lt;=1,"One",I30&lt;=2,"Two",I30&gt;=3,"Third")</f>
        <v>No Dependents</v>
      </c>
      <c r="K30">
        <v>603</v>
      </c>
      <c r="L30" t="str" cm="1">
        <f t="array" ref="L30">_xlfn.IFS(K30&lt;=580,"Poor",K30&lt;=670,"fair",K30&lt;=740,"Good",K30&lt;=800,"Very Good",K30&gt;=800,"Excellent")</f>
        <v>fair</v>
      </c>
      <c r="M30">
        <v>0</v>
      </c>
      <c r="N30" t="str">
        <f t="shared" si="1"/>
        <v>No</v>
      </c>
      <c r="O30">
        <v>0.11</v>
      </c>
      <c r="P30" t="str" cm="1">
        <f t="array" ref="P30">_xlfn.IFS(O30&lt;=0.3,"Low Risk",O30&lt;=0.4,"medium Risk",O30&lt;=0.5,"High Risk",O30&gt;0.5,"Very High Risk")</f>
        <v>Low Risk</v>
      </c>
      <c r="Q30">
        <v>11906</v>
      </c>
      <c r="R30">
        <v>8150</v>
      </c>
      <c r="S30" t="str">
        <f t="shared" si="2"/>
        <v>Yes</v>
      </c>
      <c r="T30">
        <v>29287</v>
      </c>
      <c r="U30" t="str" cm="1">
        <f t="array" ref="U30">_xlfn.IFS(T30&lt;5000,"Small",T30&lt;20000,"Medium",T30&lt;35000,"Large",T30&gt;35000,"Very Large")</f>
        <v>Large</v>
      </c>
      <c r="V30">
        <v>12</v>
      </c>
      <c r="W30">
        <f t="shared" si="3"/>
        <v>1</v>
      </c>
      <c r="X30" t="s">
        <v>37</v>
      </c>
      <c r="Y30" t="s">
        <v>45</v>
      </c>
      <c r="Z30" t="s">
        <v>33</v>
      </c>
      <c r="AA30" t="s">
        <v>34</v>
      </c>
      <c r="AB30" t="s">
        <v>43</v>
      </c>
      <c r="AC30" t="s">
        <v>36</v>
      </c>
    </row>
    <row r="31" spans="1:29" x14ac:dyDescent="0.25">
      <c r="A31">
        <v>31</v>
      </c>
      <c r="B31">
        <v>10838</v>
      </c>
      <c r="C31">
        <v>341</v>
      </c>
      <c r="D31">
        <f t="shared" si="0"/>
        <v>11179</v>
      </c>
      <c r="E31" t="s">
        <v>29</v>
      </c>
      <c r="F31">
        <v>33</v>
      </c>
      <c r="G31" t="str" cm="1">
        <f t="array" ref="G31">_xlfn.IFS(F31&lt;25,"18-24",F31&lt;35,"25-35",F31&lt;45,"35-44",F31&lt;55,"44-54",F31&gt;=55,"55+")</f>
        <v>25-35</v>
      </c>
      <c r="H31" t="s">
        <v>30</v>
      </c>
      <c r="I31">
        <v>0</v>
      </c>
      <c r="J31" t="str" cm="1">
        <f t="array" ref="J31">_xlfn.IFS(I31&lt;=0,"No Dependents",I31&lt;=1,"One",I31&lt;=2,"Two",I31&gt;=3,"Third")</f>
        <v>No Dependents</v>
      </c>
      <c r="K31">
        <v>757</v>
      </c>
      <c r="L31" t="str" cm="1">
        <f t="array" ref="L31">_xlfn.IFS(K31&lt;=580,"Poor",K31&lt;=670,"fair",K31&lt;=740,"Good",K31&lt;=800,"Very Good",K31&gt;=800,"Excellent")</f>
        <v>Very Good</v>
      </c>
      <c r="M31">
        <v>2</v>
      </c>
      <c r="N31" t="str">
        <f t="shared" si="1"/>
        <v>Yes</v>
      </c>
      <c r="O31">
        <v>0.46</v>
      </c>
      <c r="P31" t="str" cm="1">
        <f t="array" ref="P31">_xlfn.IFS(O31&lt;=0.3,"Low Risk",O31&lt;=0.4,"medium Risk",O31&lt;=0.5,"High Risk",O31&gt;0.5,"Very High Risk")</f>
        <v>High Risk</v>
      </c>
      <c r="Q31">
        <v>7234</v>
      </c>
      <c r="R31">
        <v>0</v>
      </c>
      <c r="S31" t="str">
        <f t="shared" si="2"/>
        <v>No</v>
      </c>
      <c r="T31">
        <v>13391</v>
      </c>
      <c r="U31" t="str" cm="1">
        <f t="array" ref="U31">_xlfn.IFS(T31&lt;5000,"Small",T31&lt;20000,"Medium",T31&lt;35000,"Large",T31&gt;35000,"Very Large")</f>
        <v>Medium</v>
      </c>
      <c r="V31">
        <v>84</v>
      </c>
      <c r="W31">
        <f t="shared" si="3"/>
        <v>7</v>
      </c>
      <c r="X31" t="s">
        <v>31</v>
      </c>
      <c r="Y31" t="s">
        <v>38</v>
      </c>
      <c r="Z31" t="s">
        <v>39</v>
      </c>
      <c r="AA31" t="s">
        <v>34</v>
      </c>
      <c r="AB31" t="s">
        <v>48</v>
      </c>
      <c r="AC31" t="s">
        <v>36</v>
      </c>
    </row>
    <row r="32" spans="1:29" x14ac:dyDescent="0.25">
      <c r="A32">
        <v>33</v>
      </c>
      <c r="B32">
        <v>12627</v>
      </c>
      <c r="C32">
        <v>0</v>
      </c>
      <c r="D32">
        <f t="shared" si="0"/>
        <v>12627</v>
      </c>
      <c r="E32" t="s">
        <v>49</v>
      </c>
      <c r="F32">
        <v>51</v>
      </c>
      <c r="G32" t="str" cm="1">
        <f t="array" ref="G32">_xlfn.IFS(F32&lt;25,"18-24",F32&lt;35,"25-35",F32&lt;45,"35-44",F32&lt;55,"44-54",F32&gt;=55,"55+")</f>
        <v>44-54</v>
      </c>
      <c r="H32" t="s">
        <v>41</v>
      </c>
      <c r="I32">
        <v>2</v>
      </c>
      <c r="J32" t="str" cm="1">
        <f t="array" ref="J32">_xlfn.IFS(I32&lt;=0,"No Dependents",I32&lt;=1,"One",I32&lt;=2,"Two",I32&gt;=3,"Third")</f>
        <v>Two</v>
      </c>
      <c r="K32">
        <v>689</v>
      </c>
      <c r="L32" t="str" cm="1">
        <f t="array" ref="L32">_xlfn.IFS(K32&lt;=580,"Poor",K32&lt;=670,"fair",K32&lt;=740,"Good",K32&lt;=800,"Very Good",K32&gt;=800,"Excellent")</f>
        <v>Good</v>
      </c>
      <c r="M32">
        <v>3</v>
      </c>
      <c r="N32" t="str">
        <f t="shared" si="1"/>
        <v>Yes</v>
      </c>
      <c r="O32">
        <v>0.4</v>
      </c>
      <c r="P32" t="str" cm="1">
        <f t="array" ref="P32">_xlfn.IFS(O32&lt;=0.3,"Low Risk",O32&lt;=0.4,"medium Risk",O32&lt;=0.5,"High Risk",O32&gt;0.5,"Very High Risk")</f>
        <v>medium Risk</v>
      </c>
      <c r="Q32">
        <v>10524</v>
      </c>
      <c r="R32">
        <v>34525</v>
      </c>
      <c r="S32" t="str">
        <f t="shared" si="2"/>
        <v>Yes</v>
      </c>
      <c r="T32">
        <v>35364</v>
      </c>
      <c r="U32" t="str" cm="1">
        <f t="array" ref="U32">_xlfn.IFS(T32&lt;5000,"Small",T32&lt;20000,"Medium",T32&lt;35000,"Large",T32&gt;35000,"Very Large")</f>
        <v>Very Large</v>
      </c>
      <c r="V32">
        <v>60</v>
      </c>
      <c r="W32">
        <f t="shared" si="3"/>
        <v>5</v>
      </c>
      <c r="X32" t="s">
        <v>50</v>
      </c>
      <c r="Y32" t="s">
        <v>45</v>
      </c>
      <c r="Z32" t="s">
        <v>33</v>
      </c>
      <c r="AA32" t="s">
        <v>40</v>
      </c>
      <c r="AB32" t="s">
        <v>35</v>
      </c>
      <c r="AC32" t="s">
        <v>36</v>
      </c>
    </row>
    <row r="33" spans="1:29" x14ac:dyDescent="0.25">
      <c r="A33">
        <v>34</v>
      </c>
      <c r="B33">
        <v>10792</v>
      </c>
      <c r="C33">
        <v>645</v>
      </c>
      <c r="D33">
        <f t="shared" si="0"/>
        <v>11437</v>
      </c>
      <c r="E33" t="s">
        <v>29</v>
      </c>
      <c r="F33">
        <v>48</v>
      </c>
      <c r="G33" t="str" cm="1">
        <f t="array" ref="G33">_xlfn.IFS(F33&lt;25,"18-24",F33&lt;35,"25-35",F33&lt;45,"35-44",F33&lt;55,"44-54",F33&gt;=55,"55+")</f>
        <v>44-54</v>
      </c>
      <c r="H33" t="s">
        <v>30</v>
      </c>
      <c r="I33">
        <v>1</v>
      </c>
      <c r="J33" t="str" cm="1">
        <f t="array" ref="J33">_xlfn.IFS(I33&lt;=0,"No Dependents",I33&lt;=1,"One",I33&lt;=2,"Two",I33&gt;=3,"Third")</f>
        <v>One</v>
      </c>
      <c r="K33">
        <v>573</v>
      </c>
      <c r="L33" t="str" cm="1">
        <f t="array" ref="L33">_xlfn.IFS(K33&lt;=580,"Poor",K33&lt;=670,"fair",K33&lt;=740,"Good",K33&lt;=800,"Very Good",K33&gt;=800,"Excellent")</f>
        <v>Poor</v>
      </c>
      <c r="M33">
        <v>4</v>
      </c>
      <c r="N33" t="str">
        <f t="shared" si="1"/>
        <v>Yes</v>
      </c>
      <c r="O33">
        <v>0.37</v>
      </c>
      <c r="P33" t="str" cm="1">
        <f t="array" ref="P33">_xlfn.IFS(O33&lt;=0.3,"Low Risk",O33&lt;=0.4,"medium Risk",O33&lt;=0.5,"High Risk",O33&gt;0.5,"Very High Risk")</f>
        <v>medium Risk</v>
      </c>
      <c r="Q33">
        <v>16984</v>
      </c>
      <c r="R33">
        <v>18193</v>
      </c>
      <c r="S33" t="str">
        <f t="shared" si="2"/>
        <v>Yes</v>
      </c>
      <c r="T33">
        <v>17863</v>
      </c>
      <c r="U33" t="str" cm="1">
        <f t="array" ref="U33">_xlfn.IFS(T33&lt;5000,"Small",T33&lt;20000,"Medium",T33&lt;35000,"Large",T33&gt;35000,"Very Large")</f>
        <v>Medium</v>
      </c>
      <c r="V33">
        <v>24</v>
      </c>
      <c r="W33">
        <f t="shared" si="3"/>
        <v>2</v>
      </c>
      <c r="X33" t="s">
        <v>42</v>
      </c>
      <c r="Y33" t="s">
        <v>32</v>
      </c>
      <c r="Z33" t="s">
        <v>39</v>
      </c>
      <c r="AA33" t="s">
        <v>40</v>
      </c>
      <c r="AB33" t="s">
        <v>35</v>
      </c>
      <c r="AC33" t="s">
        <v>36</v>
      </c>
    </row>
    <row r="34" spans="1:29" x14ac:dyDescent="0.25">
      <c r="A34">
        <v>35</v>
      </c>
      <c r="B34">
        <v>12555</v>
      </c>
      <c r="C34">
        <v>4263</v>
      </c>
      <c r="D34">
        <f t="shared" si="0"/>
        <v>16818</v>
      </c>
      <c r="E34" t="s">
        <v>49</v>
      </c>
      <c r="F34">
        <v>26</v>
      </c>
      <c r="G34" t="str" cm="1">
        <f t="array" ref="G34">_xlfn.IFS(F34&lt;25,"18-24",F34&lt;35,"25-35",F34&lt;45,"35-44",F34&lt;55,"44-54",F34&gt;=55,"55+")</f>
        <v>25-35</v>
      </c>
      <c r="H34" t="s">
        <v>30</v>
      </c>
      <c r="I34">
        <v>1</v>
      </c>
      <c r="J34" t="str" cm="1">
        <f t="array" ref="J34">_xlfn.IFS(I34&lt;=0,"No Dependents",I34&lt;=1,"One",I34&lt;=2,"Two",I34&gt;=3,"Third")</f>
        <v>One</v>
      </c>
      <c r="K34">
        <v>583</v>
      </c>
      <c r="L34" t="str" cm="1">
        <f t="array" ref="L34">_xlfn.IFS(K34&lt;=580,"Poor",K34&lt;=670,"fair",K34&lt;=740,"Good",K34&lt;=800,"Very Good",K34&gt;=800,"Excellent")</f>
        <v>fair</v>
      </c>
      <c r="M34">
        <v>4</v>
      </c>
      <c r="N34" t="str">
        <f t="shared" si="1"/>
        <v>Yes</v>
      </c>
      <c r="O34">
        <v>0.57999999999999996</v>
      </c>
      <c r="P34" t="str" cm="1">
        <f t="array" ref="P34">_xlfn.IFS(O34&lt;=0.3,"Low Risk",O34&lt;=0.4,"medium Risk",O34&lt;=0.5,"High Risk",O34&gt;0.5,"Very High Risk")</f>
        <v>Very High Risk</v>
      </c>
      <c r="Q34">
        <v>13411</v>
      </c>
      <c r="R34">
        <v>43967</v>
      </c>
      <c r="S34" t="str">
        <f t="shared" si="2"/>
        <v>Yes</v>
      </c>
      <c r="T34">
        <v>32499</v>
      </c>
      <c r="U34" t="str" cm="1">
        <f t="array" ref="U34">_xlfn.IFS(T34&lt;5000,"Small",T34&lt;20000,"Medium",T34&lt;35000,"Large",T34&gt;35000,"Very Large")</f>
        <v>Large</v>
      </c>
      <c r="V34">
        <v>48</v>
      </c>
      <c r="W34">
        <f t="shared" si="3"/>
        <v>4</v>
      </c>
      <c r="X34" t="s">
        <v>47</v>
      </c>
      <c r="Y34" t="s">
        <v>32</v>
      </c>
      <c r="Z34" t="s">
        <v>33</v>
      </c>
      <c r="AA34" t="s">
        <v>40</v>
      </c>
      <c r="AB34" t="s">
        <v>51</v>
      </c>
      <c r="AC34" t="s">
        <v>36</v>
      </c>
    </row>
    <row r="35" spans="1:29" x14ac:dyDescent="0.25">
      <c r="A35">
        <v>36</v>
      </c>
      <c r="B35">
        <v>12253</v>
      </c>
      <c r="C35">
        <v>8801</v>
      </c>
      <c r="D35">
        <f t="shared" si="0"/>
        <v>21054</v>
      </c>
      <c r="E35" t="s">
        <v>29</v>
      </c>
      <c r="F35">
        <v>36</v>
      </c>
      <c r="G35" t="str" cm="1">
        <f t="array" ref="G35">_xlfn.IFS(F35&lt;25,"18-24",F35&lt;35,"25-35",F35&lt;45,"35-44",F35&lt;55,"44-54",F35&gt;=55,"55+")</f>
        <v>35-44</v>
      </c>
      <c r="H35" t="s">
        <v>30</v>
      </c>
      <c r="I35">
        <v>3</v>
      </c>
      <c r="J35" t="str" cm="1">
        <f t="array" ref="J35">_xlfn.IFS(I35&lt;=0,"No Dependents",I35&lt;=1,"One",I35&lt;=2,"Two",I35&gt;=3,"Third")</f>
        <v>Third</v>
      </c>
      <c r="K35">
        <v>602</v>
      </c>
      <c r="L35" t="str" cm="1">
        <f t="array" ref="L35">_xlfn.IFS(K35&lt;=580,"Poor",K35&lt;=670,"fair",K35&lt;=740,"Good",K35&lt;=800,"Very Good",K35&gt;=800,"Excellent")</f>
        <v>fair</v>
      </c>
      <c r="M35">
        <v>1</v>
      </c>
      <c r="N35" t="str">
        <f t="shared" si="1"/>
        <v>Yes</v>
      </c>
      <c r="O35">
        <v>0.34</v>
      </c>
      <c r="P35" t="str" cm="1">
        <f t="array" ref="P35">_xlfn.IFS(O35&lt;=0.3,"Low Risk",O35&lt;=0.4,"medium Risk",O35&lt;=0.5,"High Risk",O35&gt;0.5,"Very High Risk")</f>
        <v>medium Risk</v>
      </c>
      <c r="Q35">
        <v>9180</v>
      </c>
      <c r="R35">
        <v>27801</v>
      </c>
      <c r="S35" t="str">
        <f t="shared" si="2"/>
        <v>Yes</v>
      </c>
      <c r="T35">
        <v>28794</v>
      </c>
      <c r="U35" t="str" cm="1">
        <f t="array" ref="U35">_xlfn.IFS(T35&lt;5000,"Small",T35&lt;20000,"Medium",T35&lt;35000,"Large",T35&gt;35000,"Very Large")</f>
        <v>Large</v>
      </c>
      <c r="V35">
        <v>24</v>
      </c>
      <c r="W35">
        <f t="shared" si="3"/>
        <v>2</v>
      </c>
      <c r="X35" t="s">
        <v>37</v>
      </c>
      <c r="Y35" t="s">
        <v>45</v>
      </c>
      <c r="Z35" t="s">
        <v>39</v>
      </c>
      <c r="AA35" t="s">
        <v>40</v>
      </c>
      <c r="AB35" t="s">
        <v>35</v>
      </c>
      <c r="AC35" t="s">
        <v>36</v>
      </c>
    </row>
    <row r="36" spans="1:29" x14ac:dyDescent="0.25">
      <c r="A36">
        <v>37</v>
      </c>
      <c r="B36">
        <v>10433</v>
      </c>
      <c r="C36">
        <v>6136</v>
      </c>
      <c r="D36">
        <f t="shared" si="0"/>
        <v>16569</v>
      </c>
      <c r="E36" t="s">
        <v>48</v>
      </c>
      <c r="F36">
        <v>24</v>
      </c>
      <c r="G36" t="str" cm="1">
        <f t="array" ref="G36">_xlfn.IFS(F36&lt;25,"18-24",F36&lt;35,"25-35",F36&lt;45,"35-44",F36&lt;55,"44-54",F36&gt;=55,"55+")</f>
        <v>18-24</v>
      </c>
      <c r="H36" t="s">
        <v>30</v>
      </c>
      <c r="I36">
        <v>0</v>
      </c>
      <c r="J36" t="str" cm="1">
        <f t="array" ref="J36">_xlfn.IFS(I36&lt;=0,"No Dependents",I36&lt;=1,"One",I36&lt;=2,"Two",I36&gt;=3,"Third")</f>
        <v>No Dependents</v>
      </c>
      <c r="K36">
        <v>798</v>
      </c>
      <c r="L36" t="str" cm="1">
        <f t="array" ref="L36">_xlfn.IFS(K36&lt;=580,"Poor",K36&lt;=670,"fair",K36&lt;=740,"Good",K36&lt;=800,"Very Good",K36&gt;=800,"Excellent")</f>
        <v>Very Good</v>
      </c>
      <c r="M36">
        <v>1</v>
      </c>
      <c r="N36" t="str">
        <f t="shared" si="1"/>
        <v>Yes</v>
      </c>
      <c r="O36">
        <v>0.13</v>
      </c>
      <c r="P36" t="str" cm="1">
        <f t="array" ref="P36">_xlfn.IFS(O36&lt;=0.3,"Low Risk",O36&lt;=0.4,"medium Risk",O36&lt;=0.5,"High Risk",O36&gt;0.5,"Very High Risk")</f>
        <v>Low Risk</v>
      </c>
      <c r="Q36">
        <v>15225</v>
      </c>
      <c r="R36">
        <v>49063</v>
      </c>
      <c r="S36" t="str">
        <f t="shared" si="2"/>
        <v>Yes</v>
      </c>
      <c r="T36">
        <v>8919</v>
      </c>
      <c r="U36" t="str" cm="1">
        <f t="array" ref="U36">_xlfn.IFS(T36&lt;5000,"Small",T36&lt;20000,"Medium",T36&lt;35000,"Large",T36&gt;35000,"Very Large")</f>
        <v>Medium</v>
      </c>
      <c r="V36">
        <v>36</v>
      </c>
      <c r="W36">
        <f t="shared" si="3"/>
        <v>3</v>
      </c>
      <c r="X36" t="s">
        <v>42</v>
      </c>
      <c r="Y36" t="s">
        <v>32</v>
      </c>
      <c r="Z36" t="s">
        <v>39</v>
      </c>
      <c r="AA36" t="s">
        <v>40</v>
      </c>
      <c r="AB36" t="s">
        <v>51</v>
      </c>
      <c r="AC36" t="s">
        <v>44</v>
      </c>
    </row>
    <row r="37" spans="1:29" x14ac:dyDescent="0.25">
      <c r="A37">
        <v>38</v>
      </c>
      <c r="B37">
        <v>12233</v>
      </c>
      <c r="C37">
        <v>8646</v>
      </c>
      <c r="D37">
        <f t="shared" si="0"/>
        <v>20879</v>
      </c>
      <c r="E37" t="s">
        <v>29</v>
      </c>
      <c r="F37">
        <v>55</v>
      </c>
      <c r="G37" t="str" cm="1">
        <f t="array" ref="G37">_xlfn.IFS(F37&lt;25,"18-24",F37&lt;35,"25-35",F37&lt;45,"35-44",F37&lt;55,"44-54",F37&gt;=55,"55+")</f>
        <v>55+</v>
      </c>
      <c r="H37" t="s">
        <v>41</v>
      </c>
      <c r="I37">
        <v>1</v>
      </c>
      <c r="J37" t="str" cm="1">
        <f t="array" ref="J37">_xlfn.IFS(I37&lt;=0,"No Dependents",I37&lt;=1,"One",I37&lt;=2,"Two",I37&gt;=3,"Third")</f>
        <v>One</v>
      </c>
      <c r="K37">
        <v>685</v>
      </c>
      <c r="L37" t="str" cm="1">
        <f t="array" ref="L37">_xlfn.IFS(K37&lt;=580,"Poor",K37&lt;=670,"fair",K37&lt;=740,"Good",K37&lt;=800,"Very Good",K37&gt;=800,"Excellent")</f>
        <v>Good</v>
      </c>
      <c r="M37">
        <v>3</v>
      </c>
      <c r="N37" t="str">
        <f t="shared" si="1"/>
        <v>Yes</v>
      </c>
      <c r="O37">
        <v>0.38</v>
      </c>
      <c r="P37" t="str" cm="1">
        <f t="array" ref="P37">_xlfn.IFS(O37&lt;=0.3,"Low Risk",O37&lt;=0.4,"medium Risk",O37&lt;=0.5,"High Risk",O37&gt;0.5,"Very High Risk")</f>
        <v>medium Risk</v>
      </c>
      <c r="Q37">
        <v>10073</v>
      </c>
      <c r="R37">
        <v>26246</v>
      </c>
      <c r="S37" t="str">
        <f t="shared" si="2"/>
        <v>Yes</v>
      </c>
      <c r="T37">
        <v>21282</v>
      </c>
      <c r="U37" t="str" cm="1">
        <f t="array" ref="U37">_xlfn.IFS(T37&lt;5000,"Small",T37&lt;20000,"Medium",T37&lt;35000,"Large",T37&gt;35000,"Very Large")</f>
        <v>Large</v>
      </c>
      <c r="V37">
        <v>24</v>
      </c>
      <c r="W37">
        <f t="shared" si="3"/>
        <v>2</v>
      </c>
      <c r="X37" t="s">
        <v>42</v>
      </c>
      <c r="Y37" t="s">
        <v>45</v>
      </c>
      <c r="Z37" t="s">
        <v>39</v>
      </c>
      <c r="AA37" t="s">
        <v>40</v>
      </c>
      <c r="AB37" t="s">
        <v>51</v>
      </c>
      <c r="AC37" t="s">
        <v>44</v>
      </c>
    </row>
    <row r="38" spans="1:29" x14ac:dyDescent="0.25">
      <c r="A38">
        <v>39</v>
      </c>
      <c r="B38">
        <v>13016</v>
      </c>
      <c r="C38">
        <v>9900</v>
      </c>
      <c r="D38">
        <f t="shared" si="0"/>
        <v>22916</v>
      </c>
      <c r="E38" t="s">
        <v>29</v>
      </c>
      <c r="F38">
        <v>46</v>
      </c>
      <c r="G38" t="str" cm="1">
        <f t="array" ref="G38">_xlfn.IFS(F38&lt;25,"18-24",F38&lt;35,"25-35",F38&lt;45,"35-44",F38&lt;55,"44-54",F38&gt;=55,"55+")</f>
        <v>44-54</v>
      </c>
      <c r="H38" t="s">
        <v>30</v>
      </c>
      <c r="I38">
        <v>3</v>
      </c>
      <c r="J38" t="str" cm="1">
        <f t="array" ref="J38">_xlfn.IFS(I38&lt;=0,"No Dependents",I38&lt;=1,"One",I38&lt;=2,"Two",I38&gt;=3,"Third")</f>
        <v>Third</v>
      </c>
      <c r="K38">
        <v>567</v>
      </c>
      <c r="L38" t="str" cm="1">
        <f t="array" ref="L38">_xlfn.IFS(K38&lt;=580,"Poor",K38&lt;=670,"fair",K38&lt;=740,"Good",K38&lt;=800,"Very Good",K38&gt;=800,"Excellent")</f>
        <v>Poor</v>
      </c>
      <c r="M38">
        <v>0</v>
      </c>
      <c r="N38" t="str">
        <f t="shared" si="1"/>
        <v>No</v>
      </c>
      <c r="O38">
        <v>0.52</v>
      </c>
      <c r="P38" t="str" cm="1">
        <f t="array" ref="P38">_xlfn.IFS(O38&lt;=0.3,"Low Risk",O38&lt;=0.4,"medium Risk",O38&lt;=0.5,"High Risk",O38&gt;0.5,"Very High Risk")</f>
        <v>Very High Risk</v>
      </c>
      <c r="Q38">
        <v>4483</v>
      </c>
      <c r="R38">
        <v>12807</v>
      </c>
      <c r="S38" t="str">
        <f t="shared" si="2"/>
        <v>Yes</v>
      </c>
      <c r="T38">
        <v>0</v>
      </c>
      <c r="U38" t="str" cm="1">
        <f t="array" ref="U38">_xlfn.IFS(T38&lt;5000,"Small",T38&lt;20000,"Medium",T38&lt;35000,"Large",T38&gt;35000,"Very Large")</f>
        <v>Small</v>
      </c>
      <c r="V38">
        <v>48</v>
      </c>
      <c r="W38">
        <f t="shared" si="3"/>
        <v>4</v>
      </c>
      <c r="X38" t="s">
        <v>37</v>
      </c>
      <c r="Y38" t="s">
        <v>32</v>
      </c>
      <c r="Z38" t="s">
        <v>33</v>
      </c>
      <c r="AA38" t="s">
        <v>40</v>
      </c>
      <c r="AB38" t="s">
        <v>42</v>
      </c>
      <c r="AC38" t="s">
        <v>36</v>
      </c>
    </row>
    <row r="39" spans="1:29" x14ac:dyDescent="0.25">
      <c r="A39">
        <v>41</v>
      </c>
      <c r="B39">
        <v>17787</v>
      </c>
      <c r="C39">
        <v>3028</v>
      </c>
      <c r="D39">
        <f t="shared" si="0"/>
        <v>20815</v>
      </c>
      <c r="E39" t="s">
        <v>49</v>
      </c>
      <c r="F39">
        <v>31</v>
      </c>
      <c r="G39" t="str" cm="1">
        <f t="array" ref="G39">_xlfn.IFS(F39&lt;25,"18-24",F39&lt;35,"25-35",F39&lt;45,"35-44",F39&lt;55,"44-54",F39&gt;=55,"55+")</f>
        <v>25-35</v>
      </c>
      <c r="H39" t="s">
        <v>41</v>
      </c>
      <c r="I39">
        <v>2</v>
      </c>
      <c r="J39" t="str" cm="1">
        <f t="array" ref="J39">_xlfn.IFS(I39&lt;=0,"No Dependents",I39&lt;=1,"One",I39&lt;=2,"Two",I39&gt;=3,"Third")</f>
        <v>Two</v>
      </c>
      <c r="K39">
        <v>661</v>
      </c>
      <c r="L39" t="str" cm="1">
        <f t="array" ref="L39">_xlfn.IFS(K39&lt;=580,"Poor",K39&lt;=670,"fair",K39&lt;=740,"Good",K39&lt;=800,"Very Good",K39&gt;=800,"Excellent")</f>
        <v>fair</v>
      </c>
      <c r="M39">
        <v>1</v>
      </c>
      <c r="N39" t="str">
        <f t="shared" si="1"/>
        <v>Yes</v>
      </c>
      <c r="O39">
        <v>0.32</v>
      </c>
      <c r="P39" t="str" cm="1">
        <f t="array" ref="P39">_xlfn.IFS(O39&lt;=0.3,"Low Risk",O39&lt;=0.4,"medium Risk",O39&lt;=0.5,"High Risk",O39&gt;0.5,"Very High Risk")</f>
        <v>medium Risk</v>
      </c>
      <c r="Q39">
        <v>0</v>
      </c>
      <c r="R39">
        <v>5492</v>
      </c>
      <c r="S39" t="str">
        <f t="shared" si="2"/>
        <v>Yes</v>
      </c>
      <c r="T39">
        <v>34706</v>
      </c>
      <c r="U39" t="str" cm="1">
        <f t="array" ref="U39">_xlfn.IFS(T39&lt;5000,"Small",T39&lt;20000,"Medium",T39&lt;35000,"Large",T39&gt;35000,"Very Large")</f>
        <v>Large</v>
      </c>
      <c r="V39">
        <v>48</v>
      </c>
      <c r="W39">
        <f t="shared" si="3"/>
        <v>4</v>
      </c>
      <c r="X39" t="s">
        <v>47</v>
      </c>
      <c r="Y39" t="s">
        <v>32</v>
      </c>
      <c r="Z39" t="s">
        <v>39</v>
      </c>
      <c r="AA39" t="s">
        <v>34</v>
      </c>
      <c r="AB39" t="s">
        <v>42</v>
      </c>
      <c r="AC39" t="s">
        <v>44</v>
      </c>
    </row>
    <row r="40" spans="1:29" x14ac:dyDescent="0.25">
      <c r="A40">
        <v>42</v>
      </c>
      <c r="B40">
        <v>19159</v>
      </c>
      <c r="C40">
        <v>7643</v>
      </c>
      <c r="D40">
        <f t="shared" si="0"/>
        <v>26802</v>
      </c>
      <c r="E40" t="s">
        <v>46</v>
      </c>
      <c r="F40">
        <v>57</v>
      </c>
      <c r="G40" t="str" cm="1">
        <f t="array" ref="G40">_xlfn.IFS(F40&lt;25,"18-24",F40&lt;35,"25-35",F40&lt;45,"35-44",F40&lt;55,"44-54",F40&gt;=55,"55+")</f>
        <v>55+</v>
      </c>
      <c r="H40" t="s">
        <v>30</v>
      </c>
      <c r="I40">
        <v>1</v>
      </c>
      <c r="J40" t="str" cm="1">
        <f t="array" ref="J40">_xlfn.IFS(I40&lt;=0,"No Dependents",I40&lt;=1,"One",I40&lt;=2,"Two",I40&gt;=3,"Third")</f>
        <v>One</v>
      </c>
      <c r="K40">
        <v>554</v>
      </c>
      <c r="L40" t="str" cm="1">
        <f t="array" ref="L40">_xlfn.IFS(K40&lt;=580,"Poor",K40&lt;=670,"fair",K40&lt;=740,"Good",K40&lt;=800,"Very Good",K40&gt;=800,"Excellent")</f>
        <v>Poor</v>
      </c>
      <c r="M40">
        <v>1</v>
      </c>
      <c r="N40" t="str">
        <f t="shared" si="1"/>
        <v>Yes</v>
      </c>
      <c r="O40">
        <v>0.26</v>
      </c>
      <c r="P40" t="str" cm="1">
        <f t="array" ref="P40">_xlfn.IFS(O40&lt;=0.3,"Low Risk",O40&lt;=0.4,"medium Risk",O40&lt;=0.5,"High Risk",O40&gt;0.5,"Very High Risk")</f>
        <v>Low Risk</v>
      </c>
      <c r="Q40">
        <v>18138</v>
      </c>
      <c r="R40">
        <v>31357</v>
      </c>
      <c r="S40" t="str">
        <f t="shared" si="2"/>
        <v>Yes</v>
      </c>
      <c r="T40">
        <v>9176</v>
      </c>
      <c r="U40" t="str" cm="1">
        <f t="array" ref="U40">_xlfn.IFS(T40&lt;5000,"Small",T40&lt;20000,"Medium",T40&lt;35000,"Large",T40&gt;35000,"Very Large")</f>
        <v>Medium</v>
      </c>
      <c r="V40">
        <v>72</v>
      </c>
      <c r="W40">
        <f t="shared" si="3"/>
        <v>6</v>
      </c>
      <c r="X40" t="s">
        <v>37</v>
      </c>
      <c r="Y40" t="s">
        <v>45</v>
      </c>
      <c r="Z40" t="s">
        <v>39</v>
      </c>
      <c r="AA40" t="s">
        <v>40</v>
      </c>
      <c r="AB40" t="s">
        <v>42</v>
      </c>
      <c r="AC40" t="s">
        <v>36</v>
      </c>
    </row>
    <row r="41" spans="1:29" x14ac:dyDescent="0.25">
      <c r="A41">
        <v>43</v>
      </c>
      <c r="B41">
        <v>14206</v>
      </c>
      <c r="C41">
        <v>2681</v>
      </c>
      <c r="D41">
        <f t="shared" si="0"/>
        <v>16887</v>
      </c>
      <c r="E41" t="s">
        <v>49</v>
      </c>
      <c r="F41">
        <v>45</v>
      </c>
      <c r="G41" t="str" cm="1">
        <f t="array" ref="G41">_xlfn.IFS(F41&lt;25,"18-24",F41&lt;35,"25-35",F41&lt;45,"35-44",F41&lt;55,"44-54",F41&gt;=55,"55+")</f>
        <v>44-54</v>
      </c>
      <c r="H41" t="s">
        <v>30</v>
      </c>
      <c r="I41">
        <v>0</v>
      </c>
      <c r="J41" t="str" cm="1">
        <f t="array" ref="J41">_xlfn.IFS(I41&lt;=0,"No Dependents",I41&lt;=1,"One",I41&lt;=2,"Two",I41&gt;=3,"Third")</f>
        <v>No Dependents</v>
      </c>
      <c r="K41">
        <v>703</v>
      </c>
      <c r="L41" t="str" cm="1">
        <f t="array" ref="L41">_xlfn.IFS(K41&lt;=580,"Poor",K41&lt;=670,"fair",K41&lt;=740,"Good",K41&lt;=800,"Very Good",K41&gt;=800,"Excellent")</f>
        <v>Good</v>
      </c>
      <c r="M41">
        <v>0</v>
      </c>
      <c r="N41" t="str">
        <f t="shared" si="1"/>
        <v>No</v>
      </c>
      <c r="O41">
        <v>0.55000000000000004</v>
      </c>
      <c r="P41" t="str" cm="1">
        <f t="array" ref="P41">_xlfn.IFS(O41&lt;=0.3,"Low Risk",O41&lt;=0.4,"medium Risk",O41&lt;=0.5,"High Risk",O41&gt;0.5,"Very High Risk")</f>
        <v>Very High Risk</v>
      </c>
      <c r="Q41">
        <v>18848</v>
      </c>
      <c r="R41">
        <v>6302</v>
      </c>
      <c r="S41" t="str">
        <f t="shared" si="2"/>
        <v>Yes</v>
      </c>
      <c r="T41">
        <v>34529</v>
      </c>
      <c r="U41" t="str" cm="1">
        <f t="array" ref="U41">_xlfn.IFS(T41&lt;5000,"Small",T41&lt;20000,"Medium",T41&lt;35000,"Large",T41&gt;35000,"Very Large")</f>
        <v>Large</v>
      </c>
      <c r="V41">
        <v>48</v>
      </c>
      <c r="W41">
        <f t="shared" si="3"/>
        <v>4</v>
      </c>
      <c r="X41" t="s">
        <v>42</v>
      </c>
      <c r="Y41" t="s">
        <v>38</v>
      </c>
      <c r="Z41" t="s">
        <v>33</v>
      </c>
      <c r="AA41" t="s">
        <v>34</v>
      </c>
      <c r="AB41" t="s">
        <v>35</v>
      </c>
      <c r="AC41" t="s">
        <v>36</v>
      </c>
    </row>
    <row r="42" spans="1:29" x14ac:dyDescent="0.25">
      <c r="A42">
        <v>44</v>
      </c>
      <c r="B42">
        <v>0</v>
      </c>
      <c r="C42">
        <v>3629</v>
      </c>
      <c r="D42">
        <f t="shared" si="0"/>
        <v>3629</v>
      </c>
      <c r="E42" t="s">
        <v>29</v>
      </c>
      <c r="F42">
        <v>38</v>
      </c>
      <c r="G42" t="str" cm="1">
        <f t="array" ref="G42">_xlfn.IFS(F42&lt;25,"18-24",F42&lt;35,"25-35",F42&lt;45,"35-44",F42&lt;55,"44-54",F42&gt;=55,"55+")</f>
        <v>35-44</v>
      </c>
      <c r="H42" t="s">
        <v>30</v>
      </c>
      <c r="I42">
        <v>1</v>
      </c>
      <c r="J42" t="str" cm="1">
        <f t="array" ref="J42">_xlfn.IFS(I42&lt;=0,"No Dependents",I42&lt;=1,"One",I42&lt;=2,"Two",I42&gt;=3,"Third")</f>
        <v>One</v>
      </c>
      <c r="K42">
        <v>707</v>
      </c>
      <c r="L42" t="str" cm="1">
        <f t="array" ref="L42">_xlfn.IFS(K42&lt;=580,"Poor",K42&lt;=670,"fair",K42&lt;=740,"Good",K42&lt;=800,"Very Good",K42&gt;=800,"Excellent")</f>
        <v>Good</v>
      </c>
      <c r="M42">
        <v>0</v>
      </c>
      <c r="N42" t="str">
        <f t="shared" si="1"/>
        <v>No</v>
      </c>
      <c r="O42">
        <v>0.2</v>
      </c>
      <c r="P42" t="str" cm="1">
        <f t="array" ref="P42">_xlfn.IFS(O42&lt;=0.3,"Low Risk",O42&lt;=0.4,"medium Risk",O42&lt;=0.5,"High Risk",O42&gt;0.5,"Very High Risk")</f>
        <v>Low Risk</v>
      </c>
      <c r="Q42">
        <v>10415</v>
      </c>
      <c r="R42">
        <v>32314</v>
      </c>
      <c r="S42" t="str">
        <f t="shared" si="2"/>
        <v>Yes</v>
      </c>
      <c r="T42">
        <v>13941</v>
      </c>
      <c r="U42" t="str" cm="1">
        <f t="array" ref="U42">_xlfn.IFS(T42&lt;5000,"Small",T42&lt;20000,"Medium",T42&lt;35000,"Large",T42&gt;35000,"Very Large")</f>
        <v>Medium</v>
      </c>
      <c r="V42">
        <v>36</v>
      </c>
      <c r="W42">
        <f t="shared" si="3"/>
        <v>3</v>
      </c>
      <c r="X42" t="s">
        <v>47</v>
      </c>
      <c r="Y42" t="s">
        <v>32</v>
      </c>
      <c r="Z42" t="s">
        <v>39</v>
      </c>
      <c r="AA42" t="s">
        <v>40</v>
      </c>
      <c r="AB42" t="s">
        <v>42</v>
      </c>
      <c r="AC42" t="s">
        <v>44</v>
      </c>
    </row>
    <row r="43" spans="1:29" x14ac:dyDescent="0.25">
      <c r="A43">
        <v>45</v>
      </c>
      <c r="B43">
        <v>16541</v>
      </c>
      <c r="C43">
        <v>4225</v>
      </c>
      <c r="D43">
        <f t="shared" si="0"/>
        <v>20766</v>
      </c>
      <c r="E43" t="s">
        <v>29</v>
      </c>
      <c r="F43">
        <v>39</v>
      </c>
      <c r="G43" t="str" cm="1">
        <f t="array" ref="G43">_xlfn.IFS(F43&lt;25,"18-24",F43&lt;35,"25-35",F43&lt;45,"35-44",F43&lt;55,"44-54",F43&gt;=55,"55+")</f>
        <v>35-44</v>
      </c>
      <c r="H43" t="s">
        <v>30</v>
      </c>
      <c r="I43">
        <v>0</v>
      </c>
      <c r="J43" t="str" cm="1">
        <f t="array" ref="J43">_xlfn.IFS(I43&lt;=0,"No Dependents",I43&lt;=1,"One",I43&lt;=2,"Two",I43&gt;=3,"Third")</f>
        <v>No Dependents</v>
      </c>
      <c r="K43">
        <v>731</v>
      </c>
      <c r="L43" t="str" cm="1">
        <f t="array" ref="L43">_xlfn.IFS(K43&lt;=580,"Poor",K43&lt;=670,"fair",K43&lt;=740,"Good",K43&lt;=800,"Very Good",K43&gt;=800,"Excellent")</f>
        <v>Good</v>
      </c>
      <c r="M43">
        <v>4</v>
      </c>
      <c r="N43" t="str">
        <f t="shared" si="1"/>
        <v>Yes</v>
      </c>
      <c r="O43">
        <v>0.35</v>
      </c>
      <c r="P43" t="str" cm="1">
        <f t="array" ref="P43">_xlfn.IFS(O43&lt;=0.3,"Low Risk",O43&lt;=0.4,"medium Risk",O43&lt;=0.5,"High Risk",O43&gt;0.5,"Very High Risk")</f>
        <v>medium Risk</v>
      </c>
      <c r="Q43">
        <v>4482</v>
      </c>
      <c r="R43">
        <v>0</v>
      </c>
      <c r="S43" t="str">
        <f t="shared" si="2"/>
        <v>No</v>
      </c>
      <c r="T43">
        <v>2669</v>
      </c>
      <c r="U43" t="str" cm="1">
        <f t="array" ref="U43">_xlfn.IFS(T43&lt;5000,"Small",T43&lt;20000,"Medium",T43&lt;35000,"Large",T43&gt;35000,"Very Large")</f>
        <v>Small</v>
      </c>
      <c r="V43">
        <v>48</v>
      </c>
      <c r="W43">
        <f t="shared" si="3"/>
        <v>4</v>
      </c>
      <c r="X43" t="s">
        <v>37</v>
      </c>
      <c r="Y43" t="s">
        <v>32</v>
      </c>
      <c r="Z43" t="s">
        <v>33</v>
      </c>
      <c r="AA43" t="s">
        <v>40</v>
      </c>
      <c r="AB43" t="s">
        <v>51</v>
      </c>
      <c r="AC43" t="s">
        <v>36</v>
      </c>
    </row>
    <row r="44" spans="1:29" x14ac:dyDescent="0.25">
      <c r="A44">
        <v>46</v>
      </c>
      <c r="B44">
        <v>5152</v>
      </c>
      <c r="C44">
        <v>3067</v>
      </c>
      <c r="D44">
        <f t="shared" si="0"/>
        <v>8219</v>
      </c>
      <c r="E44" t="s">
        <v>46</v>
      </c>
      <c r="F44">
        <v>43</v>
      </c>
      <c r="G44" t="str" cm="1">
        <f t="array" ref="G44">_xlfn.IFS(F44&lt;25,"18-24",F44&lt;35,"25-35",F44&lt;45,"35-44",F44&lt;55,"44-54",F44&gt;=55,"55+")</f>
        <v>35-44</v>
      </c>
      <c r="H44" t="s">
        <v>41</v>
      </c>
      <c r="I44">
        <v>2</v>
      </c>
      <c r="J44" t="str" cm="1">
        <f t="array" ref="J44">_xlfn.IFS(I44&lt;=0,"No Dependents",I44&lt;=1,"One",I44&lt;=2,"Two",I44&gt;=3,"Third")</f>
        <v>Two</v>
      </c>
      <c r="K44">
        <v>562</v>
      </c>
      <c r="L44" t="str" cm="1">
        <f t="array" ref="L44">_xlfn.IFS(K44&lt;=580,"Poor",K44&lt;=670,"fair",K44&lt;=740,"Good",K44&lt;=800,"Very Good",K44&gt;=800,"Excellent")</f>
        <v>Poor</v>
      </c>
      <c r="M44">
        <v>2</v>
      </c>
      <c r="N44" t="str">
        <f t="shared" si="1"/>
        <v>Yes</v>
      </c>
      <c r="O44">
        <v>0.35</v>
      </c>
      <c r="P44" t="str" cm="1">
        <f t="array" ref="P44">_xlfn.IFS(O44&lt;=0.3,"Low Risk",O44&lt;=0.4,"medium Risk",O44&lt;=0.5,"High Risk",O44&gt;0.5,"Very High Risk")</f>
        <v>medium Risk</v>
      </c>
      <c r="Q44">
        <v>9686</v>
      </c>
      <c r="R44">
        <v>4747</v>
      </c>
      <c r="S44" t="str">
        <f t="shared" si="2"/>
        <v>Yes</v>
      </c>
      <c r="T44">
        <v>21246</v>
      </c>
      <c r="U44" t="str" cm="1">
        <f t="array" ref="U44">_xlfn.IFS(T44&lt;5000,"Small",T44&lt;20000,"Medium",T44&lt;35000,"Large",T44&gt;35000,"Very Large")</f>
        <v>Large</v>
      </c>
      <c r="V44">
        <v>48</v>
      </c>
      <c r="W44">
        <f t="shared" si="3"/>
        <v>4</v>
      </c>
      <c r="X44" t="s">
        <v>37</v>
      </c>
      <c r="Y44" t="s">
        <v>32</v>
      </c>
      <c r="Z44" t="s">
        <v>39</v>
      </c>
      <c r="AA44" t="s">
        <v>34</v>
      </c>
      <c r="AB44" t="s">
        <v>35</v>
      </c>
      <c r="AC44" t="s">
        <v>36</v>
      </c>
    </row>
    <row r="45" spans="1:29" x14ac:dyDescent="0.25">
      <c r="A45">
        <v>47</v>
      </c>
      <c r="B45">
        <v>3585</v>
      </c>
      <c r="C45">
        <v>5941</v>
      </c>
      <c r="D45">
        <f t="shared" si="0"/>
        <v>9526</v>
      </c>
      <c r="E45" t="s">
        <v>29</v>
      </c>
      <c r="F45">
        <v>58</v>
      </c>
      <c r="G45" t="str" cm="1">
        <f t="array" ref="G45">_xlfn.IFS(F45&lt;25,"18-24",F45&lt;35,"25-35",F45&lt;45,"35-44",F45&lt;55,"44-54",F45&gt;=55,"55+")</f>
        <v>55+</v>
      </c>
      <c r="H45" t="s">
        <v>41</v>
      </c>
      <c r="I45">
        <v>0</v>
      </c>
      <c r="J45" t="str" cm="1">
        <f t="array" ref="J45">_xlfn.IFS(I45&lt;=0,"No Dependents",I45&lt;=1,"One",I45&lt;=2,"Two",I45&gt;=3,"Third")</f>
        <v>No Dependents</v>
      </c>
      <c r="K45">
        <v>632</v>
      </c>
      <c r="L45" t="str" cm="1">
        <f t="array" ref="L45">_xlfn.IFS(K45&lt;=580,"Poor",K45&lt;=670,"fair",K45&lt;=740,"Good",K45&lt;=800,"Very Good",K45&gt;=800,"Excellent")</f>
        <v>fair</v>
      </c>
      <c r="M45">
        <v>0</v>
      </c>
      <c r="N45" t="str">
        <f t="shared" si="1"/>
        <v>No</v>
      </c>
      <c r="O45">
        <v>0.12</v>
      </c>
      <c r="P45" t="str" cm="1">
        <f t="array" ref="P45">_xlfn.IFS(O45&lt;=0.3,"Low Risk",O45&lt;=0.4,"medium Risk",O45&lt;=0.5,"High Risk",O45&gt;0.5,"Very High Risk")</f>
        <v>Low Risk</v>
      </c>
      <c r="Q45">
        <v>7400</v>
      </c>
      <c r="R45">
        <v>47006</v>
      </c>
      <c r="S45" t="str">
        <f t="shared" si="2"/>
        <v>Yes</v>
      </c>
      <c r="T45">
        <v>21323</v>
      </c>
      <c r="U45" t="str" cm="1">
        <f t="array" ref="U45">_xlfn.IFS(T45&lt;5000,"Small",T45&lt;20000,"Medium",T45&lt;35000,"Large",T45&gt;35000,"Very Large")</f>
        <v>Large</v>
      </c>
      <c r="V45">
        <v>12</v>
      </c>
      <c r="W45">
        <f t="shared" si="3"/>
        <v>1</v>
      </c>
      <c r="X45" t="s">
        <v>37</v>
      </c>
      <c r="Y45" t="s">
        <v>45</v>
      </c>
      <c r="Z45" t="s">
        <v>39</v>
      </c>
      <c r="AA45" t="s">
        <v>40</v>
      </c>
      <c r="AB45" t="s">
        <v>48</v>
      </c>
      <c r="AC45" t="s">
        <v>36</v>
      </c>
    </row>
    <row r="46" spans="1:29" x14ac:dyDescent="0.25">
      <c r="A46">
        <v>48</v>
      </c>
      <c r="B46">
        <v>5943</v>
      </c>
      <c r="C46">
        <v>1386</v>
      </c>
      <c r="D46">
        <f t="shared" si="0"/>
        <v>7329</v>
      </c>
      <c r="E46" t="s">
        <v>29</v>
      </c>
      <c r="F46">
        <v>38</v>
      </c>
      <c r="G46" t="str" cm="1">
        <f t="array" ref="G46">_xlfn.IFS(F46&lt;25,"18-24",F46&lt;35,"25-35",F46&lt;45,"35-44",F46&lt;55,"44-54",F46&gt;=55,"55+")</f>
        <v>35-44</v>
      </c>
      <c r="H46" t="s">
        <v>30</v>
      </c>
      <c r="I46">
        <v>1</v>
      </c>
      <c r="J46" t="str" cm="1">
        <f t="array" ref="J46">_xlfn.IFS(I46&lt;=0,"No Dependents",I46&lt;=1,"One",I46&lt;=2,"Two",I46&gt;=3,"Third")</f>
        <v>One</v>
      </c>
      <c r="K46">
        <v>578</v>
      </c>
      <c r="L46" t="str" cm="1">
        <f t="array" ref="L46">_xlfn.IFS(K46&lt;=580,"Poor",K46&lt;=670,"fair",K46&lt;=740,"Good",K46&lt;=800,"Very Good",K46&gt;=800,"Excellent")</f>
        <v>Poor</v>
      </c>
      <c r="M46">
        <v>1</v>
      </c>
      <c r="N46" t="str">
        <f t="shared" si="1"/>
        <v>Yes</v>
      </c>
      <c r="O46">
        <v>0.27</v>
      </c>
      <c r="P46" t="str" cm="1">
        <f t="array" ref="P46">_xlfn.IFS(O46&lt;=0.3,"Low Risk",O46&lt;=0.4,"medium Risk",O46&lt;=0.5,"High Risk",O46&gt;0.5,"Very High Risk")</f>
        <v>Low Risk</v>
      </c>
      <c r="Q46">
        <v>6806</v>
      </c>
      <c r="R46">
        <v>41170</v>
      </c>
      <c r="S46" t="str">
        <f t="shared" si="2"/>
        <v>Yes</v>
      </c>
      <c r="T46">
        <v>34894</v>
      </c>
      <c r="U46" t="str" cm="1">
        <f t="array" ref="U46">_xlfn.IFS(T46&lt;5000,"Small",T46&lt;20000,"Medium",T46&lt;35000,"Large",T46&gt;35000,"Very Large")</f>
        <v>Large</v>
      </c>
      <c r="V46">
        <v>12</v>
      </c>
      <c r="W46">
        <f t="shared" si="3"/>
        <v>1</v>
      </c>
      <c r="X46" t="s">
        <v>42</v>
      </c>
      <c r="Y46" t="s">
        <v>32</v>
      </c>
      <c r="Z46" t="s">
        <v>39</v>
      </c>
      <c r="AA46" t="s">
        <v>34</v>
      </c>
      <c r="AB46" t="s">
        <v>35</v>
      </c>
      <c r="AC46" t="s">
        <v>36</v>
      </c>
    </row>
    <row r="47" spans="1:29" x14ac:dyDescent="0.25">
      <c r="A47">
        <v>49</v>
      </c>
      <c r="B47">
        <v>3021</v>
      </c>
      <c r="C47">
        <v>2866</v>
      </c>
      <c r="D47">
        <f t="shared" si="0"/>
        <v>5887</v>
      </c>
      <c r="E47" t="s">
        <v>48</v>
      </c>
      <c r="F47">
        <v>46</v>
      </c>
      <c r="G47" t="str" cm="1">
        <f t="array" ref="G47">_xlfn.IFS(F47&lt;25,"18-24",F47&lt;35,"25-35",F47&lt;45,"35-44",F47&lt;55,"44-54",F47&gt;=55,"55+")</f>
        <v>44-54</v>
      </c>
      <c r="H47" t="s">
        <v>41</v>
      </c>
      <c r="I47">
        <v>3</v>
      </c>
      <c r="J47" t="str" cm="1">
        <f t="array" ref="J47">_xlfn.IFS(I47&lt;=0,"No Dependents",I47&lt;=1,"One",I47&lt;=2,"Two",I47&gt;=3,"Third")</f>
        <v>Third</v>
      </c>
      <c r="K47">
        <v>552</v>
      </c>
      <c r="L47" t="str" cm="1">
        <f t="array" ref="L47">_xlfn.IFS(K47&lt;=580,"Poor",K47&lt;=670,"fair",K47&lt;=740,"Good",K47&lt;=800,"Very Good",K47&gt;=800,"Excellent")</f>
        <v>Poor</v>
      </c>
      <c r="M47">
        <v>1</v>
      </c>
      <c r="N47" t="str">
        <f t="shared" si="1"/>
        <v>Yes</v>
      </c>
      <c r="O47">
        <v>0.23</v>
      </c>
      <c r="P47" t="str" cm="1">
        <f t="array" ref="P47">_xlfn.IFS(O47&lt;=0.3,"Low Risk",O47&lt;=0.4,"medium Risk",O47&lt;=0.5,"High Risk",O47&gt;0.5,"Very High Risk")</f>
        <v>Low Risk</v>
      </c>
      <c r="Q47">
        <v>10516</v>
      </c>
      <c r="R47">
        <v>10686</v>
      </c>
      <c r="S47" t="str">
        <f t="shared" si="2"/>
        <v>Yes</v>
      </c>
      <c r="T47">
        <v>7021</v>
      </c>
      <c r="U47" t="str" cm="1">
        <f t="array" ref="U47">_xlfn.IFS(T47&lt;5000,"Small",T47&lt;20000,"Medium",T47&lt;35000,"Large",T47&gt;35000,"Very Large")</f>
        <v>Medium</v>
      </c>
      <c r="V47">
        <v>12</v>
      </c>
      <c r="W47">
        <f t="shared" si="3"/>
        <v>1</v>
      </c>
      <c r="X47" t="s">
        <v>47</v>
      </c>
      <c r="Y47" t="s">
        <v>32</v>
      </c>
      <c r="Z47" t="s">
        <v>39</v>
      </c>
      <c r="AA47" t="s">
        <v>40</v>
      </c>
      <c r="AB47" t="s">
        <v>35</v>
      </c>
      <c r="AC47" t="s">
        <v>36</v>
      </c>
    </row>
    <row r="48" spans="1:29" x14ac:dyDescent="0.25">
      <c r="A48">
        <v>50</v>
      </c>
      <c r="B48">
        <v>13653</v>
      </c>
      <c r="C48">
        <v>4788</v>
      </c>
      <c r="D48">
        <f t="shared" si="0"/>
        <v>18441</v>
      </c>
      <c r="E48" t="s">
        <v>48</v>
      </c>
      <c r="F48">
        <v>26</v>
      </c>
      <c r="G48" t="str" cm="1">
        <f t="array" ref="G48">_xlfn.IFS(F48&lt;25,"18-24",F48&lt;35,"25-35",F48&lt;45,"35-44",F48&lt;55,"44-54",F48&gt;=55,"55+")</f>
        <v>25-35</v>
      </c>
      <c r="H48" t="s">
        <v>30</v>
      </c>
      <c r="I48">
        <v>2</v>
      </c>
      <c r="J48" t="str" cm="1">
        <f t="array" ref="J48">_xlfn.IFS(I48&lt;=0,"No Dependents",I48&lt;=1,"One",I48&lt;=2,"Two",I48&gt;=3,"Third")</f>
        <v>Two</v>
      </c>
      <c r="K48">
        <v>639</v>
      </c>
      <c r="L48" t="str" cm="1">
        <f t="array" ref="L48">_xlfn.IFS(K48&lt;=580,"Poor",K48&lt;=670,"fair",K48&lt;=740,"Good",K48&lt;=800,"Very Good",K48&gt;=800,"Excellent")</f>
        <v>fair</v>
      </c>
      <c r="M48">
        <v>0</v>
      </c>
      <c r="N48" t="str">
        <f t="shared" si="1"/>
        <v>No</v>
      </c>
      <c r="O48">
        <v>0.44</v>
      </c>
      <c r="P48" t="str" cm="1">
        <f t="array" ref="P48">_xlfn.IFS(O48&lt;=0.3,"Low Risk",O48&lt;=0.4,"medium Risk",O48&lt;=0.5,"High Risk",O48&gt;0.5,"Very High Risk")</f>
        <v>High Risk</v>
      </c>
      <c r="Q48">
        <v>7396</v>
      </c>
      <c r="R48">
        <v>37449</v>
      </c>
      <c r="S48" t="str">
        <f t="shared" si="2"/>
        <v>Yes</v>
      </c>
      <c r="T48">
        <v>37903</v>
      </c>
      <c r="U48" t="str" cm="1">
        <f t="array" ref="U48">_xlfn.IFS(T48&lt;5000,"Small",T48&lt;20000,"Medium",T48&lt;35000,"Large",T48&gt;35000,"Very Large")</f>
        <v>Very Large</v>
      </c>
      <c r="V48">
        <v>12</v>
      </c>
      <c r="W48">
        <f t="shared" si="3"/>
        <v>1</v>
      </c>
      <c r="X48" t="s">
        <v>42</v>
      </c>
      <c r="Y48" t="s">
        <v>45</v>
      </c>
      <c r="Z48" t="s">
        <v>39</v>
      </c>
      <c r="AA48" t="s">
        <v>40</v>
      </c>
      <c r="AB48" t="s">
        <v>35</v>
      </c>
      <c r="AC48" t="s">
        <v>36</v>
      </c>
    </row>
    <row r="49" spans="1:29" x14ac:dyDescent="0.25">
      <c r="A49">
        <v>51</v>
      </c>
      <c r="B49">
        <v>12805</v>
      </c>
      <c r="C49">
        <v>5490</v>
      </c>
      <c r="D49">
        <f t="shared" si="0"/>
        <v>18295</v>
      </c>
      <c r="E49" t="s">
        <v>48</v>
      </c>
      <c r="F49">
        <v>24</v>
      </c>
      <c r="G49" t="str" cm="1">
        <f t="array" ref="G49">_xlfn.IFS(F49&lt;25,"18-24",F49&lt;35,"25-35",F49&lt;45,"35-44",F49&lt;55,"44-54",F49&gt;=55,"55+")</f>
        <v>18-24</v>
      </c>
      <c r="H49" t="s">
        <v>30</v>
      </c>
      <c r="I49">
        <v>1</v>
      </c>
      <c r="J49" t="str" cm="1">
        <f t="array" ref="J49">_xlfn.IFS(I49&lt;=0,"No Dependents",I49&lt;=1,"One",I49&lt;=2,"Two",I49&gt;=3,"Third")</f>
        <v>One</v>
      </c>
      <c r="K49">
        <v>653</v>
      </c>
      <c r="L49" t="str" cm="1">
        <f t="array" ref="L49">_xlfn.IFS(K49&lt;=580,"Poor",K49&lt;=670,"fair",K49&lt;=740,"Good",K49&lt;=800,"Very Good",K49&gt;=800,"Excellent")</f>
        <v>fair</v>
      </c>
      <c r="M49">
        <v>0</v>
      </c>
      <c r="N49" t="str">
        <f t="shared" si="1"/>
        <v>No</v>
      </c>
      <c r="O49">
        <v>0.56999999999999995</v>
      </c>
      <c r="P49" t="str" cm="1">
        <f t="array" ref="P49">_xlfn.IFS(O49&lt;=0.3,"Low Risk",O49&lt;=0.4,"medium Risk",O49&lt;=0.5,"High Risk",O49&gt;0.5,"Very High Risk")</f>
        <v>Very High Risk</v>
      </c>
      <c r="Q49">
        <v>7338</v>
      </c>
      <c r="R49">
        <v>18891</v>
      </c>
      <c r="S49" t="str">
        <f t="shared" si="2"/>
        <v>Yes</v>
      </c>
      <c r="T49">
        <v>9711</v>
      </c>
      <c r="U49" t="str" cm="1">
        <f t="array" ref="U49">_xlfn.IFS(T49&lt;5000,"Small",T49&lt;20000,"Medium",T49&lt;35000,"Large",T49&gt;35000,"Very Large")</f>
        <v>Medium</v>
      </c>
      <c r="V49">
        <v>60</v>
      </c>
      <c r="W49">
        <f t="shared" si="3"/>
        <v>5</v>
      </c>
      <c r="X49" t="s">
        <v>50</v>
      </c>
      <c r="Y49" t="s">
        <v>32</v>
      </c>
      <c r="Z49" t="s">
        <v>39</v>
      </c>
      <c r="AA49" t="s">
        <v>40</v>
      </c>
      <c r="AB49" t="s">
        <v>35</v>
      </c>
      <c r="AC49" t="s">
        <v>36</v>
      </c>
    </row>
    <row r="50" spans="1:29" x14ac:dyDescent="0.25">
      <c r="A50">
        <v>52</v>
      </c>
      <c r="B50">
        <v>15417</v>
      </c>
      <c r="C50">
        <v>4124</v>
      </c>
      <c r="D50">
        <f t="shared" si="0"/>
        <v>19541</v>
      </c>
      <c r="E50" t="s">
        <v>49</v>
      </c>
      <c r="F50">
        <v>49</v>
      </c>
      <c r="G50" t="str" cm="1">
        <f t="array" ref="G50">_xlfn.IFS(F50&lt;25,"18-24",F50&lt;35,"25-35",F50&lt;45,"35-44",F50&lt;55,"44-54",F50&gt;=55,"55+")</f>
        <v>44-54</v>
      </c>
      <c r="H50" t="s">
        <v>30</v>
      </c>
      <c r="I50">
        <v>2</v>
      </c>
      <c r="J50" t="str" cm="1">
        <f t="array" ref="J50">_xlfn.IFS(I50&lt;=0,"No Dependents",I50&lt;=1,"One",I50&lt;=2,"Two",I50&gt;=3,"Third")</f>
        <v>Two</v>
      </c>
      <c r="K50">
        <v>672</v>
      </c>
      <c r="L50" t="str" cm="1">
        <f t="array" ref="L50">_xlfn.IFS(K50&lt;=580,"Poor",K50&lt;=670,"fair",K50&lt;=740,"Good",K50&lt;=800,"Very Good",K50&gt;=800,"Excellent")</f>
        <v>Good</v>
      </c>
      <c r="M50">
        <v>4</v>
      </c>
      <c r="N50" t="str">
        <f t="shared" si="1"/>
        <v>Yes</v>
      </c>
      <c r="O50">
        <v>0.23</v>
      </c>
      <c r="P50" t="str" cm="1">
        <f t="array" ref="P50">_xlfn.IFS(O50&lt;=0.3,"Low Risk",O50&lt;=0.4,"medium Risk",O50&lt;=0.5,"High Risk",O50&gt;0.5,"Very High Risk")</f>
        <v>Low Risk</v>
      </c>
      <c r="Q50">
        <v>9950</v>
      </c>
      <c r="R50">
        <v>36196</v>
      </c>
      <c r="S50" t="str">
        <f t="shared" si="2"/>
        <v>Yes</v>
      </c>
      <c r="T50">
        <v>8904</v>
      </c>
      <c r="U50" t="str" cm="1">
        <f t="array" ref="U50">_xlfn.IFS(T50&lt;5000,"Small",T50&lt;20000,"Medium",T50&lt;35000,"Large",T50&gt;35000,"Very Large")</f>
        <v>Medium</v>
      </c>
      <c r="V50">
        <v>12</v>
      </c>
      <c r="W50">
        <f t="shared" si="3"/>
        <v>1</v>
      </c>
      <c r="X50" t="s">
        <v>47</v>
      </c>
      <c r="Y50" t="s">
        <v>45</v>
      </c>
      <c r="Z50" t="s">
        <v>39</v>
      </c>
      <c r="AA50" t="s">
        <v>34</v>
      </c>
      <c r="AB50" t="s">
        <v>51</v>
      </c>
      <c r="AC50" t="s">
        <v>44</v>
      </c>
    </row>
    <row r="51" spans="1:29" x14ac:dyDescent="0.25">
      <c r="A51">
        <v>53</v>
      </c>
      <c r="B51">
        <v>9989</v>
      </c>
      <c r="C51">
        <v>8340</v>
      </c>
      <c r="D51">
        <f t="shared" si="0"/>
        <v>18329</v>
      </c>
      <c r="E51" t="s">
        <v>29</v>
      </c>
      <c r="F51">
        <v>54</v>
      </c>
      <c r="G51" t="str" cm="1">
        <f t="array" ref="G51">_xlfn.IFS(F51&lt;25,"18-24",F51&lt;35,"25-35",F51&lt;45,"35-44",F51&lt;55,"44-54",F51&gt;=55,"55+")</f>
        <v>44-54</v>
      </c>
      <c r="H51" t="s">
        <v>30</v>
      </c>
      <c r="I51">
        <v>2</v>
      </c>
      <c r="J51" t="str" cm="1">
        <f t="array" ref="J51">_xlfn.IFS(I51&lt;=0,"No Dependents",I51&lt;=1,"One",I51&lt;=2,"Two",I51&gt;=3,"Third")</f>
        <v>Two</v>
      </c>
      <c r="K51">
        <v>735</v>
      </c>
      <c r="L51" t="str" cm="1">
        <f t="array" ref="L51">_xlfn.IFS(K51&lt;=580,"Poor",K51&lt;=670,"fair",K51&lt;=740,"Good",K51&lt;=800,"Very Good",K51&gt;=800,"Excellent")</f>
        <v>Good</v>
      </c>
      <c r="M51">
        <v>2</v>
      </c>
      <c r="N51" t="str">
        <f t="shared" si="1"/>
        <v>Yes</v>
      </c>
      <c r="O51">
        <v>0.51</v>
      </c>
      <c r="P51" t="str" cm="1">
        <f t="array" ref="P51">_xlfn.IFS(O51&lt;=0.3,"Low Risk",O51&lt;=0.4,"medium Risk",O51&lt;=0.5,"High Risk",O51&gt;0.5,"Very High Risk")</f>
        <v>Very High Risk</v>
      </c>
      <c r="Q51">
        <v>12500</v>
      </c>
      <c r="R51">
        <v>29928</v>
      </c>
      <c r="S51" t="str">
        <f t="shared" si="2"/>
        <v>Yes</v>
      </c>
      <c r="T51">
        <v>36051</v>
      </c>
      <c r="U51" t="str" cm="1">
        <f t="array" ref="U51">_xlfn.IFS(T51&lt;5000,"Small",T51&lt;20000,"Medium",T51&lt;35000,"Large",T51&gt;35000,"Very Large")</f>
        <v>Very Large</v>
      </c>
      <c r="V51">
        <v>36</v>
      </c>
      <c r="W51">
        <f t="shared" si="3"/>
        <v>3</v>
      </c>
      <c r="X51" t="s">
        <v>42</v>
      </c>
      <c r="Y51" t="s">
        <v>32</v>
      </c>
      <c r="Z51" t="s">
        <v>39</v>
      </c>
      <c r="AA51" t="s">
        <v>34</v>
      </c>
      <c r="AB51" t="s">
        <v>48</v>
      </c>
      <c r="AC51" t="s">
        <v>36</v>
      </c>
    </row>
    <row r="52" spans="1:29" x14ac:dyDescent="0.25">
      <c r="A52">
        <v>54</v>
      </c>
      <c r="B52">
        <v>11692</v>
      </c>
      <c r="C52">
        <v>3850</v>
      </c>
      <c r="D52">
        <f t="shared" si="0"/>
        <v>15542</v>
      </c>
      <c r="E52" t="s">
        <v>29</v>
      </c>
      <c r="F52">
        <v>37</v>
      </c>
      <c r="G52" t="str" cm="1">
        <f t="array" ref="G52">_xlfn.IFS(F52&lt;25,"18-24",F52&lt;35,"25-35",F52&lt;45,"35-44",F52&lt;55,"44-54",F52&gt;=55,"55+")</f>
        <v>35-44</v>
      </c>
      <c r="H52" t="s">
        <v>30</v>
      </c>
      <c r="I52">
        <v>1</v>
      </c>
      <c r="J52" t="str" cm="1">
        <f t="array" ref="J52">_xlfn.IFS(I52&lt;=0,"No Dependents",I52&lt;=1,"One",I52&lt;=2,"Two",I52&gt;=3,"Third")</f>
        <v>One</v>
      </c>
      <c r="K52">
        <v>799</v>
      </c>
      <c r="L52" t="str" cm="1">
        <f t="array" ref="L52">_xlfn.IFS(K52&lt;=580,"Poor",K52&lt;=670,"fair",K52&lt;=740,"Good",K52&lt;=800,"Very Good",K52&gt;=800,"Excellent")</f>
        <v>Very Good</v>
      </c>
      <c r="M52">
        <v>4</v>
      </c>
      <c r="N52" t="str">
        <f t="shared" si="1"/>
        <v>Yes</v>
      </c>
      <c r="O52">
        <v>0.35</v>
      </c>
      <c r="P52" t="str" cm="1">
        <f t="array" ref="P52">_xlfn.IFS(O52&lt;=0.3,"Low Risk",O52&lt;=0.4,"medium Risk",O52&lt;=0.5,"High Risk",O52&gt;0.5,"Very High Risk")</f>
        <v>medium Risk</v>
      </c>
      <c r="Q52">
        <v>11545</v>
      </c>
      <c r="R52">
        <v>7494</v>
      </c>
      <c r="S52" t="str">
        <f t="shared" si="2"/>
        <v>Yes</v>
      </c>
      <c r="T52">
        <v>21942</v>
      </c>
      <c r="U52" t="str" cm="1">
        <f t="array" ref="U52">_xlfn.IFS(T52&lt;5000,"Small",T52&lt;20000,"Medium",T52&lt;35000,"Large",T52&gt;35000,"Very Large")</f>
        <v>Large</v>
      </c>
      <c r="V52">
        <v>84</v>
      </c>
      <c r="W52">
        <f t="shared" si="3"/>
        <v>7</v>
      </c>
      <c r="X52" t="s">
        <v>47</v>
      </c>
      <c r="Y52" t="s">
        <v>32</v>
      </c>
      <c r="Z52" t="s">
        <v>39</v>
      </c>
      <c r="AA52" t="s">
        <v>34</v>
      </c>
      <c r="AB52" t="s">
        <v>51</v>
      </c>
      <c r="AC52" t="s">
        <v>44</v>
      </c>
    </row>
    <row r="53" spans="1:29" x14ac:dyDescent="0.25">
      <c r="A53">
        <v>55</v>
      </c>
      <c r="B53">
        <v>14990</v>
      </c>
      <c r="C53">
        <v>5415</v>
      </c>
      <c r="D53">
        <f t="shared" si="0"/>
        <v>20405</v>
      </c>
      <c r="E53" t="s">
        <v>46</v>
      </c>
      <c r="F53">
        <v>36</v>
      </c>
      <c r="G53" t="str" cm="1">
        <f t="array" ref="G53">_xlfn.IFS(F53&lt;25,"18-24",F53&lt;35,"25-35",F53&lt;45,"35-44",F53&lt;55,"44-54",F53&gt;=55,"55+")</f>
        <v>35-44</v>
      </c>
      <c r="H53" t="s">
        <v>41</v>
      </c>
      <c r="I53">
        <v>1</v>
      </c>
      <c r="J53" t="str" cm="1">
        <f t="array" ref="J53">_xlfn.IFS(I53&lt;=0,"No Dependents",I53&lt;=1,"One",I53&lt;=2,"Two",I53&gt;=3,"Third")</f>
        <v>One</v>
      </c>
      <c r="K53">
        <v>625</v>
      </c>
      <c r="L53" t="str" cm="1">
        <f t="array" ref="L53">_xlfn.IFS(K53&lt;=580,"Poor",K53&lt;=670,"fair",K53&lt;=740,"Good",K53&lt;=800,"Very Good",K53&gt;=800,"Excellent")</f>
        <v>fair</v>
      </c>
      <c r="M53">
        <v>1</v>
      </c>
      <c r="N53" t="str">
        <f t="shared" si="1"/>
        <v>Yes</v>
      </c>
      <c r="O53">
        <v>0.37</v>
      </c>
      <c r="P53" t="str" cm="1">
        <f t="array" ref="P53">_xlfn.IFS(O53&lt;=0.3,"Low Risk",O53&lt;=0.4,"medium Risk",O53&lt;=0.5,"High Risk",O53&gt;0.5,"Very High Risk")</f>
        <v>medium Risk</v>
      </c>
      <c r="Q53">
        <v>5241</v>
      </c>
      <c r="R53">
        <v>36723</v>
      </c>
      <c r="S53" t="str">
        <f t="shared" si="2"/>
        <v>Yes</v>
      </c>
      <c r="T53">
        <v>25251</v>
      </c>
      <c r="U53" t="str" cm="1">
        <f t="array" ref="U53">_xlfn.IFS(T53&lt;5000,"Small",T53&lt;20000,"Medium",T53&lt;35000,"Large",T53&gt;35000,"Very Large")</f>
        <v>Large</v>
      </c>
      <c r="V53">
        <v>12</v>
      </c>
      <c r="W53">
        <f t="shared" si="3"/>
        <v>1</v>
      </c>
      <c r="X53" t="s">
        <v>50</v>
      </c>
      <c r="Y53" t="s">
        <v>45</v>
      </c>
      <c r="Z53" t="s">
        <v>33</v>
      </c>
      <c r="AA53" t="s">
        <v>34</v>
      </c>
      <c r="AB53" t="s">
        <v>48</v>
      </c>
      <c r="AC53" t="s">
        <v>36</v>
      </c>
    </row>
    <row r="54" spans="1:29" x14ac:dyDescent="0.25">
      <c r="A54">
        <v>56</v>
      </c>
      <c r="B54">
        <v>0</v>
      </c>
      <c r="C54">
        <v>7679</v>
      </c>
      <c r="D54">
        <f t="shared" si="0"/>
        <v>7679</v>
      </c>
      <c r="E54" t="s">
        <v>49</v>
      </c>
      <c r="F54">
        <v>22</v>
      </c>
      <c r="G54" t="str" cm="1">
        <f t="array" ref="G54">_xlfn.IFS(F54&lt;25,"18-24",F54&lt;35,"25-35",F54&lt;45,"35-44",F54&lt;55,"44-54",F54&gt;=55,"55+")</f>
        <v>18-24</v>
      </c>
      <c r="H54" t="s">
        <v>41</v>
      </c>
      <c r="I54">
        <v>3</v>
      </c>
      <c r="J54" t="str" cm="1">
        <f t="array" ref="J54">_xlfn.IFS(I54&lt;=0,"No Dependents",I54&lt;=1,"One",I54&lt;=2,"Two",I54&gt;=3,"Third")</f>
        <v>Third</v>
      </c>
      <c r="K54">
        <v>679</v>
      </c>
      <c r="L54" t="str" cm="1">
        <f t="array" ref="L54">_xlfn.IFS(K54&lt;=580,"Poor",K54&lt;=670,"fair",K54&lt;=740,"Good",K54&lt;=800,"Very Good",K54&gt;=800,"Excellent")</f>
        <v>Good</v>
      </c>
      <c r="M54">
        <v>4</v>
      </c>
      <c r="N54" t="str">
        <f t="shared" si="1"/>
        <v>Yes</v>
      </c>
      <c r="O54">
        <v>0.14000000000000001</v>
      </c>
      <c r="P54" t="str" cm="1">
        <f t="array" ref="P54">_xlfn.IFS(O54&lt;=0.3,"Low Risk",O54&lt;=0.4,"medium Risk",O54&lt;=0.5,"High Risk",O54&gt;0.5,"Very High Risk")</f>
        <v>Low Risk</v>
      </c>
      <c r="Q54">
        <v>4695</v>
      </c>
      <c r="R54">
        <v>29877</v>
      </c>
      <c r="S54" t="str">
        <f t="shared" si="2"/>
        <v>Yes</v>
      </c>
      <c r="T54">
        <v>26058</v>
      </c>
      <c r="U54" t="str" cm="1">
        <f t="array" ref="U54">_xlfn.IFS(T54&lt;5000,"Small",T54&lt;20000,"Medium",T54&lt;35000,"Large",T54&gt;35000,"Very Large")</f>
        <v>Large</v>
      </c>
      <c r="V54">
        <v>48</v>
      </c>
      <c r="W54">
        <f t="shared" si="3"/>
        <v>4</v>
      </c>
      <c r="X54" t="s">
        <v>31</v>
      </c>
      <c r="Y54" t="s">
        <v>45</v>
      </c>
      <c r="Z54" t="s">
        <v>39</v>
      </c>
      <c r="AA54" t="s">
        <v>40</v>
      </c>
      <c r="AB54" t="s">
        <v>35</v>
      </c>
      <c r="AC54" t="s">
        <v>44</v>
      </c>
    </row>
    <row r="55" spans="1:29" x14ac:dyDescent="0.25">
      <c r="A55">
        <v>57</v>
      </c>
      <c r="B55">
        <v>7675</v>
      </c>
      <c r="C55">
        <v>6819</v>
      </c>
      <c r="D55">
        <f t="shared" si="0"/>
        <v>14494</v>
      </c>
      <c r="E55" t="s">
        <v>29</v>
      </c>
      <c r="F55">
        <v>54</v>
      </c>
      <c r="G55" t="str" cm="1">
        <f t="array" ref="G55">_xlfn.IFS(F55&lt;25,"18-24",F55&lt;35,"25-35",F55&lt;45,"35-44",F55&lt;55,"44-54",F55&gt;=55,"55+")</f>
        <v>44-54</v>
      </c>
      <c r="H55" t="s">
        <v>30</v>
      </c>
      <c r="I55">
        <v>0</v>
      </c>
      <c r="J55" t="str" cm="1">
        <f t="array" ref="J55">_xlfn.IFS(I55&lt;=0,"No Dependents",I55&lt;=1,"One",I55&lt;=2,"Two",I55&gt;=3,"Third")</f>
        <v>No Dependents</v>
      </c>
      <c r="K55">
        <v>752</v>
      </c>
      <c r="L55" t="str" cm="1">
        <f t="array" ref="L55">_xlfn.IFS(K55&lt;=580,"Poor",K55&lt;=670,"fair",K55&lt;=740,"Good",K55&lt;=800,"Very Good",K55&gt;=800,"Excellent")</f>
        <v>Very Good</v>
      </c>
      <c r="M55">
        <v>1</v>
      </c>
      <c r="N55" t="str">
        <f t="shared" si="1"/>
        <v>Yes</v>
      </c>
      <c r="O55">
        <v>0.56999999999999995</v>
      </c>
      <c r="P55" t="str" cm="1">
        <f t="array" ref="P55">_xlfn.IFS(O55&lt;=0.3,"Low Risk",O55&lt;=0.4,"medium Risk",O55&lt;=0.5,"High Risk",O55&gt;0.5,"Very High Risk")</f>
        <v>Very High Risk</v>
      </c>
      <c r="Q55">
        <v>11530</v>
      </c>
      <c r="R55">
        <v>27981</v>
      </c>
      <c r="S55" t="str">
        <f t="shared" si="2"/>
        <v>Yes</v>
      </c>
      <c r="T55">
        <v>36245</v>
      </c>
      <c r="U55" t="str" cm="1">
        <f t="array" ref="U55">_xlfn.IFS(T55&lt;5000,"Small",T55&lt;20000,"Medium",T55&lt;35000,"Large",T55&gt;35000,"Very Large")</f>
        <v>Very Large</v>
      </c>
      <c r="V55">
        <v>84</v>
      </c>
      <c r="W55">
        <f t="shared" si="3"/>
        <v>7</v>
      </c>
      <c r="X55" t="s">
        <v>37</v>
      </c>
      <c r="Y55" t="s">
        <v>32</v>
      </c>
      <c r="Z55" t="s">
        <v>39</v>
      </c>
      <c r="AA55" t="s">
        <v>40</v>
      </c>
      <c r="AB55" t="s">
        <v>35</v>
      </c>
      <c r="AC55" t="s">
        <v>36</v>
      </c>
    </row>
    <row r="56" spans="1:29" x14ac:dyDescent="0.25">
      <c r="A56">
        <v>58</v>
      </c>
      <c r="B56">
        <v>2161</v>
      </c>
      <c r="C56">
        <v>9328</v>
      </c>
      <c r="D56">
        <f t="shared" si="0"/>
        <v>11489</v>
      </c>
      <c r="E56" t="s">
        <v>29</v>
      </c>
      <c r="F56">
        <v>40</v>
      </c>
      <c r="G56" t="str" cm="1">
        <f t="array" ref="G56">_xlfn.IFS(F56&lt;25,"18-24",F56&lt;35,"25-35",F56&lt;45,"35-44",F56&lt;55,"44-54",F56&gt;=55,"55+")</f>
        <v>35-44</v>
      </c>
      <c r="H56" t="s">
        <v>30</v>
      </c>
      <c r="I56">
        <v>2</v>
      </c>
      <c r="J56" t="str" cm="1">
        <f t="array" ref="J56">_xlfn.IFS(I56&lt;=0,"No Dependents",I56&lt;=1,"One",I56&lt;=2,"Two",I56&gt;=3,"Third")</f>
        <v>Two</v>
      </c>
      <c r="K56">
        <v>657</v>
      </c>
      <c r="L56" t="str" cm="1">
        <f t="array" ref="L56">_xlfn.IFS(K56&lt;=580,"Poor",K56&lt;=670,"fair",K56&lt;=740,"Good",K56&lt;=800,"Very Good",K56&gt;=800,"Excellent")</f>
        <v>fair</v>
      </c>
      <c r="M56">
        <v>1</v>
      </c>
      <c r="N56" t="str">
        <f t="shared" si="1"/>
        <v>Yes</v>
      </c>
      <c r="O56">
        <v>0.48</v>
      </c>
      <c r="P56" t="str" cm="1">
        <f t="array" ref="P56">_xlfn.IFS(O56&lt;=0.3,"Low Risk",O56&lt;=0.4,"medium Risk",O56&lt;=0.5,"High Risk",O56&gt;0.5,"Very High Risk")</f>
        <v>High Risk</v>
      </c>
      <c r="Q56">
        <v>14312</v>
      </c>
      <c r="R56">
        <v>14026</v>
      </c>
      <c r="S56" t="str">
        <f t="shared" si="2"/>
        <v>Yes</v>
      </c>
      <c r="T56">
        <v>4093</v>
      </c>
      <c r="U56" t="str" cm="1">
        <f t="array" ref="U56">_xlfn.IFS(T56&lt;5000,"Small",T56&lt;20000,"Medium",T56&lt;35000,"Large",T56&gt;35000,"Very Large")</f>
        <v>Small</v>
      </c>
      <c r="V56">
        <v>12</v>
      </c>
      <c r="W56">
        <f t="shared" si="3"/>
        <v>1</v>
      </c>
      <c r="X56" t="s">
        <v>42</v>
      </c>
      <c r="Y56" t="s">
        <v>32</v>
      </c>
      <c r="Z56" t="s">
        <v>39</v>
      </c>
      <c r="AA56" t="s">
        <v>34</v>
      </c>
      <c r="AB56" t="s">
        <v>43</v>
      </c>
      <c r="AC56" t="s">
        <v>36</v>
      </c>
    </row>
    <row r="57" spans="1:29" x14ac:dyDescent="0.25">
      <c r="A57">
        <v>59</v>
      </c>
      <c r="B57">
        <v>6297</v>
      </c>
      <c r="C57">
        <v>8378</v>
      </c>
      <c r="D57">
        <f t="shared" si="0"/>
        <v>14675</v>
      </c>
      <c r="E57" t="s">
        <v>29</v>
      </c>
      <c r="F57">
        <v>33</v>
      </c>
      <c r="G57" t="str" cm="1">
        <f t="array" ref="G57">_xlfn.IFS(F57&lt;25,"18-24",F57&lt;35,"25-35",F57&lt;45,"35-44",F57&lt;55,"44-54",F57&gt;=55,"55+")</f>
        <v>25-35</v>
      </c>
      <c r="H57" t="s">
        <v>30</v>
      </c>
      <c r="I57">
        <v>1</v>
      </c>
      <c r="J57" t="str" cm="1">
        <f t="array" ref="J57">_xlfn.IFS(I57&lt;=0,"No Dependents",I57&lt;=1,"One",I57&lt;=2,"Two",I57&gt;=3,"Third")</f>
        <v>One</v>
      </c>
      <c r="K57">
        <v>705</v>
      </c>
      <c r="L57" t="str" cm="1">
        <f t="array" ref="L57">_xlfn.IFS(K57&lt;=580,"Poor",K57&lt;=670,"fair",K57&lt;=740,"Good",K57&lt;=800,"Very Good",K57&gt;=800,"Excellent")</f>
        <v>Good</v>
      </c>
      <c r="M57">
        <v>1</v>
      </c>
      <c r="N57" t="str">
        <f t="shared" si="1"/>
        <v>Yes</v>
      </c>
      <c r="O57">
        <v>0.43</v>
      </c>
      <c r="P57" t="str" cm="1">
        <f t="array" ref="P57">_xlfn.IFS(O57&lt;=0.3,"Low Risk",O57&lt;=0.4,"medium Risk",O57&lt;=0.5,"High Risk",O57&gt;0.5,"Very High Risk")</f>
        <v>High Risk</v>
      </c>
      <c r="Q57">
        <v>18972</v>
      </c>
      <c r="R57">
        <v>20422</v>
      </c>
      <c r="S57" t="str">
        <f t="shared" si="2"/>
        <v>Yes</v>
      </c>
      <c r="T57">
        <v>25918</v>
      </c>
      <c r="U57" t="str" cm="1">
        <f t="array" ref="U57">_xlfn.IFS(T57&lt;5000,"Small",T57&lt;20000,"Medium",T57&lt;35000,"Large",T57&gt;35000,"Very Large")</f>
        <v>Large</v>
      </c>
      <c r="V57">
        <v>84</v>
      </c>
      <c r="W57">
        <f t="shared" si="3"/>
        <v>7</v>
      </c>
      <c r="X57" t="s">
        <v>50</v>
      </c>
      <c r="Y57" t="s">
        <v>32</v>
      </c>
      <c r="Z57" t="s">
        <v>39</v>
      </c>
      <c r="AA57" t="s">
        <v>40</v>
      </c>
      <c r="AB57" t="s">
        <v>51</v>
      </c>
      <c r="AC57" t="s">
        <v>36</v>
      </c>
    </row>
    <row r="58" spans="1:29" x14ac:dyDescent="0.25">
      <c r="A58">
        <v>60</v>
      </c>
      <c r="B58">
        <v>2995</v>
      </c>
      <c r="C58">
        <v>9442</v>
      </c>
      <c r="D58">
        <f t="shared" si="0"/>
        <v>12437</v>
      </c>
      <c r="E58" t="s">
        <v>46</v>
      </c>
      <c r="F58">
        <v>28</v>
      </c>
      <c r="G58" t="str" cm="1">
        <f t="array" ref="G58">_xlfn.IFS(F58&lt;25,"18-24",F58&lt;35,"25-35",F58&lt;45,"35-44",F58&lt;55,"44-54",F58&gt;=55,"55+")</f>
        <v>25-35</v>
      </c>
      <c r="H58" t="s">
        <v>30</v>
      </c>
      <c r="I58">
        <v>0</v>
      </c>
      <c r="J58" t="str" cm="1">
        <f t="array" ref="J58">_xlfn.IFS(I58&lt;=0,"No Dependents",I58&lt;=1,"One",I58&lt;=2,"Two",I58&gt;=3,"Third")</f>
        <v>No Dependents</v>
      </c>
      <c r="K58">
        <v>631</v>
      </c>
      <c r="L58" t="str" cm="1">
        <f t="array" ref="L58">_xlfn.IFS(K58&lt;=580,"Poor",K58&lt;=670,"fair",K58&lt;=740,"Good",K58&lt;=800,"Very Good",K58&gt;=800,"Excellent")</f>
        <v>fair</v>
      </c>
      <c r="M58">
        <v>1</v>
      </c>
      <c r="N58" t="str">
        <f t="shared" si="1"/>
        <v>Yes</v>
      </c>
      <c r="O58">
        <v>0.51</v>
      </c>
      <c r="P58" t="str" cm="1">
        <f t="array" ref="P58">_xlfn.IFS(O58&lt;=0.3,"Low Risk",O58&lt;=0.4,"medium Risk",O58&lt;=0.5,"High Risk",O58&gt;0.5,"Very High Risk")</f>
        <v>Very High Risk</v>
      </c>
      <c r="Q58">
        <v>14318</v>
      </c>
      <c r="R58">
        <v>9244</v>
      </c>
      <c r="S58" t="str">
        <f t="shared" si="2"/>
        <v>Yes</v>
      </c>
      <c r="T58">
        <v>8207</v>
      </c>
      <c r="U58" t="str" cm="1">
        <f t="array" ref="U58">_xlfn.IFS(T58&lt;5000,"Small",T58&lt;20000,"Medium",T58&lt;35000,"Large",T58&gt;35000,"Very Large")</f>
        <v>Medium</v>
      </c>
      <c r="V58">
        <v>24</v>
      </c>
      <c r="W58">
        <f t="shared" si="3"/>
        <v>2</v>
      </c>
      <c r="X58" t="s">
        <v>50</v>
      </c>
      <c r="Y58" t="s">
        <v>32</v>
      </c>
      <c r="Z58" t="s">
        <v>33</v>
      </c>
      <c r="AA58" t="s">
        <v>34</v>
      </c>
      <c r="AB58" t="s">
        <v>35</v>
      </c>
      <c r="AC58" t="s">
        <v>36</v>
      </c>
    </row>
    <row r="59" spans="1:29" x14ac:dyDescent="0.25">
      <c r="A59">
        <v>61</v>
      </c>
      <c r="B59">
        <v>13534</v>
      </c>
      <c r="C59">
        <v>1333</v>
      </c>
      <c r="D59">
        <f t="shared" si="0"/>
        <v>14867</v>
      </c>
      <c r="E59" t="s">
        <v>49</v>
      </c>
      <c r="F59">
        <v>50</v>
      </c>
      <c r="G59" t="str" cm="1">
        <f t="array" ref="G59">_xlfn.IFS(F59&lt;25,"18-24",F59&lt;35,"25-35",F59&lt;45,"35-44",F59&lt;55,"44-54",F59&gt;=55,"55+")</f>
        <v>44-54</v>
      </c>
      <c r="H59" t="s">
        <v>30</v>
      </c>
      <c r="I59">
        <v>1</v>
      </c>
      <c r="J59" t="str" cm="1">
        <f t="array" ref="J59">_xlfn.IFS(I59&lt;=0,"No Dependents",I59&lt;=1,"One",I59&lt;=2,"Two",I59&gt;=3,"Third")</f>
        <v>One</v>
      </c>
      <c r="K59">
        <v>550</v>
      </c>
      <c r="L59" t="str" cm="1">
        <f t="array" ref="L59">_xlfn.IFS(K59&lt;=580,"Poor",K59&lt;=670,"fair",K59&lt;=740,"Good",K59&lt;=800,"Very Good",K59&gt;=800,"Excellent")</f>
        <v>Poor</v>
      </c>
      <c r="M59">
        <v>1</v>
      </c>
      <c r="N59" t="str">
        <f t="shared" si="1"/>
        <v>Yes</v>
      </c>
      <c r="O59">
        <v>0.42</v>
      </c>
      <c r="P59" t="str" cm="1">
        <f t="array" ref="P59">_xlfn.IFS(O59&lt;=0.3,"Low Risk",O59&lt;=0.4,"medium Risk",O59&lt;=0.5,"High Risk",O59&gt;0.5,"Very High Risk")</f>
        <v>High Risk</v>
      </c>
      <c r="Q59">
        <v>18166</v>
      </c>
      <c r="R59">
        <v>33481</v>
      </c>
      <c r="S59" t="str">
        <f t="shared" si="2"/>
        <v>Yes</v>
      </c>
      <c r="T59">
        <v>0</v>
      </c>
      <c r="U59" t="str" cm="1">
        <f t="array" ref="U59">_xlfn.IFS(T59&lt;5000,"Small",T59&lt;20000,"Medium",T59&lt;35000,"Large",T59&gt;35000,"Very Large")</f>
        <v>Small</v>
      </c>
      <c r="V59">
        <v>48</v>
      </c>
      <c r="W59">
        <f t="shared" si="3"/>
        <v>4</v>
      </c>
      <c r="X59" t="s">
        <v>47</v>
      </c>
      <c r="Y59" t="s">
        <v>32</v>
      </c>
      <c r="Z59" t="s">
        <v>39</v>
      </c>
      <c r="AA59" t="s">
        <v>40</v>
      </c>
      <c r="AB59" t="s">
        <v>48</v>
      </c>
      <c r="AC59" t="s">
        <v>36</v>
      </c>
    </row>
    <row r="60" spans="1:29" x14ac:dyDescent="0.25">
      <c r="A60">
        <v>62</v>
      </c>
      <c r="B60">
        <v>9629</v>
      </c>
      <c r="C60">
        <v>4150</v>
      </c>
      <c r="D60">
        <f t="shared" si="0"/>
        <v>13779</v>
      </c>
      <c r="E60" t="s">
        <v>49</v>
      </c>
      <c r="F60">
        <v>52</v>
      </c>
      <c r="G60" t="str" cm="1">
        <f t="array" ref="G60">_xlfn.IFS(F60&lt;25,"18-24",F60&lt;35,"25-35",F60&lt;45,"35-44",F60&lt;55,"44-54",F60&gt;=55,"55+")</f>
        <v>44-54</v>
      </c>
      <c r="H60" t="s">
        <v>30</v>
      </c>
      <c r="I60">
        <v>2</v>
      </c>
      <c r="J60" t="str" cm="1">
        <f t="array" ref="J60">_xlfn.IFS(I60&lt;=0,"No Dependents",I60&lt;=1,"One",I60&lt;=2,"Two",I60&gt;=3,"Third")</f>
        <v>Two</v>
      </c>
      <c r="K60">
        <v>778</v>
      </c>
      <c r="L60" t="str" cm="1">
        <f t="array" ref="L60">_xlfn.IFS(K60&lt;=580,"Poor",K60&lt;=670,"fair",K60&lt;=740,"Good",K60&lt;=800,"Very Good",K60&gt;=800,"Excellent")</f>
        <v>Very Good</v>
      </c>
      <c r="M60">
        <v>3</v>
      </c>
      <c r="N60" t="str">
        <f t="shared" si="1"/>
        <v>Yes</v>
      </c>
      <c r="O60">
        <v>0.57999999999999996</v>
      </c>
      <c r="P60" t="str" cm="1">
        <f t="array" ref="P60">_xlfn.IFS(O60&lt;=0.3,"Low Risk",O60&lt;=0.4,"medium Risk",O60&lt;=0.5,"High Risk",O60&gt;0.5,"Very High Risk")</f>
        <v>Very High Risk</v>
      </c>
      <c r="Q60">
        <v>19904</v>
      </c>
      <c r="R60">
        <v>23644</v>
      </c>
      <c r="S60" t="str">
        <f t="shared" si="2"/>
        <v>Yes</v>
      </c>
      <c r="T60">
        <v>27974</v>
      </c>
      <c r="U60" t="str" cm="1">
        <f t="array" ref="U60">_xlfn.IFS(T60&lt;5000,"Small",T60&lt;20000,"Medium",T60&lt;35000,"Large",T60&gt;35000,"Very Large")</f>
        <v>Large</v>
      </c>
      <c r="V60">
        <v>36</v>
      </c>
      <c r="W60">
        <f t="shared" si="3"/>
        <v>3</v>
      </c>
      <c r="X60" t="s">
        <v>47</v>
      </c>
      <c r="Y60" t="s">
        <v>32</v>
      </c>
      <c r="Z60" t="s">
        <v>33</v>
      </c>
      <c r="AA60" t="s">
        <v>40</v>
      </c>
      <c r="AB60" t="s">
        <v>42</v>
      </c>
      <c r="AC60" t="s">
        <v>36</v>
      </c>
    </row>
    <row r="61" spans="1:29" x14ac:dyDescent="0.25">
      <c r="A61">
        <v>63</v>
      </c>
      <c r="B61">
        <v>3016</v>
      </c>
      <c r="C61">
        <v>6766</v>
      </c>
      <c r="D61">
        <f t="shared" si="0"/>
        <v>9782</v>
      </c>
      <c r="E61" t="s">
        <v>29</v>
      </c>
      <c r="F61">
        <v>56</v>
      </c>
      <c r="G61" t="str" cm="1">
        <f t="array" ref="G61">_xlfn.IFS(F61&lt;25,"18-24",F61&lt;35,"25-35",F61&lt;45,"35-44",F61&lt;55,"44-54",F61&gt;=55,"55+")</f>
        <v>55+</v>
      </c>
      <c r="H61" t="s">
        <v>41</v>
      </c>
      <c r="I61">
        <v>1</v>
      </c>
      <c r="J61" t="str" cm="1">
        <f t="array" ref="J61">_xlfn.IFS(I61&lt;=0,"No Dependents",I61&lt;=1,"One",I61&lt;=2,"Two",I61&gt;=3,"Third")</f>
        <v>One</v>
      </c>
      <c r="K61">
        <v>763</v>
      </c>
      <c r="L61" t="str" cm="1">
        <f t="array" ref="L61">_xlfn.IFS(K61&lt;=580,"Poor",K61&lt;=670,"fair",K61&lt;=740,"Good",K61&lt;=800,"Very Good",K61&gt;=800,"Excellent")</f>
        <v>Very Good</v>
      </c>
      <c r="M61">
        <v>4</v>
      </c>
      <c r="N61" t="str">
        <f t="shared" si="1"/>
        <v>Yes</v>
      </c>
      <c r="O61">
        <v>0.46</v>
      </c>
      <c r="P61" t="str" cm="1">
        <f t="array" ref="P61">_xlfn.IFS(O61&lt;=0.3,"Low Risk",O61&lt;=0.4,"medium Risk",O61&lt;=0.5,"High Risk",O61&gt;0.5,"Very High Risk")</f>
        <v>High Risk</v>
      </c>
      <c r="Q61">
        <v>11324</v>
      </c>
      <c r="R61">
        <v>43848</v>
      </c>
      <c r="S61" t="str">
        <f t="shared" si="2"/>
        <v>Yes</v>
      </c>
      <c r="T61">
        <v>29172</v>
      </c>
      <c r="U61" t="str" cm="1">
        <f t="array" ref="U61">_xlfn.IFS(T61&lt;5000,"Small",T61&lt;20000,"Medium",T61&lt;35000,"Large",T61&gt;35000,"Very Large")</f>
        <v>Large</v>
      </c>
      <c r="V61">
        <v>84</v>
      </c>
      <c r="W61">
        <f t="shared" si="3"/>
        <v>7</v>
      </c>
      <c r="X61" t="s">
        <v>37</v>
      </c>
      <c r="Y61" t="s">
        <v>45</v>
      </c>
      <c r="Z61" t="s">
        <v>39</v>
      </c>
      <c r="AA61" t="s">
        <v>40</v>
      </c>
      <c r="AB61" t="s">
        <v>35</v>
      </c>
      <c r="AC61" t="s">
        <v>36</v>
      </c>
    </row>
    <row r="62" spans="1:29" x14ac:dyDescent="0.25">
      <c r="A62">
        <v>64</v>
      </c>
      <c r="B62">
        <v>10529</v>
      </c>
      <c r="C62">
        <v>2711</v>
      </c>
      <c r="D62">
        <f t="shared" si="0"/>
        <v>13240</v>
      </c>
      <c r="E62" t="s">
        <v>48</v>
      </c>
      <c r="F62">
        <v>50</v>
      </c>
      <c r="G62" t="str" cm="1">
        <f t="array" ref="G62">_xlfn.IFS(F62&lt;25,"18-24",F62&lt;35,"25-35",F62&lt;45,"35-44",F62&lt;55,"44-54",F62&gt;=55,"55+")</f>
        <v>44-54</v>
      </c>
      <c r="H62" t="s">
        <v>30</v>
      </c>
      <c r="I62">
        <v>3</v>
      </c>
      <c r="J62" t="str" cm="1">
        <f t="array" ref="J62">_xlfn.IFS(I62&lt;=0,"No Dependents",I62&lt;=1,"One",I62&lt;=2,"Two",I62&gt;=3,"Third")</f>
        <v>Third</v>
      </c>
      <c r="K62">
        <v>753</v>
      </c>
      <c r="L62" t="str" cm="1">
        <f t="array" ref="L62">_xlfn.IFS(K62&lt;=580,"Poor",K62&lt;=670,"fair",K62&lt;=740,"Good",K62&lt;=800,"Very Good",K62&gt;=800,"Excellent")</f>
        <v>Very Good</v>
      </c>
      <c r="M62">
        <v>3</v>
      </c>
      <c r="N62" t="str">
        <f t="shared" si="1"/>
        <v>Yes</v>
      </c>
      <c r="O62">
        <v>0.56000000000000005</v>
      </c>
      <c r="P62" t="str" cm="1">
        <f t="array" ref="P62">_xlfn.IFS(O62&lt;=0.3,"Low Risk",O62&lt;=0.4,"medium Risk",O62&lt;=0.5,"High Risk",O62&gt;0.5,"Very High Risk")</f>
        <v>Very High Risk</v>
      </c>
      <c r="Q62">
        <v>3218</v>
      </c>
      <c r="R62">
        <v>8521</v>
      </c>
      <c r="S62" t="str">
        <f t="shared" si="2"/>
        <v>Yes</v>
      </c>
      <c r="T62">
        <v>33283</v>
      </c>
      <c r="U62" t="str" cm="1">
        <f t="array" ref="U62">_xlfn.IFS(T62&lt;5000,"Small",T62&lt;20000,"Medium",T62&lt;35000,"Large",T62&gt;35000,"Very Large")</f>
        <v>Large</v>
      </c>
      <c r="V62">
        <v>72</v>
      </c>
      <c r="W62">
        <f t="shared" si="3"/>
        <v>6</v>
      </c>
      <c r="X62" t="s">
        <v>47</v>
      </c>
      <c r="Y62" t="s">
        <v>45</v>
      </c>
      <c r="Z62" t="s">
        <v>39</v>
      </c>
      <c r="AA62" t="s">
        <v>34</v>
      </c>
      <c r="AB62" t="s">
        <v>35</v>
      </c>
      <c r="AC62" t="s">
        <v>36</v>
      </c>
    </row>
    <row r="63" spans="1:29" x14ac:dyDescent="0.25">
      <c r="A63">
        <v>65</v>
      </c>
      <c r="B63">
        <v>19262</v>
      </c>
      <c r="C63">
        <v>4853</v>
      </c>
      <c r="D63">
        <f t="shared" si="0"/>
        <v>24115</v>
      </c>
      <c r="E63" t="s">
        <v>52</v>
      </c>
      <c r="F63">
        <v>21</v>
      </c>
      <c r="G63" t="str" cm="1">
        <f t="array" ref="G63">_xlfn.IFS(F63&lt;25,"18-24",F63&lt;35,"25-35",F63&lt;45,"35-44",F63&lt;55,"44-54",F63&gt;=55,"55+")</f>
        <v>18-24</v>
      </c>
      <c r="H63" t="s">
        <v>30</v>
      </c>
      <c r="I63">
        <v>0</v>
      </c>
      <c r="J63" t="str" cm="1">
        <f t="array" ref="J63">_xlfn.IFS(I63&lt;=0,"No Dependents",I63&lt;=1,"One",I63&lt;=2,"Two",I63&gt;=3,"Third")</f>
        <v>No Dependents</v>
      </c>
      <c r="K63">
        <v>551</v>
      </c>
      <c r="L63" t="str" cm="1">
        <f t="array" ref="L63">_xlfn.IFS(K63&lt;=580,"Poor",K63&lt;=670,"fair",K63&lt;=740,"Good",K63&lt;=800,"Very Good",K63&gt;=800,"Excellent")</f>
        <v>Poor</v>
      </c>
      <c r="M63">
        <v>3</v>
      </c>
      <c r="N63" t="str">
        <f t="shared" si="1"/>
        <v>Yes</v>
      </c>
      <c r="O63">
        <v>0.36</v>
      </c>
      <c r="P63" t="str" cm="1">
        <f t="array" ref="P63">_xlfn.IFS(O63&lt;=0.3,"Low Risk",O63&lt;=0.4,"medium Risk",O63&lt;=0.5,"High Risk",O63&gt;0.5,"Very High Risk")</f>
        <v>medium Risk</v>
      </c>
      <c r="Q63">
        <v>4016</v>
      </c>
      <c r="R63">
        <v>1746</v>
      </c>
      <c r="S63" t="str">
        <f t="shared" si="2"/>
        <v>Yes</v>
      </c>
      <c r="T63">
        <v>39995</v>
      </c>
      <c r="U63" t="str" cm="1">
        <f t="array" ref="U63">_xlfn.IFS(T63&lt;5000,"Small",T63&lt;20000,"Medium",T63&lt;35000,"Large",T63&gt;35000,"Very Large")</f>
        <v>Very Large</v>
      </c>
      <c r="V63">
        <v>60</v>
      </c>
      <c r="W63">
        <f t="shared" si="3"/>
        <v>5</v>
      </c>
      <c r="X63" t="s">
        <v>42</v>
      </c>
      <c r="Y63" t="s">
        <v>32</v>
      </c>
      <c r="Z63" t="s">
        <v>39</v>
      </c>
      <c r="AA63" t="s">
        <v>34</v>
      </c>
      <c r="AB63" t="s">
        <v>43</v>
      </c>
      <c r="AC63" t="s">
        <v>36</v>
      </c>
    </row>
    <row r="64" spans="1:29" x14ac:dyDescent="0.25">
      <c r="A64">
        <v>66</v>
      </c>
      <c r="B64">
        <v>11268</v>
      </c>
      <c r="C64">
        <v>6212</v>
      </c>
      <c r="D64">
        <f t="shared" si="0"/>
        <v>17480</v>
      </c>
      <c r="E64" t="s">
        <v>29</v>
      </c>
      <c r="F64">
        <v>59</v>
      </c>
      <c r="G64" t="str" cm="1">
        <f t="array" ref="G64">_xlfn.IFS(F64&lt;25,"18-24",F64&lt;35,"25-35",F64&lt;45,"35-44",F64&lt;55,"44-54",F64&gt;=55,"55+")</f>
        <v>55+</v>
      </c>
      <c r="H64" t="s">
        <v>30</v>
      </c>
      <c r="I64">
        <v>1</v>
      </c>
      <c r="J64" t="str" cm="1">
        <f t="array" ref="J64">_xlfn.IFS(I64&lt;=0,"No Dependents",I64&lt;=1,"One",I64&lt;=2,"Two",I64&gt;=3,"Third")</f>
        <v>One</v>
      </c>
      <c r="K64">
        <v>676</v>
      </c>
      <c r="L64" t="str" cm="1">
        <f t="array" ref="L64">_xlfn.IFS(K64&lt;=580,"Poor",K64&lt;=670,"fair",K64&lt;=740,"Good",K64&lt;=800,"Very Good",K64&gt;=800,"Excellent")</f>
        <v>Good</v>
      </c>
      <c r="M64">
        <v>0</v>
      </c>
      <c r="N64" t="str">
        <f t="shared" si="1"/>
        <v>No</v>
      </c>
      <c r="O64">
        <v>0.16</v>
      </c>
      <c r="P64" t="str" cm="1">
        <f t="array" ref="P64">_xlfn.IFS(O64&lt;=0.3,"Low Risk",O64&lt;=0.4,"medium Risk",O64&lt;=0.5,"High Risk",O64&gt;0.5,"Very High Risk")</f>
        <v>Low Risk</v>
      </c>
      <c r="Q64">
        <v>2837</v>
      </c>
      <c r="R64">
        <v>17591</v>
      </c>
      <c r="S64" t="str">
        <f t="shared" si="2"/>
        <v>Yes</v>
      </c>
      <c r="T64">
        <v>14280</v>
      </c>
      <c r="U64" t="str" cm="1">
        <f t="array" ref="U64">_xlfn.IFS(T64&lt;5000,"Small",T64&lt;20000,"Medium",T64&lt;35000,"Large",T64&gt;35000,"Very Large")</f>
        <v>Medium</v>
      </c>
      <c r="V64">
        <v>48</v>
      </c>
      <c r="W64">
        <f t="shared" si="3"/>
        <v>4</v>
      </c>
      <c r="X64" t="s">
        <v>42</v>
      </c>
      <c r="Y64" t="s">
        <v>32</v>
      </c>
      <c r="Z64" t="s">
        <v>33</v>
      </c>
      <c r="AA64" t="s">
        <v>40</v>
      </c>
      <c r="AB64" t="s">
        <v>51</v>
      </c>
      <c r="AC64" t="s">
        <v>44</v>
      </c>
    </row>
    <row r="65" spans="1:29" x14ac:dyDescent="0.25">
      <c r="A65">
        <v>67</v>
      </c>
      <c r="B65">
        <v>14185</v>
      </c>
      <c r="C65">
        <v>7479</v>
      </c>
      <c r="D65">
        <f t="shared" si="0"/>
        <v>21664</v>
      </c>
      <c r="E65" t="s">
        <v>29</v>
      </c>
      <c r="F65">
        <v>37</v>
      </c>
      <c r="G65" t="str" cm="1">
        <f t="array" ref="G65">_xlfn.IFS(F65&lt;25,"18-24",F65&lt;35,"25-35",F65&lt;45,"35-44",F65&lt;55,"44-54",F65&gt;=55,"55+")</f>
        <v>35-44</v>
      </c>
      <c r="H65" t="s">
        <v>30</v>
      </c>
      <c r="I65">
        <v>3</v>
      </c>
      <c r="J65" t="str" cm="1">
        <f t="array" ref="J65">_xlfn.IFS(I65&lt;=0,"No Dependents",I65&lt;=1,"One",I65&lt;=2,"Two",I65&gt;=3,"Third")</f>
        <v>Third</v>
      </c>
      <c r="K65">
        <v>778</v>
      </c>
      <c r="L65" t="str" cm="1">
        <f t="array" ref="L65">_xlfn.IFS(K65&lt;=580,"Poor",K65&lt;=670,"fair",K65&lt;=740,"Good",K65&lt;=800,"Very Good",K65&gt;=800,"Excellent")</f>
        <v>Very Good</v>
      </c>
      <c r="M65">
        <v>0</v>
      </c>
      <c r="N65" t="str">
        <f t="shared" si="1"/>
        <v>No</v>
      </c>
      <c r="O65">
        <v>0.36</v>
      </c>
      <c r="P65" t="str" cm="1">
        <f t="array" ref="P65">_xlfn.IFS(O65&lt;=0.3,"Low Risk",O65&lt;=0.4,"medium Risk",O65&lt;=0.5,"High Risk",O65&gt;0.5,"Very High Risk")</f>
        <v>medium Risk</v>
      </c>
      <c r="Q65">
        <v>16312</v>
      </c>
      <c r="R65">
        <v>26718</v>
      </c>
      <c r="S65" t="str">
        <f t="shared" si="2"/>
        <v>Yes</v>
      </c>
      <c r="T65">
        <v>37303</v>
      </c>
      <c r="U65" t="str" cm="1">
        <f t="array" ref="U65">_xlfn.IFS(T65&lt;5000,"Small",T65&lt;20000,"Medium",T65&lt;35000,"Large",T65&gt;35000,"Very Large")</f>
        <v>Very Large</v>
      </c>
      <c r="V65">
        <v>48</v>
      </c>
      <c r="W65">
        <f t="shared" si="3"/>
        <v>4</v>
      </c>
      <c r="X65" t="s">
        <v>42</v>
      </c>
      <c r="Y65" t="s">
        <v>32</v>
      </c>
      <c r="Z65" t="s">
        <v>33</v>
      </c>
      <c r="AA65" t="s">
        <v>40</v>
      </c>
      <c r="AB65" t="s">
        <v>51</v>
      </c>
      <c r="AC65" t="s">
        <v>44</v>
      </c>
    </row>
    <row r="66" spans="1:29" x14ac:dyDescent="0.25">
      <c r="A66">
        <v>68</v>
      </c>
      <c r="B66">
        <v>8331</v>
      </c>
      <c r="C66">
        <v>5408</v>
      </c>
      <c r="D66">
        <f t="shared" si="0"/>
        <v>13739</v>
      </c>
      <c r="E66" t="s">
        <v>29</v>
      </c>
      <c r="F66">
        <v>40</v>
      </c>
      <c r="G66" t="str" cm="1">
        <f t="array" ref="G66">_xlfn.IFS(F66&lt;25,"18-24",F66&lt;35,"25-35",F66&lt;45,"35-44",F66&lt;55,"44-54",F66&gt;=55,"55+")</f>
        <v>35-44</v>
      </c>
      <c r="H66" t="s">
        <v>30</v>
      </c>
      <c r="I66">
        <v>2</v>
      </c>
      <c r="J66" t="str" cm="1">
        <f t="array" ref="J66">_xlfn.IFS(I66&lt;=0,"No Dependents",I66&lt;=1,"One",I66&lt;=2,"Two",I66&gt;=3,"Third")</f>
        <v>Two</v>
      </c>
      <c r="K66">
        <v>684</v>
      </c>
      <c r="L66" t="str" cm="1">
        <f t="array" ref="L66">_xlfn.IFS(K66&lt;=580,"Poor",K66&lt;=670,"fair",K66&lt;=740,"Good",K66&lt;=800,"Very Good",K66&gt;=800,"Excellent")</f>
        <v>Good</v>
      </c>
      <c r="M66">
        <v>0</v>
      </c>
      <c r="N66" t="str">
        <f t="shared" si="1"/>
        <v>No</v>
      </c>
      <c r="O66">
        <v>0.16</v>
      </c>
      <c r="P66" t="str" cm="1">
        <f t="array" ref="P66">_xlfn.IFS(O66&lt;=0.3,"Low Risk",O66&lt;=0.4,"medium Risk",O66&lt;=0.5,"High Risk",O66&gt;0.5,"Very High Risk")</f>
        <v>Low Risk</v>
      </c>
      <c r="Q66">
        <v>7034</v>
      </c>
      <c r="R66">
        <v>49936</v>
      </c>
      <c r="S66" t="str">
        <f t="shared" si="2"/>
        <v>Yes</v>
      </c>
      <c r="T66">
        <v>28453</v>
      </c>
      <c r="U66" t="str" cm="1">
        <f t="array" ref="U66">_xlfn.IFS(T66&lt;5000,"Small",T66&lt;20000,"Medium",T66&lt;35000,"Large",T66&gt;35000,"Very Large")</f>
        <v>Large</v>
      </c>
      <c r="V66">
        <v>36</v>
      </c>
      <c r="W66">
        <f t="shared" si="3"/>
        <v>3</v>
      </c>
      <c r="X66" t="s">
        <v>31</v>
      </c>
      <c r="Y66" t="s">
        <v>32</v>
      </c>
      <c r="Z66" t="s">
        <v>39</v>
      </c>
      <c r="AA66" t="s">
        <v>40</v>
      </c>
      <c r="AB66" t="s">
        <v>35</v>
      </c>
      <c r="AC66" t="s">
        <v>44</v>
      </c>
    </row>
    <row r="67" spans="1:29" x14ac:dyDescent="0.25">
      <c r="A67">
        <v>69</v>
      </c>
      <c r="B67">
        <v>10571</v>
      </c>
      <c r="C67">
        <v>9977</v>
      </c>
      <c r="D67">
        <f t="shared" ref="D67:D130" si="4">B67+C67</f>
        <v>20548</v>
      </c>
      <c r="E67" t="s">
        <v>29</v>
      </c>
      <c r="F67">
        <v>44</v>
      </c>
      <c r="G67" t="str" cm="1">
        <f t="array" ref="G67">_xlfn.IFS(F67&lt;25,"18-24",F67&lt;35,"25-35",F67&lt;45,"35-44",F67&lt;55,"44-54",F67&gt;=55,"55+")</f>
        <v>35-44</v>
      </c>
      <c r="H67" t="s">
        <v>41</v>
      </c>
      <c r="I67">
        <v>1</v>
      </c>
      <c r="J67" t="str" cm="1">
        <f t="array" ref="J67">_xlfn.IFS(I67&lt;=0,"No Dependents",I67&lt;=1,"One",I67&lt;=2,"Two",I67&gt;=3,"Third")</f>
        <v>One</v>
      </c>
      <c r="K67">
        <v>575</v>
      </c>
      <c r="L67" t="str" cm="1">
        <f t="array" ref="L67">_xlfn.IFS(K67&lt;=580,"Poor",K67&lt;=670,"fair",K67&lt;=740,"Good",K67&lt;=800,"Very Good",K67&gt;=800,"Excellent")</f>
        <v>Poor</v>
      </c>
      <c r="M67">
        <v>2</v>
      </c>
      <c r="N67" t="str">
        <f t="shared" ref="N67:N130" si="5">IF(M67&gt;0,"Yes","No")</f>
        <v>Yes</v>
      </c>
      <c r="O67">
        <v>0.4</v>
      </c>
      <c r="P67" t="str" cm="1">
        <f t="array" ref="P67">_xlfn.IFS(O67&lt;=0.3,"Low Risk",O67&lt;=0.4,"medium Risk",O67&lt;=0.5,"High Risk",O67&gt;0.5,"Very High Risk")</f>
        <v>medium Risk</v>
      </c>
      <c r="Q67">
        <v>0</v>
      </c>
      <c r="R67">
        <v>2696</v>
      </c>
      <c r="S67" t="str">
        <f t="shared" ref="S67:S130" si="6">IF(R67&gt;100,"Yes","No")</f>
        <v>Yes</v>
      </c>
      <c r="T67">
        <v>3913</v>
      </c>
      <c r="U67" t="str" cm="1">
        <f t="array" ref="U67">_xlfn.IFS(T67&lt;5000,"Small",T67&lt;20000,"Medium",T67&lt;35000,"Large",T67&gt;35000,"Very Large")</f>
        <v>Small</v>
      </c>
      <c r="V67">
        <v>24</v>
      </c>
      <c r="W67">
        <f t="shared" ref="W67:W130" si="7">V67/12</f>
        <v>2</v>
      </c>
      <c r="X67" t="s">
        <v>42</v>
      </c>
      <c r="Y67" t="s">
        <v>38</v>
      </c>
      <c r="Z67" t="s">
        <v>33</v>
      </c>
      <c r="AA67" t="s">
        <v>40</v>
      </c>
      <c r="AB67" t="s">
        <v>48</v>
      </c>
      <c r="AC67" t="s">
        <v>36</v>
      </c>
    </row>
    <row r="68" spans="1:29" x14ac:dyDescent="0.25">
      <c r="A68">
        <v>70</v>
      </c>
      <c r="B68">
        <v>9208</v>
      </c>
      <c r="C68">
        <v>7715</v>
      </c>
      <c r="D68">
        <f t="shared" si="4"/>
        <v>16923</v>
      </c>
      <c r="E68" t="s">
        <v>48</v>
      </c>
      <c r="F68">
        <v>42</v>
      </c>
      <c r="G68" t="str" cm="1">
        <f t="array" ref="G68">_xlfn.IFS(F68&lt;25,"18-24",F68&lt;35,"25-35",F68&lt;45,"35-44",F68&lt;55,"44-54",F68&gt;=55,"55+")</f>
        <v>35-44</v>
      </c>
      <c r="H68" t="s">
        <v>30</v>
      </c>
      <c r="I68">
        <v>2</v>
      </c>
      <c r="J68" t="str" cm="1">
        <f t="array" ref="J68">_xlfn.IFS(I68&lt;=0,"No Dependents",I68&lt;=1,"One",I68&lt;=2,"Two",I68&gt;=3,"Third")</f>
        <v>Two</v>
      </c>
      <c r="K68">
        <v>767</v>
      </c>
      <c r="L68" t="str" cm="1">
        <f t="array" ref="L68">_xlfn.IFS(K68&lt;=580,"Poor",K68&lt;=670,"fair",K68&lt;=740,"Good",K68&lt;=800,"Very Good",K68&gt;=800,"Excellent")</f>
        <v>Very Good</v>
      </c>
      <c r="M68">
        <v>0</v>
      </c>
      <c r="N68" t="str">
        <f t="shared" si="5"/>
        <v>No</v>
      </c>
      <c r="O68">
        <v>0.34</v>
      </c>
      <c r="P68" t="str" cm="1">
        <f t="array" ref="P68">_xlfn.IFS(O68&lt;=0.3,"Low Risk",O68&lt;=0.4,"medium Risk",O68&lt;=0.5,"High Risk",O68&gt;0.5,"Very High Risk")</f>
        <v>medium Risk</v>
      </c>
      <c r="Q68">
        <v>14379</v>
      </c>
      <c r="R68">
        <v>12012</v>
      </c>
      <c r="S68" t="str">
        <f t="shared" si="6"/>
        <v>Yes</v>
      </c>
      <c r="T68">
        <v>26765</v>
      </c>
      <c r="U68" t="str" cm="1">
        <f t="array" ref="U68">_xlfn.IFS(T68&lt;5000,"Small",T68&lt;20000,"Medium",T68&lt;35000,"Large",T68&gt;35000,"Very Large")</f>
        <v>Large</v>
      </c>
      <c r="V68">
        <v>12</v>
      </c>
      <c r="W68">
        <f t="shared" si="7"/>
        <v>1</v>
      </c>
      <c r="X68" t="s">
        <v>47</v>
      </c>
      <c r="Y68" t="s">
        <v>45</v>
      </c>
      <c r="Z68" t="s">
        <v>39</v>
      </c>
      <c r="AA68" t="s">
        <v>34</v>
      </c>
      <c r="AB68" t="s">
        <v>51</v>
      </c>
      <c r="AC68" t="s">
        <v>44</v>
      </c>
    </row>
    <row r="69" spans="1:29" x14ac:dyDescent="0.25">
      <c r="A69">
        <v>71</v>
      </c>
      <c r="B69">
        <v>7276</v>
      </c>
      <c r="C69">
        <v>8942</v>
      </c>
      <c r="D69">
        <f t="shared" si="4"/>
        <v>16218</v>
      </c>
      <c r="E69" t="s">
        <v>29</v>
      </c>
      <c r="F69">
        <v>49</v>
      </c>
      <c r="G69" t="str" cm="1">
        <f t="array" ref="G69">_xlfn.IFS(F69&lt;25,"18-24",F69&lt;35,"25-35",F69&lt;45,"35-44",F69&lt;55,"44-54",F69&gt;=55,"55+")</f>
        <v>44-54</v>
      </c>
      <c r="H69" t="s">
        <v>41</v>
      </c>
      <c r="I69">
        <v>3</v>
      </c>
      <c r="J69" t="str" cm="1">
        <f t="array" ref="J69">_xlfn.IFS(I69&lt;=0,"No Dependents",I69&lt;=1,"One",I69&lt;=2,"Two",I69&gt;=3,"Third")</f>
        <v>Third</v>
      </c>
      <c r="K69">
        <v>637</v>
      </c>
      <c r="L69" t="str" cm="1">
        <f t="array" ref="L69">_xlfn.IFS(K69&lt;=580,"Poor",K69&lt;=670,"fair",K69&lt;=740,"Good",K69&lt;=800,"Very Good",K69&gt;=800,"Excellent")</f>
        <v>fair</v>
      </c>
      <c r="M69">
        <v>4</v>
      </c>
      <c r="N69" t="str">
        <f t="shared" si="5"/>
        <v>Yes</v>
      </c>
      <c r="O69">
        <v>0.41</v>
      </c>
      <c r="P69" t="str" cm="1">
        <f t="array" ref="P69">_xlfn.IFS(O69&lt;=0.3,"Low Risk",O69&lt;=0.4,"medium Risk",O69&lt;=0.5,"High Risk",O69&gt;0.5,"Very High Risk")</f>
        <v>High Risk</v>
      </c>
      <c r="Q69">
        <v>4239</v>
      </c>
      <c r="R69">
        <v>14688</v>
      </c>
      <c r="S69" t="str">
        <f t="shared" si="6"/>
        <v>Yes</v>
      </c>
      <c r="T69">
        <v>3340</v>
      </c>
      <c r="U69" t="str" cm="1">
        <f t="array" ref="U69">_xlfn.IFS(T69&lt;5000,"Small",T69&lt;20000,"Medium",T69&lt;35000,"Large",T69&gt;35000,"Very Large")</f>
        <v>Small</v>
      </c>
      <c r="V69">
        <v>48</v>
      </c>
      <c r="W69">
        <f t="shared" si="7"/>
        <v>4</v>
      </c>
      <c r="X69" t="s">
        <v>47</v>
      </c>
      <c r="Y69" t="s">
        <v>45</v>
      </c>
      <c r="Z69" t="s">
        <v>33</v>
      </c>
      <c r="AA69" t="s">
        <v>40</v>
      </c>
      <c r="AB69" t="s">
        <v>35</v>
      </c>
      <c r="AC69" t="s">
        <v>36</v>
      </c>
    </row>
    <row r="70" spans="1:29" x14ac:dyDescent="0.25">
      <c r="A70">
        <v>72</v>
      </c>
      <c r="B70">
        <v>18448</v>
      </c>
      <c r="C70">
        <v>1762</v>
      </c>
      <c r="D70">
        <f t="shared" si="4"/>
        <v>20210</v>
      </c>
      <c r="E70" t="s">
        <v>49</v>
      </c>
      <c r="F70">
        <v>42</v>
      </c>
      <c r="G70" t="str" cm="1">
        <f t="array" ref="G70">_xlfn.IFS(F70&lt;25,"18-24",F70&lt;35,"25-35",F70&lt;45,"35-44",F70&lt;55,"44-54",F70&gt;=55,"55+")</f>
        <v>35-44</v>
      </c>
      <c r="H70" t="s">
        <v>30</v>
      </c>
      <c r="I70">
        <v>2</v>
      </c>
      <c r="J70" t="str" cm="1">
        <f t="array" ref="J70">_xlfn.IFS(I70&lt;=0,"No Dependents",I70&lt;=1,"One",I70&lt;=2,"Two",I70&gt;=3,"Third")</f>
        <v>Two</v>
      </c>
      <c r="K70">
        <v>753</v>
      </c>
      <c r="L70" t="str" cm="1">
        <f t="array" ref="L70">_xlfn.IFS(K70&lt;=580,"Poor",K70&lt;=670,"fair",K70&lt;=740,"Good",K70&lt;=800,"Very Good",K70&gt;=800,"Excellent")</f>
        <v>Very Good</v>
      </c>
      <c r="M70">
        <v>3</v>
      </c>
      <c r="N70" t="str">
        <f t="shared" si="5"/>
        <v>Yes</v>
      </c>
      <c r="O70">
        <v>0.11</v>
      </c>
      <c r="P70" t="str" cm="1">
        <f t="array" ref="P70">_xlfn.IFS(O70&lt;=0.3,"Low Risk",O70&lt;=0.4,"medium Risk",O70&lt;=0.5,"High Risk",O70&gt;0.5,"Very High Risk")</f>
        <v>Low Risk</v>
      </c>
      <c r="Q70">
        <v>12128</v>
      </c>
      <c r="R70">
        <v>23457</v>
      </c>
      <c r="S70" t="str">
        <f t="shared" si="6"/>
        <v>Yes</v>
      </c>
      <c r="T70">
        <v>27179</v>
      </c>
      <c r="U70" t="str" cm="1">
        <f t="array" ref="U70">_xlfn.IFS(T70&lt;5000,"Small",T70&lt;20000,"Medium",T70&lt;35000,"Large",T70&gt;35000,"Very Large")</f>
        <v>Large</v>
      </c>
      <c r="V70">
        <v>24</v>
      </c>
      <c r="W70">
        <f t="shared" si="7"/>
        <v>2</v>
      </c>
      <c r="X70" t="s">
        <v>42</v>
      </c>
      <c r="Y70" t="s">
        <v>38</v>
      </c>
      <c r="Z70" t="s">
        <v>39</v>
      </c>
      <c r="AA70" t="s">
        <v>40</v>
      </c>
      <c r="AB70" t="s">
        <v>35</v>
      </c>
      <c r="AC70" t="s">
        <v>44</v>
      </c>
    </row>
    <row r="71" spans="1:29" x14ac:dyDescent="0.25">
      <c r="A71">
        <v>73</v>
      </c>
      <c r="B71">
        <v>18216</v>
      </c>
      <c r="C71">
        <v>7101</v>
      </c>
      <c r="D71">
        <f t="shared" si="4"/>
        <v>25317</v>
      </c>
      <c r="E71" t="s">
        <v>29</v>
      </c>
      <c r="F71">
        <v>29</v>
      </c>
      <c r="G71" t="str" cm="1">
        <f t="array" ref="G71">_xlfn.IFS(F71&lt;25,"18-24",F71&lt;35,"25-35",F71&lt;45,"35-44",F71&lt;55,"44-54",F71&gt;=55,"55+")</f>
        <v>25-35</v>
      </c>
      <c r="H71" t="s">
        <v>30</v>
      </c>
      <c r="I71">
        <v>3</v>
      </c>
      <c r="J71" t="str" cm="1">
        <f t="array" ref="J71">_xlfn.IFS(I71&lt;=0,"No Dependents",I71&lt;=1,"One",I71&lt;=2,"Two",I71&gt;=3,"Third")</f>
        <v>Third</v>
      </c>
      <c r="K71">
        <v>565</v>
      </c>
      <c r="L71" t="str" cm="1">
        <f t="array" ref="L71">_xlfn.IFS(K71&lt;=580,"Poor",K71&lt;=670,"fair",K71&lt;=740,"Good",K71&lt;=800,"Very Good",K71&gt;=800,"Excellent")</f>
        <v>Poor</v>
      </c>
      <c r="M71">
        <v>4</v>
      </c>
      <c r="N71" t="str">
        <f t="shared" si="5"/>
        <v>Yes</v>
      </c>
      <c r="O71">
        <v>0.2</v>
      </c>
      <c r="P71" t="str" cm="1">
        <f t="array" ref="P71">_xlfn.IFS(O71&lt;=0.3,"Low Risk",O71&lt;=0.4,"medium Risk",O71&lt;=0.5,"High Risk",O71&gt;0.5,"Very High Risk")</f>
        <v>Low Risk</v>
      </c>
      <c r="Q71">
        <v>15856</v>
      </c>
      <c r="R71">
        <v>0</v>
      </c>
      <c r="S71" t="str">
        <f t="shared" si="6"/>
        <v>No</v>
      </c>
      <c r="T71">
        <v>28873</v>
      </c>
      <c r="U71" t="str" cm="1">
        <f t="array" ref="U71">_xlfn.IFS(T71&lt;5000,"Small",T71&lt;20000,"Medium",T71&lt;35000,"Large",T71&gt;35000,"Very Large")</f>
        <v>Large</v>
      </c>
      <c r="V71">
        <v>12</v>
      </c>
      <c r="W71">
        <f t="shared" si="7"/>
        <v>1</v>
      </c>
      <c r="X71" t="s">
        <v>50</v>
      </c>
      <c r="Y71" t="s">
        <v>32</v>
      </c>
      <c r="Z71" t="s">
        <v>39</v>
      </c>
      <c r="AA71" t="s">
        <v>40</v>
      </c>
      <c r="AB71" t="s">
        <v>43</v>
      </c>
      <c r="AC71" t="s">
        <v>36</v>
      </c>
    </row>
    <row r="72" spans="1:29" x14ac:dyDescent="0.25">
      <c r="A72">
        <v>74</v>
      </c>
      <c r="B72">
        <v>10006</v>
      </c>
      <c r="C72">
        <v>7674</v>
      </c>
      <c r="D72">
        <f t="shared" si="4"/>
        <v>17680</v>
      </c>
      <c r="E72" t="s">
        <v>29</v>
      </c>
      <c r="F72">
        <v>40</v>
      </c>
      <c r="G72" t="str" cm="1">
        <f t="array" ref="G72">_xlfn.IFS(F72&lt;25,"18-24",F72&lt;35,"25-35",F72&lt;45,"35-44",F72&lt;55,"44-54",F72&gt;=55,"55+")</f>
        <v>35-44</v>
      </c>
      <c r="H72" t="s">
        <v>30</v>
      </c>
      <c r="I72">
        <v>3</v>
      </c>
      <c r="J72" t="str" cm="1">
        <f t="array" ref="J72">_xlfn.IFS(I72&lt;=0,"No Dependents",I72&lt;=1,"One",I72&lt;=2,"Two",I72&gt;=3,"Third")</f>
        <v>Third</v>
      </c>
      <c r="K72">
        <v>700</v>
      </c>
      <c r="L72" t="str" cm="1">
        <f t="array" ref="L72">_xlfn.IFS(K72&lt;=580,"Poor",K72&lt;=670,"fair",K72&lt;=740,"Good",K72&lt;=800,"Very Good",K72&gt;=800,"Excellent")</f>
        <v>Good</v>
      </c>
      <c r="M72">
        <v>0</v>
      </c>
      <c r="N72" t="str">
        <f t="shared" si="5"/>
        <v>No</v>
      </c>
      <c r="O72">
        <v>0.35</v>
      </c>
      <c r="P72" t="str" cm="1">
        <f t="array" ref="P72">_xlfn.IFS(O72&lt;=0.3,"Low Risk",O72&lt;=0.4,"medium Risk",O72&lt;=0.5,"High Risk",O72&gt;0.5,"Very High Risk")</f>
        <v>medium Risk</v>
      </c>
      <c r="Q72">
        <v>9611</v>
      </c>
      <c r="R72">
        <v>39895</v>
      </c>
      <c r="S72" t="str">
        <f t="shared" si="6"/>
        <v>Yes</v>
      </c>
      <c r="T72">
        <v>39057</v>
      </c>
      <c r="U72" t="str" cm="1">
        <f t="array" ref="U72">_xlfn.IFS(T72&lt;5000,"Small",T72&lt;20000,"Medium",T72&lt;35000,"Large",T72&gt;35000,"Very Large")</f>
        <v>Very Large</v>
      </c>
      <c r="V72">
        <v>60</v>
      </c>
      <c r="W72">
        <f t="shared" si="7"/>
        <v>5</v>
      </c>
      <c r="X72" t="s">
        <v>50</v>
      </c>
      <c r="Y72" t="s">
        <v>32</v>
      </c>
      <c r="Z72" t="s">
        <v>39</v>
      </c>
      <c r="AA72" t="s">
        <v>40</v>
      </c>
      <c r="AB72" t="s">
        <v>43</v>
      </c>
      <c r="AC72" t="s">
        <v>44</v>
      </c>
    </row>
    <row r="73" spans="1:29" x14ac:dyDescent="0.25">
      <c r="A73">
        <v>75</v>
      </c>
      <c r="B73">
        <v>4568</v>
      </c>
      <c r="C73">
        <v>6122</v>
      </c>
      <c r="D73">
        <f t="shared" si="4"/>
        <v>10690</v>
      </c>
      <c r="E73" t="s">
        <v>29</v>
      </c>
      <c r="F73">
        <v>30</v>
      </c>
      <c r="G73" t="str" cm="1">
        <f t="array" ref="G73">_xlfn.IFS(F73&lt;25,"18-24",F73&lt;35,"25-35",F73&lt;45,"35-44",F73&lt;55,"44-54",F73&gt;=55,"55+")</f>
        <v>25-35</v>
      </c>
      <c r="H73" t="s">
        <v>41</v>
      </c>
      <c r="I73">
        <v>3</v>
      </c>
      <c r="J73" t="str" cm="1">
        <f t="array" ref="J73">_xlfn.IFS(I73&lt;=0,"No Dependents",I73&lt;=1,"One",I73&lt;=2,"Two",I73&gt;=3,"Third")</f>
        <v>Third</v>
      </c>
      <c r="K73">
        <v>717</v>
      </c>
      <c r="L73" t="str" cm="1">
        <f t="array" ref="L73">_xlfn.IFS(K73&lt;=580,"Poor",K73&lt;=670,"fair",K73&lt;=740,"Good",K73&lt;=800,"Very Good",K73&gt;=800,"Excellent")</f>
        <v>Good</v>
      </c>
      <c r="M73">
        <v>2</v>
      </c>
      <c r="N73" t="str">
        <f t="shared" si="5"/>
        <v>Yes</v>
      </c>
      <c r="O73">
        <v>0.57999999999999996</v>
      </c>
      <c r="P73" t="str" cm="1">
        <f t="array" ref="P73">_xlfn.IFS(O73&lt;=0.3,"Low Risk",O73&lt;=0.4,"medium Risk",O73&lt;=0.5,"High Risk",O73&gt;0.5,"Very High Risk")</f>
        <v>Very High Risk</v>
      </c>
      <c r="Q73">
        <v>4150</v>
      </c>
      <c r="R73">
        <v>29960</v>
      </c>
      <c r="S73" t="str">
        <f t="shared" si="6"/>
        <v>Yes</v>
      </c>
      <c r="T73">
        <v>1597</v>
      </c>
      <c r="U73" t="str" cm="1">
        <f t="array" ref="U73">_xlfn.IFS(T73&lt;5000,"Small",T73&lt;20000,"Medium",T73&lt;35000,"Large",T73&gt;35000,"Very Large")</f>
        <v>Small</v>
      </c>
      <c r="V73">
        <v>36</v>
      </c>
      <c r="W73">
        <f t="shared" si="7"/>
        <v>3</v>
      </c>
      <c r="X73" t="s">
        <v>50</v>
      </c>
      <c r="Y73" t="s">
        <v>45</v>
      </c>
      <c r="Z73" t="s">
        <v>33</v>
      </c>
      <c r="AA73" t="s">
        <v>34</v>
      </c>
      <c r="AB73" t="s">
        <v>42</v>
      </c>
      <c r="AC73" t="s">
        <v>36</v>
      </c>
    </row>
    <row r="74" spans="1:29" x14ac:dyDescent="0.25">
      <c r="A74">
        <v>76</v>
      </c>
      <c r="B74">
        <v>4027</v>
      </c>
      <c r="C74">
        <v>481</v>
      </c>
      <c r="D74">
        <f t="shared" si="4"/>
        <v>4508</v>
      </c>
      <c r="E74" t="s">
        <v>29</v>
      </c>
      <c r="F74">
        <v>56</v>
      </c>
      <c r="G74" t="str" cm="1">
        <f t="array" ref="G74">_xlfn.IFS(F74&lt;25,"18-24",F74&lt;35,"25-35",F74&lt;45,"35-44",F74&lt;55,"44-54",F74&gt;=55,"55+")</f>
        <v>55+</v>
      </c>
      <c r="H74" t="s">
        <v>30</v>
      </c>
      <c r="I74">
        <v>1</v>
      </c>
      <c r="J74" t="str" cm="1">
        <f t="array" ref="J74">_xlfn.IFS(I74&lt;=0,"No Dependents",I74&lt;=1,"One",I74&lt;=2,"Two",I74&gt;=3,"Third")</f>
        <v>One</v>
      </c>
      <c r="K74">
        <v>737</v>
      </c>
      <c r="L74" t="str" cm="1">
        <f t="array" ref="L74">_xlfn.IFS(K74&lt;=580,"Poor",K74&lt;=670,"fair",K74&lt;=740,"Good",K74&lt;=800,"Very Good",K74&gt;=800,"Excellent")</f>
        <v>Good</v>
      </c>
      <c r="M74">
        <v>2</v>
      </c>
      <c r="N74" t="str">
        <f t="shared" si="5"/>
        <v>Yes</v>
      </c>
      <c r="O74">
        <v>0.28999999999999998</v>
      </c>
      <c r="P74" t="str" cm="1">
        <f t="array" ref="P74">_xlfn.IFS(O74&lt;=0.3,"Low Risk",O74&lt;=0.4,"medium Risk",O74&lt;=0.5,"High Risk",O74&gt;0.5,"Very High Risk")</f>
        <v>Low Risk</v>
      </c>
      <c r="Q74">
        <v>11109</v>
      </c>
      <c r="R74">
        <v>36486</v>
      </c>
      <c r="S74" t="str">
        <f t="shared" si="6"/>
        <v>Yes</v>
      </c>
      <c r="T74">
        <v>30119</v>
      </c>
      <c r="U74" t="str" cm="1">
        <f t="array" ref="U74">_xlfn.IFS(T74&lt;5000,"Small",T74&lt;20000,"Medium",T74&lt;35000,"Large",T74&gt;35000,"Very Large")</f>
        <v>Large</v>
      </c>
      <c r="V74">
        <v>36</v>
      </c>
      <c r="W74">
        <f t="shared" si="7"/>
        <v>3</v>
      </c>
      <c r="X74" t="s">
        <v>42</v>
      </c>
      <c r="Y74" t="s">
        <v>32</v>
      </c>
      <c r="Z74" t="s">
        <v>33</v>
      </c>
      <c r="AA74" t="s">
        <v>40</v>
      </c>
      <c r="AB74" t="s">
        <v>35</v>
      </c>
      <c r="AC74" t="s">
        <v>36</v>
      </c>
    </row>
    <row r="75" spans="1:29" x14ac:dyDescent="0.25">
      <c r="A75">
        <v>77</v>
      </c>
      <c r="B75">
        <v>4695</v>
      </c>
      <c r="C75">
        <v>153</v>
      </c>
      <c r="D75">
        <f t="shared" si="4"/>
        <v>4848</v>
      </c>
      <c r="E75" t="s">
        <v>29</v>
      </c>
      <c r="F75">
        <v>57</v>
      </c>
      <c r="G75" t="str" cm="1">
        <f t="array" ref="G75">_xlfn.IFS(F75&lt;25,"18-24",F75&lt;35,"25-35",F75&lt;45,"35-44",F75&lt;55,"44-54",F75&gt;=55,"55+")</f>
        <v>55+</v>
      </c>
      <c r="H75" t="s">
        <v>41</v>
      </c>
      <c r="I75">
        <v>2</v>
      </c>
      <c r="J75" t="str" cm="1">
        <f t="array" ref="J75">_xlfn.IFS(I75&lt;=0,"No Dependents",I75&lt;=1,"One",I75&lt;=2,"Two",I75&gt;=3,"Third")</f>
        <v>Two</v>
      </c>
      <c r="K75">
        <v>622</v>
      </c>
      <c r="L75" t="str" cm="1">
        <f t="array" ref="L75">_xlfn.IFS(K75&lt;=580,"Poor",K75&lt;=670,"fair",K75&lt;=740,"Good",K75&lt;=800,"Very Good",K75&gt;=800,"Excellent")</f>
        <v>fair</v>
      </c>
      <c r="M75">
        <v>3</v>
      </c>
      <c r="N75" t="str">
        <f t="shared" si="5"/>
        <v>Yes</v>
      </c>
      <c r="O75">
        <v>0.31</v>
      </c>
      <c r="P75" t="str" cm="1">
        <f t="array" ref="P75">_xlfn.IFS(O75&lt;=0.3,"Low Risk",O75&lt;=0.4,"medium Risk",O75&lt;=0.5,"High Risk",O75&gt;0.5,"Very High Risk")</f>
        <v>medium Risk</v>
      </c>
      <c r="Q75">
        <v>1446</v>
      </c>
      <c r="R75">
        <v>22159</v>
      </c>
      <c r="S75" t="str">
        <f t="shared" si="6"/>
        <v>Yes</v>
      </c>
      <c r="T75">
        <v>16025</v>
      </c>
      <c r="U75" t="str" cm="1">
        <f t="array" ref="U75">_xlfn.IFS(T75&lt;5000,"Small",T75&lt;20000,"Medium",T75&lt;35000,"Large",T75&gt;35000,"Very Large")</f>
        <v>Medium</v>
      </c>
      <c r="V75">
        <v>84</v>
      </c>
      <c r="W75">
        <f t="shared" si="7"/>
        <v>7</v>
      </c>
      <c r="X75" t="s">
        <v>31</v>
      </c>
      <c r="Y75" t="s">
        <v>45</v>
      </c>
      <c r="Z75" t="s">
        <v>33</v>
      </c>
      <c r="AA75" t="s">
        <v>40</v>
      </c>
      <c r="AB75" t="s">
        <v>42</v>
      </c>
      <c r="AC75" t="s">
        <v>36</v>
      </c>
    </row>
    <row r="76" spans="1:29" x14ac:dyDescent="0.25">
      <c r="A76">
        <v>79</v>
      </c>
      <c r="B76">
        <v>7258</v>
      </c>
      <c r="C76">
        <v>1524</v>
      </c>
      <c r="D76">
        <f t="shared" si="4"/>
        <v>8782</v>
      </c>
      <c r="E76" t="s">
        <v>46</v>
      </c>
      <c r="F76">
        <v>48</v>
      </c>
      <c r="G76" t="str" cm="1">
        <f t="array" ref="G76">_xlfn.IFS(F76&lt;25,"18-24",F76&lt;35,"25-35",F76&lt;45,"35-44",F76&lt;55,"44-54",F76&gt;=55,"55+")</f>
        <v>44-54</v>
      </c>
      <c r="H76" t="s">
        <v>41</v>
      </c>
      <c r="I76">
        <v>0</v>
      </c>
      <c r="J76" t="str" cm="1">
        <f t="array" ref="J76">_xlfn.IFS(I76&lt;=0,"No Dependents",I76&lt;=1,"One",I76&lt;=2,"Two",I76&gt;=3,"Third")</f>
        <v>No Dependents</v>
      </c>
      <c r="K76">
        <v>564</v>
      </c>
      <c r="L76" t="str" cm="1">
        <f t="array" ref="L76">_xlfn.IFS(K76&lt;=580,"Poor",K76&lt;=670,"fair",K76&lt;=740,"Good",K76&lt;=800,"Very Good",K76&gt;=800,"Excellent")</f>
        <v>Poor</v>
      </c>
      <c r="M76">
        <v>1</v>
      </c>
      <c r="N76" t="str">
        <f t="shared" si="5"/>
        <v>Yes</v>
      </c>
      <c r="O76">
        <v>0.4</v>
      </c>
      <c r="P76" t="str" cm="1">
        <f t="array" ref="P76">_xlfn.IFS(O76&lt;=0.3,"Low Risk",O76&lt;=0.4,"medium Risk",O76&lt;=0.5,"High Risk",O76&gt;0.5,"Very High Risk")</f>
        <v>medium Risk</v>
      </c>
      <c r="Q76">
        <v>11036</v>
      </c>
      <c r="R76">
        <v>2693</v>
      </c>
      <c r="S76" t="str">
        <f t="shared" si="6"/>
        <v>Yes</v>
      </c>
      <c r="T76">
        <v>36670</v>
      </c>
      <c r="U76" t="str" cm="1">
        <f t="array" ref="U76">_xlfn.IFS(T76&lt;5000,"Small",T76&lt;20000,"Medium",T76&lt;35000,"Large",T76&gt;35000,"Very Large")</f>
        <v>Very Large</v>
      </c>
      <c r="V76">
        <v>24</v>
      </c>
      <c r="W76">
        <f t="shared" si="7"/>
        <v>2</v>
      </c>
      <c r="X76" t="s">
        <v>37</v>
      </c>
      <c r="Y76" t="s">
        <v>45</v>
      </c>
      <c r="Z76" t="s">
        <v>39</v>
      </c>
      <c r="AA76" t="s">
        <v>40</v>
      </c>
      <c r="AB76" t="s">
        <v>35</v>
      </c>
      <c r="AC76" t="s">
        <v>36</v>
      </c>
    </row>
    <row r="77" spans="1:29" x14ac:dyDescent="0.25">
      <c r="A77">
        <v>80</v>
      </c>
      <c r="B77">
        <v>8736</v>
      </c>
      <c r="C77">
        <v>2120</v>
      </c>
      <c r="D77">
        <f t="shared" si="4"/>
        <v>10856</v>
      </c>
      <c r="E77" t="s">
        <v>46</v>
      </c>
      <c r="F77">
        <v>41</v>
      </c>
      <c r="G77" t="str" cm="1">
        <f t="array" ref="G77">_xlfn.IFS(F77&lt;25,"18-24",F77&lt;35,"25-35",F77&lt;45,"35-44",F77&lt;55,"44-54",F77&gt;=55,"55+")</f>
        <v>35-44</v>
      </c>
      <c r="H77" t="s">
        <v>30</v>
      </c>
      <c r="I77">
        <v>0</v>
      </c>
      <c r="J77" t="str" cm="1">
        <f t="array" ref="J77">_xlfn.IFS(I77&lt;=0,"No Dependents",I77&lt;=1,"One",I77&lt;=2,"Two",I77&gt;=3,"Third")</f>
        <v>No Dependents</v>
      </c>
      <c r="K77">
        <v>778</v>
      </c>
      <c r="L77" t="str" cm="1">
        <f t="array" ref="L77">_xlfn.IFS(K77&lt;=580,"Poor",K77&lt;=670,"fair",K77&lt;=740,"Good",K77&lt;=800,"Very Good",K77&gt;=800,"Excellent")</f>
        <v>Very Good</v>
      </c>
      <c r="M77">
        <v>4</v>
      </c>
      <c r="N77" t="str">
        <f t="shared" si="5"/>
        <v>Yes</v>
      </c>
      <c r="O77">
        <v>0.25</v>
      </c>
      <c r="P77" t="str" cm="1">
        <f t="array" ref="P77">_xlfn.IFS(O77&lt;=0.3,"Low Risk",O77&lt;=0.4,"medium Risk",O77&lt;=0.5,"High Risk",O77&gt;0.5,"Very High Risk")</f>
        <v>Low Risk</v>
      </c>
      <c r="Q77">
        <v>6468</v>
      </c>
      <c r="R77">
        <v>49777</v>
      </c>
      <c r="S77" t="str">
        <f t="shared" si="6"/>
        <v>Yes</v>
      </c>
      <c r="T77">
        <v>8694</v>
      </c>
      <c r="U77" t="str" cm="1">
        <f t="array" ref="U77">_xlfn.IFS(T77&lt;5000,"Small",T77&lt;20000,"Medium",T77&lt;35000,"Large",T77&gt;35000,"Very Large")</f>
        <v>Medium</v>
      </c>
      <c r="V77">
        <v>72</v>
      </c>
      <c r="W77">
        <f t="shared" si="7"/>
        <v>6</v>
      </c>
      <c r="X77" t="s">
        <v>50</v>
      </c>
      <c r="Y77" t="s">
        <v>32</v>
      </c>
      <c r="Z77" t="s">
        <v>39</v>
      </c>
      <c r="AA77" t="s">
        <v>34</v>
      </c>
      <c r="AB77" t="s">
        <v>43</v>
      </c>
      <c r="AC77" t="s">
        <v>44</v>
      </c>
    </row>
    <row r="78" spans="1:29" x14ac:dyDescent="0.25">
      <c r="A78">
        <v>81</v>
      </c>
      <c r="B78">
        <v>0</v>
      </c>
      <c r="C78">
        <v>2343</v>
      </c>
      <c r="D78">
        <f t="shared" si="4"/>
        <v>2343</v>
      </c>
      <c r="E78" t="s">
        <v>29</v>
      </c>
      <c r="F78">
        <v>44</v>
      </c>
      <c r="G78" t="str" cm="1">
        <f t="array" ref="G78">_xlfn.IFS(F78&lt;25,"18-24",F78&lt;35,"25-35",F78&lt;45,"35-44",F78&lt;55,"44-54",F78&gt;=55,"55+")</f>
        <v>35-44</v>
      </c>
      <c r="H78" t="s">
        <v>41</v>
      </c>
      <c r="I78">
        <v>0</v>
      </c>
      <c r="J78" t="str" cm="1">
        <f t="array" ref="J78">_xlfn.IFS(I78&lt;=0,"No Dependents",I78&lt;=1,"One",I78&lt;=2,"Two",I78&gt;=3,"Third")</f>
        <v>No Dependents</v>
      </c>
      <c r="K78">
        <v>690</v>
      </c>
      <c r="L78" t="str" cm="1">
        <f t="array" ref="L78">_xlfn.IFS(K78&lt;=580,"Poor",K78&lt;=670,"fair",K78&lt;=740,"Good",K78&lt;=800,"Very Good",K78&gt;=800,"Excellent")</f>
        <v>Good</v>
      </c>
      <c r="M78">
        <v>0</v>
      </c>
      <c r="N78" t="str">
        <f t="shared" si="5"/>
        <v>No</v>
      </c>
      <c r="O78">
        <v>0.31</v>
      </c>
      <c r="P78" t="str" cm="1">
        <f t="array" ref="P78">_xlfn.IFS(O78&lt;=0.3,"Low Risk",O78&lt;=0.4,"medium Risk",O78&lt;=0.5,"High Risk",O78&gt;0.5,"Very High Risk")</f>
        <v>medium Risk</v>
      </c>
      <c r="Q78">
        <v>0</v>
      </c>
      <c r="R78">
        <v>15858</v>
      </c>
      <c r="S78" t="str">
        <f t="shared" si="6"/>
        <v>Yes</v>
      </c>
      <c r="T78">
        <v>5830</v>
      </c>
      <c r="U78" t="str" cm="1">
        <f t="array" ref="U78">_xlfn.IFS(T78&lt;5000,"Small",T78&lt;20000,"Medium",T78&lt;35000,"Large",T78&gt;35000,"Very Large")</f>
        <v>Medium</v>
      </c>
      <c r="V78">
        <v>84</v>
      </c>
      <c r="W78">
        <f t="shared" si="7"/>
        <v>7</v>
      </c>
      <c r="X78" t="s">
        <v>42</v>
      </c>
      <c r="Y78" t="s">
        <v>45</v>
      </c>
      <c r="Z78" t="s">
        <v>33</v>
      </c>
      <c r="AA78" t="s">
        <v>40</v>
      </c>
      <c r="AB78" t="s">
        <v>35</v>
      </c>
      <c r="AC78" t="s">
        <v>36</v>
      </c>
    </row>
    <row r="79" spans="1:29" x14ac:dyDescent="0.25">
      <c r="A79">
        <v>83</v>
      </c>
      <c r="B79">
        <v>14666</v>
      </c>
      <c r="C79">
        <v>5760</v>
      </c>
      <c r="D79">
        <f t="shared" si="4"/>
        <v>20426</v>
      </c>
      <c r="E79" t="s">
        <v>29</v>
      </c>
      <c r="F79">
        <v>28</v>
      </c>
      <c r="G79" t="str" cm="1">
        <f t="array" ref="G79">_xlfn.IFS(F79&lt;25,"18-24",F79&lt;35,"25-35",F79&lt;45,"35-44",F79&lt;55,"44-54",F79&gt;=55,"55+")</f>
        <v>25-35</v>
      </c>
      <c r="H79" t="s">
        <v>41</v>
      </c>
      <c r="I79">
        <v>2</v>
      </c>
      <c r="J79" t="str" cm="1">
        <f t="array" ref="J79">_xlfn.IFS(I79&lt;=0,"No Dependents",I79&lt;=1,"One",I79&lt;=2,"Two",I79&gt;=3,"Third")</f>
        <v>Two</v>
      </c>
      <c r="K79">
        <v>752</v>
      </c>
      <c r="L79" t="str" cm="1">
        <f t="array" ref="L79">_xlfn.IFS(K79&lt;=580,"Poor",K79&lt;=670,"fair",K79&lt;=740,"Good",K79&lt;=800,"Very Good",K79&gt;=800,"Excellent")</f>
        <v>Very Good</v>
      </c>
      <c r="M79">
        <v>2</v>
      </c>
      <c r="N79" t="str">
        <f t="shared" si="5"/>
        <v>Yes</v>
      </c>
      <c r="O79">
        <v>0.57999999999999996</v>
      </c>
      <c r="P79" t="str" cm="1">
        <f t="array" ref="P79">_xlfn.IFS(O79&lt;=0.3,"Low Risk",O79&lt;=0.4,"medium Risk",O79&lt;=0.5,"High Risk",O79&gt;0.5,"Very High Risk")</f>
        <v>Very High Risk</v>
      </c>
      <c r="Q79">
        <v>15390</v>
      </c>
      <c r="R79">
        <v>20092</v>
      </c>
      <c r="S79" t="str">
        <f t="shared" si="6"/>
        <v>Yes</v>
      </c>
      <c r="T79">
        <v>24752</v>
      </c>
      <c r="U79" t="str" cm="1">
        <f t="array" ref="U79">_xlfn.IFS(T79&lt;5000,"Small",T79&lt;20000,"Medium",T79&lt;35000,"Large",T79&gt;35000,"Very Large")</f>
        <v>Large</v>
      </c>
      <c r="V79">
        <v>60</v>
      </c>
      <c r="W79">
        <f t="shared" si="7"/>
        <v>5</v>
      </c>
      <c r="X79" t="s">
        <v>47</v>
      </c>
      <c r="Y79" t="s">
        <v>38</v>
      </c>
      <c r="Z79" t="s">
        <v>39</v>
      </c>
      <c r="AA79" t="s">
        <v>40</v>
      </c>
      <c r="AB79" t="s">
        <v>43</v>
      </c>
      <c r="AC79" t="s">
        <v>36</v>
      </c>
    </row>
    <row r="80" spans="1:29" x14ac:dyDescent="0.25">
      <c r="A80">
        <v>84</v>
      </c>
      <c r="B80">
        <v>7892</v>
      </c>
      <c r="C80">
        <v>1240</v>
      </c>
      <c r="D80">
        <f t="shared" si="4"/>
        <v>9132</v>
      </c>
      <c r="E80" t="s">
        <v>46</v>
      </c>
      <c r="F80">
        <v>47</v>
      </c>
      <c r="G80" t="str" cm="1">
        <f t="array" ref="G80">_xlfn.IFS(F80&lt;25,"18-24",F80&lt;35,"25-35",F80&lt;45,"35-44",F80&lt;55,"44-54",F80&gt;=55,"55+")</f>
        <v>44-54</v>
      </c>
      <c r="H80" t="s">
        <v>30</v>
      </c>
      <c r="I80">
        <v>3</v>
      </c>
      <c r="J80" t="str" cm="1">
        <f t="array" ref="J80">_xlfn.IFS(I80&lt;=0,"No Dependents",I80&lt;=1,"One",I80&lt;=2,"Two",I80&gt;=3,"Third")</f>
        <v>Third</v>
      </c>
      <c r="K80">
        <v>623</v>
      </c>
      <c r="L80" t="str" cm="1">
        <f t="array" ref="L80">_xlfn.IFS(K80&lt;=580,"Poor",K80&lt;=670,"fair",K80&lt;=740,"Good",K80&lt;=800,"Very Good",K80&gt;=800,"Excellent")</f>
        <v>fair</v>
      </c>
      <c r="M80">
        <v>3</v>
      </c>
      <c r="N80" t="str">
        <f t="shared" si="5"/>
        <v>Yes</v>
      </c>
      <c r="O80">
        <v>0.17</v>
      </c>
      <c r="P80" t="str" cm="1">
        <f t="array" ref="P80">_xlfn.IFS(O80&lt;=0.3,"Low Risk",O80&lt;=0.4,"medium Risk",O80&lt;=0.5,"High Risk",O80&gt;0.5,"Very High Risk")</f>
        <v>Low Risk</v>
      </c>
      <c r="Q80">
        <v>5080</v>
      </c>
      <c r="R80">
        <v>23243</v>
      </c>
      <c r="S80" t="str">
        <f t="shared" si="6"/>
        <v>Yes</v>
      </c>
      <c r="T80">
        <v>11489</v>
      </c>
      <c r="U80" t="str" cm="1">
        <f t="array" ref="U80">_xlfn.IFS(T80&lt;5000,"Small",T80&lt;20000,"Medium",T80&lt;35000,"Large",T80&gt;35000,"Very Large")</f>
        <v>Medium</v>
      </c>
      <c r="V80">
        <v>48</v>
      </c>
      <c r="W80">
        <f t="shared" si="7"/>
        <v>4</v>
      </c>
      <c r="X80" t="s">
        <v>50</v>
      </c>
      <c r="Y80" t="s">
        <v>45</v>
      </c>
      <c r="Z80" t="s">
        <v>39</v>
      </c>
      <c r="AA80" t="s">
        <v>40</v>
      </c>
      <c r="AB80" t="s">
        <v>48</v>
      </c>
      <c r="AC80" t="s">
        <v>36</v>
      </c>
    </row>
    <row r="81" spans="1:29" x14ac:dyDescent="0.25">
      <c r="A81">
        <v>85</v>
      </c>
      <c r="B81">
        <v>5561</v>
      </c>
      <c r="C81">
        <v>60</v>
      </c>
      <c r="D81">
        <f t="shared" si="4"/>
        <v>5621</v>
      </c>
      <c r="E81" t="s">
        <v>29</v>
      </c>
      <c r="F81">
        <v>42</v>
      </c>
      <c r="G81" t="str" cm="1">
        <f t="array" ref="G81">_xlfn.IFS(F81&lt;25,"18-24",F81&lt;35,"25-35",F81&lt;45,"35-44",F81&lt;55,"44-54",F81&gt;=55,"55+")</f>
        <v>35-44</v>
      </c>
      <c r="H81" t="s">
        <v>30</v>
      </c>
      <c r="I81">
        <v>3</v>
      </c>
      <c r="J81" t="str" cm="1">
        <f t="array" ref="J81">_xlfn.IFS(I81&lt;=0,"No Dependents",I81&lt;=1,"One",I81&lt;=2,"Two",I81&gt;=3,"Third")</f>
        <v>Third</v>
      </c>
      <c r="K81">
        <v>601</v>
      </c>
      <c r="L81" t="str" cm="1">
        <f t="array" ref="L81">_xlfn.IFS(K81&lt;=580,"Poor",K81&lt;=670,"fair",K81&lt;=740,"Good",K81&lt;=800,"Very Good",K81&gt;=800,"Excellent")</f>
        <v>fair</v>
      </c>
      <c r="M81">
        <v>3</v>
      </c>
      <c r="N81" t="str">
        <f t="shared" si="5"/>
        <v>Yes</v>
      </c>
      <c r="O81">
        <v>0.28999999999999998</v>
      </c>
      <c r="P81" t="str" cm="1">
        <f t="array" ref="P81">_xlfn.IFS(O81&lt;=0.3,"Low Risk",O81&lt;=0.4,"medium Risk",O81&lt;=0.5,"High Risk",O81&gt;0.5,"Very High Risk")</f>
        <v>Low Risk</v>
      </c>
      <c r="Q81">
        <v>15471</v>
      </c>
      <c r="R81">
        <v>48700</v>
      </c>
      <c r="S81" t="str">
        <f t="shared" si="6"/>
        <v>Yes</v>
      </c>
      <c r="T81">
        <v>33692</v>
      </c>
      <c r="U81" t="str" cm="1">
        <f t="array" ref="U81">_xlfn.IFS(T81&lt;5000,"Small",T81&lt;20000,"Medium",T81&lt;35000,"Large",T81&gt;35000,"Very Large")</f>
        <v>Large</v>
      </c>
      <c r="V81">
        <v>36</v>
      </c>
      <c r="W81">
        <f t="shared" si="7"/>
        <v>3</v>
      </c>
      <c r="X81" t="s">
        <v>42</v>
      </c>
      <c r="Y81" t="s">
        <v>38</v>
      </c>
      <c r="Z81" t="s">
        <v>33</v>
      </c>
      <c r="AA81" t="s">
        <v>40</v>
      </c>
      <c r="AB81" t="s">
        <v>35</v>
      </c>
      <c r="AC81" t="s">
        <v>36</v>
      </c>
    </row>
    <row r="82" spans="1:29" x14ac:dyDescent="0.25">
      <c r="A82">
        <v>86</v>
      </c>
      <c r="B82">
        <v>8184</v>
      </c>
      <c r="C82">
        <v>9130</v>
      </c>
      <c r="D82">
        <f t="shared" si="4"/>
        <v>17314</v>
      </c>
      <c r="E82" t="s">
        <v>52</v>
      </c>
      <c r="F82">
        <v>57</v>
      </c>
      <c r="G82" t="str" cm="1">
        <f t="array" ref="G82">_xlfn.IFS(F82&lt;25,"18-24",F82&lt;35,"25-35",F82&lt;45,"35-44",F82&lt;55,"44-54",F82&gt;=55,"55+")</f>
        <v>55+</v>
      </c>
      <c r="H82" t="s">
        <v>30</v>
      </c>
      <c r="I82">
        <v>1</v>
      </c>
      <c r="J82" t="str" cm="1">
        <f t="array" ref="J82">_xlfn.IFS(I82&lt;=0,"No Dependents",I82&lt;=1,"One",I82&lt;=2,"Two",I82&gt;=3,"Third")</f>
        <v>One</v>
      </c>
      <c r="K82">
        <v>626</v>
      </c>
      <c r="L82" t="str" cm="1">
        <f t="array" ref="L82">_xlfn.IFS(K82&lt;=580,"Poor",K82&lt;=670,"fair",K82&lt;=740,"Good",K82&lt;=800,"Very Good",K82&gt;=800,"Excellent")</f>
        <v>fair</v>
      </c>
      <c r="M82">
        <v>2</v>
      </c>
      <c r="N82" t="str">
        <f t="shared" si="5"/>
        <v>Yes</v>
      </c>
      <c r="O82">
        <v>0.11</v>
      </c>
      <c r="P82" t="str" cm="1">
        <f t="array" ref="P82">_xlfn.IFS(O82&lt;=0.3,"Low Risk",O82&lt;=0.4,"medium Risk",O82&lt;=0.5,"High Risk",O82&gt;0.5,"Very High Risk")</f>
        <v>Low Risk</v>
      </c>
      <c r="Q82">
        <v>14893</v>
      </c>
      <c r="R82">
        <v>0</v>
      </c>
      <c r="S82" t="str">
        <f t="shared" si="6"/>
        <v>No</v>
      </c>
      <c r="T82">
        <v>16768</v>
      </c>
      <c r="U82" t="str" cm="1">
        <f t="array" ref="U82">_xlfn.IFS(T82&lt;5000,"Small",T82&lt;20000,"Medium",T82&lt;35000,"Large",T82&gt;35000,"Very Large")</f>
        <v>Medium</v>
      </c>
      <c r="V82">
        <v>48</v>
      </c>
      <c r="W82">
        <f t="shared" si="7"/>
        <v>4</v>
      </c>
      <c r="X82" t="s">
        <v>47</v>
      </c>
      <c r="Y82" t="s">
        <v>32</v>
      </c>
      <c r="Z82" t="s">
        <v>33</v>
      </c>
      <c r="AA82" t="s">
        <v>40</v>
      </c>
      <c r="AB82" t="s">
        <v>35</v>
      </c>
      <c r="AC82" t="s">
        <v>36</v>
      </c>
    </row>
    <row r="83" spans="1:29" x14ac:dyDescent="0.25">
      <c r="A83">
        <v>87</v>
      </c>
      <c r="B83">
        <v>10392</v>
      </c>
      <c r="C83">
        <v>1639</v>
      </c>
      <c r="D83">
        <f t="shared" si="4"/>
        <v>12031</v>
      </c>
      <c r="E83" t="s">
        <v>46</v>
      </c>
      <c r="F83">
        <v>47</v>
      </c>
      <c r="G83" t="str" cm="1">
        <f t="array" ref="G83">_xlfn.IFS(F83&lt;25,"18-24",F83&lt;35,"25-35",F83&lt;45,"35-44",F83&lt;55,"44-54",F83&gt;=55,"55+")</f>
        <v>44-54</v>
      </c>
      <c r="H83" t="s">
        <v>41</v>
      </c>
      <c r="I83">
        <v>3</v>
      </c>
      <c r="J83" t="str" cm="1">
        <f t="array" ref="J83">_xlfn.IFS(I83&lt;=0,"No Dependents",I83&lt;=1,"One",I83&lt;=2,"Two",I83&gt;=3,"Third")</f>
        <v>Third</v>
      </c>
      <c r="K83">
        <v>718</v>
      </c>
      <c r="L83" t="str" cm="1">
        <f t="array" ref="L83">_xlfn.IFS(K83&lt;=580,"Poor",K83&lt;=670,"fair",K83&lt;=740,"Good",K83&lt;=800,"Very Good",K83&gt;=800,"Excellent")</f>
        <v>Good</v>
      </c>
      <c r="M83">
        <v>0</v>
      </c>
      <c r="N83" t="str">
        <f t="shared" si="5"/>
        <v>No</v>
      </c>
      <c r="O83">
        <v>0.21</v>
      </c>
      <c r="P83" t="str" cm="1">
        <f t="array" ref="P83">_xlfn.IFS(O83&lt;=0.3,"Low Risk",O83&lt;=0.4,"medium Risk",O83&lt;=0.5,"High Risk",O83&gt;0.5,"Very High Risk")</f>
        <v>Low Risk</v>
      </c>
      <c r="Q83">
        <v>17248</v>
      </c>
      <c r="R83">
        <v>0</v>
      </c>
      <c r="S83" t="str">
        <f t="shared" si="6"/>
        <v>No</v>
      </c>
      <c r="T83">
        <v>3160</v>
      </c>
      <c r="U83" t="str" cm="1">
        <f t="array" ref="U83">_xlfn.IFS(T83&lt;5000,"Small",T83&lt;20000,"Medium",T83&lt;35000,"Large",T83&gt;35000,"Very Large")</f>
        <v>Small</v>
      </c>
      <c r="V83">
        <v>12</v>
      </c>
      <c r="W83">
        <f t="shared" si="7"/>
        <v>1</v>
      </c>
      <c r="X83" t="s">
        <v>50</v>
      </c>
      <c r="Y83" t="s">
        <v>32</v>
      </c>
      <c r="Z83" t="s">
        <v>33</v>
      </c>
      <c r="AA83" t="s">
        <v>40</v>
      </c>
      <c r="AB83" t="s">
        <v>35</v>
      </c>
      <c r="AC83" t="s">
        <v>44</v>
      </c>
    </row>
    <row r="84" spans="1:29" x14ac:dyDescent="0.25">
      <c r="A84">
        <v>88</v>
      </c>
      <c r="B84">
        <v>15067</v>
      </c>
      <c r="C84">
        <v>6185</v>
      </c>
      <c r="D84">
        <f t="shared" si="4"/>
        <v>21252</v>
      </c>
      <c r="E84" t="s">
        <v>29</v>
      </c>
      <c r="F84">
        <v>49</v>
      </c>
      <c r="G84" t="str" cm="1">
        <f t="array" ref="G84">_xlfn.IFS(F84&lt;25,"18-24",F84&lt;35,"25-35",F84&lt;45,"35-44",F84&lt;55,"44-54",F84&gt;=55,"55+")</f>
        <v>44-54</v>
      </c>
      <c r="H84" t="s">
        <v>30</v>
      </c>
      <c r="I84">
        <v>2</v>
      </c>
      <c r="J84" t="str" cm="1">
        <f t="array" ref="J84">_xlfn.IFS(I84&lt;=0,"No Dependents",I84&lt;=1,"One",I84&lt;=2,"Two",I84&gt;=3,"Third")</f>
        <v>Two</v>
      </c>
      <c r="K84">
        <v>730</v>
      </c>
      <c r="L84" t="str" cm="1">
        <f t="array" ref="L84">_xlfn.IFS(K84&lt;=580,"Poor",K84&lt;=670,"fair",K84&lt;=740,"Good",K84&lt;=800,"Very Good",K84&gt;=800,"Excellent")</f>
        <v>Good</v>
      </c>
      <c r="M84">
        <v>2</v>
      </c>
      <c r="N84" t="str">
        <f t="shared" si="5"/>
        <v>Yes</v>
      </c>
      <c r="O84">
        <v>0.49</v>
      </c>
      <c r="P84" t="str" cm="1">
        <f t="array" ref="P84">_xlfn.IFS(O84&lt;=0.3,"Low Risk",O84&lt;=0.4,"medium Risk",O84&lt;=0.5,"High Risk",O84&gt;0.5,"Very High Risk")</f>
        <v>High Risk</v>
      </c>
      <c r="Q84">
        <v>16009</v>
      </c>
      <c r="R84">
        <v>28555</v>
      </c>
      <c r="S84" t="str">
        <f t="shared" si="6"/>
        <v>Yes</v>
      </c>
      <c r="T84">
        <v>21133</v>
      </c>
      <c r="U84" t="str" cm="1">
        <f t="array" ref="U84">_xlfn.IFS(T84&lt;5000,"Small",T84&lt;20000,"Medium",T84&lt;35000,"Large",T84&gt;35000,"Very Large")</f>
        <v>Large</v>
      </c>
      <c r="V84">
        <v>60</v>
      </c>
      <c r="W84">
        <f t="shared" si="7"/>
        <v>5</v>
      </c>
      <c r="X84" t="s">
        <v>31</v>
      </c>
      <c r="Y84" t="s">
        <v>32</v>
      </c>
      <c r="Z84" t="s">
        <v>33</v>
      </c>
      <c r="AA84" t="s">
        <v>40</v>
      </c>
      <c r="AB84" t="s">
        <v>35</v>
      </c>
      <c r="AC84" t="s">
        <v>36</v>
      </c>
    </row>
    <row r="85" spans="1:29" x14ac:dyDescent="0.25">
      <c r="A85">
        <v>89</v>
      </c>
      <c r="B85">
        <v>17265</v>
      </c>
      <c r="C85">
        <v>7970</v>
      </c>
      <c r="D85">
        <f t="shared" si="4"/>
        <v>25235</v>
      </c>
      <c r="E85" t="s">
        <v>29</v>
      </c>
      <c r="F85">
        <v>23</v>
      </c>
      <c r="G85" t="str" cm="1">
        <f t="array" ref="G85">_xlfn.IFS(F85&lt;25,"18-24",F85&lt;35,"25-35",F85&lt;45,"35-44",F85&lt;55,"44-54",F85&gt;=55,"55+")</f>
        <v>18-24</v>
      </c>
      <c r="H85" t="s">
        <v>41</v>
      </c>
      <c r="I85">
        <v>2</v>
      </c>
      <c r="J85" t="str" cm="1">
        <f t="array" ref="J85">_xlfn.IFS(I85&lt;=0,"No Dependents",I85&lt;=1,"One",I85&lt;=2,"Two",I85&gt;=3,"Third")</f>
        <v>Two</v>
      </c>
      <c r="K85">
        <v>659</v>
      </c>
      <c r="L85" t="str" cm="1">
        <f t="array" ref="L85">_xlfn.IFS(K85&lt;=580,"Poor",K85&lt;=670,"fair",K85&lt;=740,"Good",K85&lt;=800,"Very Good",K85&gt;=800,"Excellent")</f>
        <v>fair</v>
      </c>
      <c r="M85">
        <v>0</v>
      </c>
      <c r="N85" t="str">
        <f t="shared" si="5"/>
        <v>No</v>
      </c>
      <c r="O85">
        <v>0.2</v>
      </c>
      <c r="P85" t="str" cm="1">
        <f t="array" ref="P85">_xlfn.IFS(O85&lt;=0.3,"Low Risk",O85&lt;=0.4,"medium Risk",O85&lt;=0.5,"High Risk",O85&gt;0.5,"Very High Risk")</f>
        <v>Low Risk</v>
      </c>
      <c r="Q85">
        <v>6217</v>
      </c>
      <c r="R85">
        <v>6398</v>
      </c>
      <c r="S85" t="str">
        <f t="shared" si="6"/>
        <v>Yes</v>
      </c>
      <c r="T85">
        <v>36690</v>
      </c>
      <c r="U85" t="str" cm="1">
        <f t="array" ref="U85">_xlfn.IFS(T85&lt;5000,"Small",T85&lt;20000,"Medium",T85&lt;35000,"Large",T85&gt;35000,"Very Large")</f>
        <v>Very Large</v>
      </c>
      <c r="V85">
        <v>48</v>
      </c>
      <c r="W85">
        <f t="shared" si="7"/>
        <v>4</v>
      </c>
      <c r="X85" t="s">
        <v>50</v>
      </c>
      <c r="Y85" t="s">
        <v>32</v>
      </c>
      <c r="Z85" t="s">
        <v>33</v>
      </c>
      <c r="AA85" t="s">
        <v>34</v>
      </c>
      <c r="AB85" t="s">
        <v>43</v>
      </c>
      <c r="AC85" t="s">
        <v>44</v>
      </c>
    </row>
    <row r="86" spans="1:29" x14ac:dyDescent="0.25">
      <c r="A86">
        <v>90</v>
      </c>
      <c r="B86">
        <v>4454</v>
      </c>
      <c r="C86">
        <v>0</v>
      </c>
      <c r="D86">
        <f t="shared" si="4"/>
        <v>4454</v>
      </c>
      <c r="E86" t="s">
        <v>29</v>
      </c>
      <c r="F86">
        <v>33</v>
      </c>
      <c r="G86" t="str" cm="1">
        <f t="array" ref="G86">_xlfn.IFS(F86&lt;25,"18-24",F86&lt;35,"25-35",F86&lt;45,"35-44",F86&lt;55,"44-54",F86&gt;=55,"55+")</f>
        <v>25-35</v>
      </c>
      <c r="H86" t="s">
        <v>30</v>
      </c>
      <c r="I86">
        <v>0</v>
      </c>
      <c r="J86" t="str" cm="1">
        <f t="array" ref="J86">_xlfn.IFS(I86&lt;=0,"No Dependents",I86&lt;=1,"One",I86&lt;=2,"Two",I86&gt;=3,"Third")</f>
        <v>No Dependents</v>
      </c>
      <c r="K86">
        <v>727</v>
      </c>
      <c r="L86" t="str" cm="1">
        <f t="array" ref="L86">_xlfn.IFS(K86&lt;=580,"Poor",K86&lt;=670,"fair",K86&lt;=740,"Good",K86&lt;=800,"Very Good",K86&gt;=800,"Excellent")</f>
        <v>Good</v>
      </c>
      <c r="M86">
        <v>1</v>
      </c>
      <c r="N86" t="str">
        <f t="shared" si="5"/>
        <v>Yes</v>
      </c>
      <c r="O86">
        <v>0.14000000000000001</v>
      </c>
      <c r="P86" t="str" cm="1">
        <f t="array" ref="P86">_xlfn.IFS(O86&lt;=0.3,"Low Risk",O86&lt;=0.4,"medium Risk",O86&lt;=0.5,"High Risk",O86&gt;0.5,"Very High Risk")</f>
        <v>Low Risk</v>
      </c>
      <c r="Q86">
        <v>5672</v>
      </c>
      <c r="R86">
        <v>7252</v>
      </c>
      <c r="S86" t="str">
        <f t="shared" si="6"/>
        <v>Yes</v>
      </c>
      <c r="T86">
        <v>23870</v>
      </c>
      <c r="U86" t="str" cm="1">
        <f t="array" ref="U86">_xlfn.IFS(T86&lt;5000,"Small",T86&lt;20000,"Medium",T86&lt;35000,"Large",T86&gt;35000,"Very Large")</f>
        <v>Large</v>
      </c>
      <c r="V86">
        <v>12</v>
      </c>
      <c r="W86">
        <f t="shared" si="7"/>
        <v>1</v>
      </c>
      <c r="X86" t="s">
        <v>31</v>
      </c>
      <c r="Y86" t="s">
        <v>38</v>
      </c>
      <c r="Z86" t="s">
        <v>33</v>
      </c>
      <c r="AA86" t="s">
        <v>34</v>
      </c>
      <c r="AB86" t="s">
        <v>42</v>
      </c>
      <c r="AC86" t="s">
        <v>36</v>
      </c>
    </row>
    <row r="87" spans="1:29" x14ac:dyDescent="0.25">
      <c r="A87">
        <v>91</v>
      </c>
      <c r="B87">
        <v>13837</v>
      </c>
      <c r="C87">
        <v>4203</v>
      </c>
      <c r="D87">
        <f t="shared" si="4"/>
        <v>18040</v>
      </c>
      <c r="E87" t="s">
        <v>48</v>
      </c>
      <c r="F87">
        <v>30</v>
      </c>
      <c r="G87" t="str" cm="1">
        <f t="array" ref="G87">_xlfn.IFS(F87&lt;25,"18-24",F87&lt;35,"25-35",F87&lt;45,"35-44",F87&lt;55,"44-54",F87&gt;=55,"55+")</f>
        <v>25-35</v>
      </c>
      <c r="H87" t="s">
        <v>30</v>
      </c>
      <c r="I87">
        <v>1</v>
      </c>
      <c r="J87" t="str" cm="1">
        <f t="array" ref="J87">_xlfn.IFS(I87&lt;=0,"No Dependents",I87&lt;=1,"One",I87&lt;=2,"Two",I87&gt;=3,"Third")</f>
        <v>One</v>
      </c>
      <c r="K87">
        <v>692</v>
      </c>
      <c r="L87" t="str" cm="1">
        <f t="array" ref="L87">_xlfn.IFS(K87&lt;=580,"Poor",K87&lt;=670,"fair",K87&lt;=740,"Good",K87&lt;=800,"Very Good",K87&gt;=800,"Excellent")</f>
        <v>Good</v>
      </c>
      <c r="M87">
        <v>2</v>
      </c>
      <c r="N87" t="str">
        <f t="shared" si="5"/>
        <v>Yes</v>
      </c>
      <c r="O87">
        <v>0.34</v>
      </c>
      <c r="P87" t="str" cm="1">
        <f t="array" ref="P87">_xlfn.IFS(O87&lt;=0.3,"Low Risk",O87&lt;=0.4,"medium Risk",O87&lt;=0.5,"High Risk",O87&gt;0.5,"Very High Risk")</f>
        <v>medium Risk</v>
      </c>
      <c r="Q87">
        <v>1502</v>
      </c>
      <c r="R87">
        <v>11721</v>
      </c>
      <c r="S87" t="str">
        <f t="shared" si="6"/>
        <v>Yes</v>
      </c>
      <c r="T87">
        <v>25496</v>
      </c>
      <c r="U87" t="str" cm="1">
        <f t="array" ref="U87">_xlfn.IFS(T87&lt;5000,"Small",T87&lt;20000,"Medium",T87&lt;35000,"Large",T87&gt;35000,"Very Large")</f>
        <v>Large</v>
      </c>
      <c r="V87">
        <v>24</v>
      </c>
      <c r="W87">
        <f t="shared" si="7"/>
        <v>2</v>
      </c>
      <c r="X87" t="s">
        <v>42</v>
      </c>
      <c r="Y87" t="s">
        <v>38</v>
      </c>
      <c r="Z87" t="s">
        <v>33</v>
      </c>
      <c r="AA87" t="s">
        <v>40</v>
      </c>
      <c r="AB87" t="s">
        <v>35</v>
      </c>
      <c r="AC87" t="s">
        <v>44</v>
      </c>
    </row>
    <row r="88" spans="1:29" x14ac:dyDescent="0.25">
      <c r="A88">
        <v>92</v>
      </c>
      <c r="B88">
        <v>16039</v>
      </c>
      <c r="C88">
        <v>8363</v>
      </c>
      <c r="D88">
        <f t="shared" si="4"/>
        <v>24402</v>
      </c>
      <c r="E88" t="s">
        <v>46</v>
      </c>
      <c r="F88">
        <v>56</v>
      </c>
      <c r="G88" t="str" cm="1">
        <f t="array" ref="G88">_xlfn.IFS(F88&lt;25,"18-24",F88&lt;35,"25-35",F88&lt;45,"35-44",F88&lt;55,"44-54",F88&gt;=55,"55+")</f>
        <v>55+</v>
      </c>
      <c r="H88" t="s">
        <v>30</v>
      </c>
      <c r="I88">
        <v>0</v>
      </c>
      <c r="J88" t="str" cm="1">
        <f t="array" ref="J88">_xlfn.IFS(I88&lt;=0,"No Dependents",I88&lt;=1,"One",I88&lt;=2,"Two",I88&gt;=3,"Third")</f>
        <v>No Dependents</v>
      </c>
      <c r="K88">
        <v>655</v>
      </c>
      <c r="L88" t="str" cm="1">
        <f t="array" ref="L88">_xlfn.IFS(K88&lt;=580,"Poor",K88&lt;=670,"fair",K88&lt;=740,"Good",K88&lt;=800,"Very Good",K88&gt;=800,"Excellent")</f>
        <v>fair</v>
      </c>
      <c r="M88">
        <v>0</v>
      </c>
      <c r="N88" t="str">
        <f t="shared" si="5"/>
        <v>No</v>
      </c>
      <c r="O88">
        <v>0.1</v>
      </c>
      <c r="P88" t="str" cm="1">
        <f t="array" ref="P88">_xlfn.IFS(O88&lt;=0.3,"Low Risk",O88&lt;=0.4,"medium Risk",O88&lt;=0.5,"High Risk",O88&gt;0.5,"Very High Risk")</f>
        <v>Low Risk</v>
      </c>
      <c r="Q88">
        <v>1410</v>
      </c>
      <c r="R88">
        <v>17939</v>
      </c>
      <c r="S88" t="str">
        <f t="shared" si="6"/>
        <v>Yes</v>
      </c>
      <c r="T88">
        <v>37572</v>
      </c>
      <c r="U88" t="str" cm="1">
        <f t="array" ref="U88">_xlfn.IFS(T88&lt;5000,"Small",T88&lt;20000,"Medium",T88&lt;35000,"Large",T88&gt;35000,"Very Large")</f>
        <v>Very Large</v>
      </c>
      <c r="V88">
        <v>48</v>
      </c>
      <c r="W88">
        <f t="shared" si="7"/>
        <v>4</v>
      </c>
      <c r="X88" t="s">
        <v>31</v>
      </c>
      <c r="Y88" t="s">
        <v>32</v>
      </c>
      <c r="Z88" t="s">
        <v>39</v>
      </c>
      <c r="AA88" t="s">
        <v>40</v>
      </c>
      <c r="AB88" t="s">
        <v>48</v>
      </c>
      <c r="AC88" t="s">
        <v>44</v>
      </c>
    </row>
    <row r="89" spans="1:29" x14ac:dyDescent="0.25">
      <c r="A89">
        <v>93</v>
      </c>
      <c r="B89">
        <v>12965</v>
      </c>
      <c r="C89">
        <v>9650</v>
      </c>
      <c r="D89">
        <f t="shared" si="4"/>
        <v>22615</v>
      </c>
      <c r="E89" t="s">
        <v>29</v>
      </c>
      <c r="F89">
        <v>29</v>
      </c>
      <c r="G89" t="str" cm="1">
        <f t="array" ref="G89">_xlfn.IFS(F89&lt;25,"18-24",F89&lt;35,"25-35",F89&lt;45,"35-44",F89&lt;55,"44-54",F89&gt;=55,"55+")</f>
        <v>25-35</v>
      </c>
      <c r="H89" t="s">
        <v>41</v>
      </c>
      <c r="I89">
        <v>3</v>
      </c>
      <c r="J89" t="str" cm="1">
        <f t="array" ref="J89">_xlfn.IFS(I89&lt;=0,"No Dependents",I89&lt;=1,"One",I89&lt;=2,"Two",I89&gt;=3,"Third")</f>
        <v>Third</v>
      </c>
      <c r="K89">
        <v>797</v>
      </c>
      <c r="L89" t="str" cm="1">
        <f t="array" ref="L89">_xlfn.IFS(K89&lt;=580,"Poor",K89&lt;=670,"fair",K89&lt;=740,"Good",K89&lt;=800,"Very Good",K89&gt;=800,"Excellent")</f>
        <v>Very Good</v>
      </c>
      <c r="M89">
        <v>1</v>
      </c>
      <c r="N89" t="str">
        <f t="shared" si="5"/>
        <v>Yes</v>
      </c>
      <c r="O89">
        <v>0.14000000000000001</v>
      </c>
      <c r="P89" t="str" cm="1">
        <f t="array" ref="P89">_xlfn.IFS(O89&lt;=0.3,"Low Risk",O89&lt;=0.4,"medium Risk",O89&lt;=0.5,"High Risk",O89&gt;0.5,"Very High Risk")</f>
        <v>Low Risk</v>
      </c>
      <c r="Q89">
        <v>3770</v>
      </c>
      <c r="R89">
        <v>11825</v>
      </c>
      <c r="S89" t="str">
        <f t="shared" si="6"/>
        <v>Yes</v>
      </c>
      <c r="T89">
        <v>3368</v>
      </c>
      <c r="U89" t="str" cm="1">
        <f t="array" ref="U89">_xlfn.IFS(T89&lt;5000,"Small",T89&lt;20000,"Medium",T89&lt;35000,"Large",T89&gt;35000,"Very Large")</f>
        <v>Small</v>
      </c>
      <c r="V89">
        <v>60</v>
      </c>
      <c r="W89">
        <f t="shared" si="7"/>
        <v>5</v>
      </c>
      <c r="X89" t="s">
        <v>42</v>
      </c>
      <c r="Y89" t="s">
        <v>32</v>
      </c>
      <c r="Z89" t="s">
        <v>39</v>
      </c>
      <c r="AA89" t="s">
        <v>34</v>
      </c>
      <c r="AB89" t="s">
        <v>35</v>
      </c>
      <c r="AC89" t="s">
        <v>44</v>
      </c>
    </row>
    <row r="90" spans="1:29" x14ac:dyDescent="0.25">
      <c r="A90">
        <v>94</v>
      </c>
      <c r="B90">
        <v>11762</v>
      </c>
      <c r="C90">
        <v>3549</v>
      </c>
      <c r="D90">
        <f t="shared" si="4"/>
        <v>15311</v>
      </c>
      <c r="E90" t="s">
        <v>29</v>
      </c>
      <c r="F90">
        <v>47</v>
      </c>
      <c r="G90" t="str" cm="1">
        <f t="array" ref="G90">_xlfn.IFS(F90&lt;25,"18-24",F90&lt;35,"25-35",F90&lt;45,"35-44",F90&lt;55,"44-54",F90&gt;=55,"55+")</f>
        <v>44-54</v>
      </c>
      <c r="H90" t="s">
        <v>41</v>
      </c>
      <c r="I90">
        <v>2</v>
      </c>
      <c r="J90" t="str" cm="1">
        <f t="array" ref="J90">_xlfn.IFS(I90&lt;=0,"No Dependents",I90&lt;=1,"One",I90&lt;=2,"Two",I90&gt;=3,"Third")</f>
        <v>Two</v>
      </c>
      <c r="K90">
        <v>676</v>
      </c>
      <c r="L90" t="str" cm="1">
        <f t="array" ref="L90">_xlfn.IFS(K90&lt;=580,"Poor",K90&lt;=670,"fair",K90&lt;=740,"Good",K90&lt;=800,"Very Good",K90&gt;=800,"Excellent")</f>
        <v>Good</v>
      </c>
      <c r="M90">
        <v>2</v>
      </c>
      <c r="N90" t="str">
        <f t="shared" si="5"/>
        <v>Yes</v>
      </c>
      <c r="O90">
        <v>0.5</v>
      </c>
      <c r="P90" t="str" cm="1">
        <f t="array" ref="P90">_xlfn.IFS(O90&lt;=0.3,"Low Risk",O90&lt;=0.4,"medium Risk",O90&lt;=0.5,"High Risk",O90&gt;0.5,"Very High Risk")</f>
        <v>High Risk</v>
      </c>
      <c r="Q90">
        <v>10097</v>
      </c>
      <c r="R90">
        <v>25251</v>
      </c>
      <c r="S90" t="str">
        <f t="shared" si="6"/>
        <v>Yes</v>
      </c>
      <c r="T90">
        <v>37700</v>
      </c>
      <c r="U90" t="str" cm="1">
        <f t="array" ref="U90">_xlfn.IFS(T90&lt;5000,"Small",T90&lt;20000,"Medium",T90&lt;35000,"Large",T90&gt;35000,"Very Large")</f>
        <v>Very Large</v>
      </c>
      <c r="V90">
        <v>12</v>
      </c>
      <c r="W90">
        <f t="shared" si="7"/>
        <v>1</v>
      </c>
      <c r="X90" t="s">
        <v>42</v>
      </c>
      <c r="Y90" t="s">
        <v>32</v>
      </c>
      <c r="Z90" t="s">
        <v>39</v>
      </c>
      <c r="AA90" t="s">
        <v>34</v>
      </c>
      <c r="AB90" t="s">
        <v>51</v>
      </c>
      <c r="AC90" t="s">
        <v>36</v>
      </c>
    </row>
    <row r="91" spans="1:29" x14ac:dyDescent="0.25">
      <c r="A91">
        <v>95</v>
      </c>
      <c r="B91">
        <v>7056</v>
      </c>
      <c r="C91">
        <v>4197</v>
      </c>
      <c r="D91">
        <f t="shared" si="4"/>
        <v>11253</v>
      </c>
      <c r="E91" t="s">
        <v>48</v>
      </c>
      <c r="F91">
        <v>54</v>
      </c>
      <c r="G91" t="str" cm="1">
        <f t="array" ref="G91">_xlfn.IFS(F91&lt;25,"18-24",F91&lt;35,"25-35",F91&lt;45,"35-44",F91&lt;55,"44-54",F91&gt;=55,"55+")</f>
        <v>44-54</v>
      </c>
      <c r="H91" t="s">
        <v>41</v>
      </c>
      <c r="I91">
        <v>0</v>
      </c>
      <c r="J91" t="str" cm="1">
        <f t="array" ref="J91">_xlfn.IFS(I91&lt;=0,"No Dependents",I91&lt;=1,"One",I91&lt;=2,"Two",I91&gt;=3,"Third")</f>
        <v>No Dependents</v>
      </c>
      <c r="K91">
        <v>556</v>
      </c>
      <c r="L91" t="str" cm="1">
        <f t="array" ref="L91">_xlfn.IFS(K91&lt;=580,"Poor",K91&lt;=670,"fair",K91&lt;=740,"Good",K91&lt;=800,"Very Good",K91&gt;=800,"Excellent")</f>
        <v>Poor</v>
      </c>
      <c r="M91">
        <v>3</v>
      </c>
      <c r="N91" t="str">
        <f t="shared" si="5"/>
        <v>Yes</v>
      </c>
      <c r="O91">
        <v>0.49</v>
      </c>
      <c r="P91" t="str" cm="1">
        <f t="array" ref="P91">_xlfn.IFS(O91&lt;=0.3,"Low Risk",O91&lt;=0.4,"medium Risk",O91&lt;=0.5,"High Risk",O91&gt;0.5,"Very High Risk")</f>
        <v>High Risk</v>
      </c>
      <c r="Q91">
        <v>4001</v>
      </c>
      <c r="R91">
        <v>36955</v>
      </c>
      <c r="S91" t="str">
        <f t="shared" si="6"/>
        <v>Yes</v>
      </c>
      <c r="T91">
        <v>30203</v>
      </c>
      <c r="U91" t="str" cm="1">
        <f t="array" ref="U91">_xlfn.IFS(T91&lt;5000,"Small",T91&lt;20000,"Medium",T91&lt;35000,"Large",T91&gt;35000,"Very Large")</f>
        <v>Large</v>
      </c>
      <c r="V91">
        <v>48</v>
      </c>
      <c r="W91">
        <f t="shared" si="7"/>
        <v>4</v>
      </c>
      <c r="X91" t="s">
        <v>31</v>
      </c>
      <c r="Y91" t="s">
        <v>38</v>
      </c>
      <c r="Z91" t="s">
        <v>33</v>
      </c>
      <c r="AA91" t="s">
        <v>40</v>
      </c>
      <c r="AB91" t="s">
        <v>51</v>
      </c>
      <c r="AC91" t="s">
        <v>36</v>
      </c>
    </row>
    <row r="92" spans="1:29" x14ac:dyDescent="0.25">
      <c r="A92">
        <v>96</v>
      </c>
      <c r="B92">
        <v>16948</v>
      </c>
      <c r="C92">
        <v>7009</v>
      </c>
      <c r="D92">
        <f t="shared" si="4"/>
        <v>23957</v>
      </c>
      <c r="E92" t="s">
        <v>46</v>
      </c>
      <c r="F92">
        <v>21</v>
      </c>
      <c r="G92" t="str" cm="1">
        <f t="array" ref="G92">_xlfn.IFS(F92&lt;25,"18-24",F92&lt;35,"25-35",F92&lt;45,"35-44",F92&lt;55,"44-54",F92&gt;=55,"55+")</f>
        <v>18-24</v>
      </c>
      <c r="H92" t="s">
        <v>30</v>
      </c>
      <c r="I92">
        <v>0</v>
      </c>
      <c r="J92" t="str" cm="1">
        <f t="array" ref="J92">_xlfn.IFS(I92&lt;=0,"No Dependents",I92&lt;=1,"One",I92&lt;=2,"Two",I92&gt;=3,"Third")</f>
        <v>No Dependents</v>
      </c>
      <c r="K92">
        <v>589</v>
      </c>
      <c r="L92" t="str" cm="1">
        <f t="array" ref="L92">_xlfn.IFS(K92&lt;=580,"Poor",K92&lt;=670,"fair",K92&lt;=740,"Good",K92&lt;=800,"Very Good",K92&gt;=800,"Excellent")</f>
        <v>fair</v>
      </c>
      <c r="M92">
        <v>2</v>
      </c>
      <c r="N92" t="str">
        <f t="shared" si="5"/>
        <v>Yes</v>
      </c>
      <c r="O92">
        <v>0.56000000000000005</v>
      </c>
      <c r="P92" t="str" cm="1">
        <f t="array" ref="P92">_xlfn.IFS(O92&lt;=0.3,"Low Risk",O92&lt;=0.4,"medium Risk",O92&lt;=0.5,"High Risk",O92&gt;0.5,"Very High Risk")</f>
        <v>Very High Risk</v>
      </c>
      <c r="Q92">
        <v>19867</v>
      </c>
      <c r="R92">
        <v>0</v>
      </c>
      <c r="S92" t="str">
        <f t="shared" si="6"/>
        <v>No</v>
      </c>
      <c r="T92">
        <v>12552</v>
      </c>
      <c r="U92" t="str" cm="1">
        <f t="array" ref="U92">_xlfn.IFS(T92&lt;5000,"Small",T92&lt;20000,"Medium",T92&lt;35000,"Large",T92&gt;35000,"Very Large")</f>
        <v>Medium</v>
      </c>
      <c r="V92">
        <v>24</v>
      </c>
      <c r="W92">
        <f t="shared" si="7"/>
        <v>2</v>
      </c>
      <c r="X92" t="s">
        <v>47</v>
      </c>
      <c r="Y92" t="s">
        <v>32</v>
      </c>
      <c r="Z92" t="s">
        <v>39</v>
      </c>
      <c r="AA92" t="s">
        <v>40</v>
      </c>
      <c r="AB92" t="s">
        <v>43</v>
      </c>
      <c r="AC92" t="s">
        <v>36</v>
      </c>
    </row>
    <row r="93" spans="1:29" x14ac:dyDescent="0.25">
      <c r="A93">
        <v>97</v>
      </c>
      <c r="B93">
        <v>10110</v>
      </c>
      <c r="C93">
        <v>6667</v>
      </c>
      <c r="D93">
        <f t="shared" si="4"/>
        <v>16777</v>
      </c>
      <c r="E93" t="s">
        <v>29</v>
      </c>
      <c r="F93">
        <v>52</v>
      </c>
      <c r="G93" t="str" cm="1">
        <f t="array" ref="G93">_xlfn.IFS(F93&lt;25,"18-24",F93&lt;35,"25-35",F93&lt;45,"35-44",F93&lt;55,"44-54",F93&gt;=55,"55+")</f>
        <v>44-54</v>
      </c>
      <c r="H93" t="s">
        <v>41</v>
      </c>
      <c r="I93">
        <v>2</v>
      </c>
      <c r="J93" t="str" cm="1">
        <f t="array" ref="J93">_xlfn.IFS(I93&lt;=0,"No Dependents",I93&lt;=1,"One",I93&lt;=2,"Two",I93&gt;=3,"Third")</f>
        <v>Two</v>
      </c>
      <c r="K93">
        <v>705</v>
      </c>
      <c r="L93" t="str" cm="1">
        <f t="array" ref="L93">_xlfn.IFS(K93&lt;=580,"Poor",K93&lt;=670,"fair",K93&lt;=740,"Good",K93&lt;=800,"Very Good",K93&gt;=800,"Excellent")</f>
        <v>Good</v>
      </c>
      <c r="M93">
        <v>4</v>
      </c>
      <c r="N93" t="str">
        <f t="shared" si="5"/>
        <v>Yes</v>
      </c>
      <c r="O93">
        <v>0.53</v>
      </c>
      <c r="P93" t="str" cm="1">
        <f t="array" ref="P93">_xlfn.IFS(O93&lt;=0.3,"Low Risk",O93&lt;=0.4,"medium Risk",O93&lt;=0.5,"High Risk",O93&gt;0.5,"Very High Risk")</f>
        <v>Very High Risk</v>
      </c>
      <c r="Q93">
        <v>598</v>
      </c>
      <c r="R93">
        <v>36</v>
      </c>
      <c r="S93" t="str">
        <f t="shared" si="6"/>
        <v>No</v>
      </c>
      <c r="T93">
        <v>6608</v>
      </c>
      <c r="U93" t="str" cm="1">
        <f t="array" ref="U93">_xlfn.IFS(T93&lt;5000,"Small",T93&lt;20000,"Medium",T93&lt;35000,"Large",T93&gt;35000,"Very Large")</f>
        <v>Medium</v>
      </c>
      <c r="V93">
        <v>48</v>
      </c>
      <c r="W93">
        <f t="shared" si="7"/>
        <v>4</v>
      </c>
      <c r="X93" t="s">
        <v>31</v>
      </c>
      <c r="Y93" t="s">
        <v>32</v>
      </c>
      <c r="Z93" t="s">
        <v>39</v>
      </c>
      <c r="AA93" t="s">
        <v>40</v>
      </c>
      <c r="AB93" t="s">
        <v>35</v>
      </c>
      <c r="AC93" t="s">
        <v>36</v>
      </c>
    </row>
    <row r="94" spans="1:29" x14ac:dyDescent="0.25">
      <c r="A94">
        <v>98</v>
      </c>
      <c r="B94">
        <v>15773</v>
      </c>
      <c r="C94">
        <v>2322</v>
      </c>
      <c r="D94">
        <f t="shared" si="4"/>
        <v>18095</v>
      </c>
      <c r="E94" t="s">
        <v>49</v>
      </c>
      <c r="F94">
        <v>45</v>
      </c>
      <c r="G94" t="str" cm="1">
        <f t="array" ref="G94">_xlfn.IFS(F94&lt;25,"18-24",F94&lt;35,"25-35",F94&lt;45,"35-44",F94&lt;55,"44-54",F94&gt;=55,"55+")</f>
        <v>44-54</v>
      </c>
      <c r="H94" t="s">
        <v>41</v>
      </c>
      <c r="I94">
        <v>3</v>
      </c>
      <c r="J94" t="str" cm="1">
        <f t="array" ref="J94">_xlfn.IFS(I94&lt;=0,"No Dependents",I94&lt;=1,"One",I94&lt;=2,"Two",I94&gt;=3,"Third")</f>
        <v>Third</v>
      </c>
      <c r="K94">
        <v>709</v>
      </c>
      <c r="L94" t="str" cm="1">
        <f t="array" ref="L94">_xlfn.IFS(K94&lt;=580,"Poor",K94&lt;=670,"fair",K94&lt;=740,"Good",K94&lt;=800,"Very Good",K94&gt;=800,"Excellent")</f>
        <v>Good</v>
      </c>
      <c r="M94">
        <v>2</v>
      </c>
      <c r="N94" t="str">
        <f t="shared" si="5"/>
        <v>Yes</v>
      </c>
      <c r="O94">
        <v>0.44</v>
      </c>
      <c r="P94" t="str" cm="1">
        <f t="array" ref="P94">_xlfn.IFS(O94&lt;=0.3,"Low Risk",O94&lt;=0.4,"medium Risk",O94&lt;=0.5,"High Risk",O94&gt;0.5,"Very High Risk")</f>
        <v>High Risk</v>
      </c>
      <c r="Q94">
        <v>0</v>
      </c>
      <c r="R94">
        <v>28412</v>
      </c>
      <c r="S94" t="str">
        <f t="shared" si="6"/>
        <v>Yes</v>
      </c>
      <c r="T94">
        <v>23485</v>
      </c>
      <c r="U94" t="str" cm="1">
        <f t="array" ref="U94">_xlfn.IFS(T94&lt;5000,"Small",T94&lt;20000,"Medium",T94&lt;35000,"Large",T94&gt;35000,"Very Large")</f>
        <v>Large</v>
      </c>
      <c r="V94">
        <v>12</v>
      </c>
      <c r="W94">
        <f t="shared" si="7"/>
        <v>1</v>
      </c>
      <c r="X94" t="s">
        <v>37</v>
      </c>
      <c r="Y94" t="s">
        <v>32</v>
      </c>
      <c r="Z94" t="s">
        <v>39</v>
      </c>
      <c r="AA94" t="s">
        <v>40</v>
      </c>
      <c r="AB94" t="s">
        <v>43</v>
      </c>
      <c r="AC94" t="s">
        <v>36</v>
      </c>
    </row>
    <row r="95" spans="1:29" x14ac:dyDescent="0.25">
      <c r="A95">
        <v>99</v>
      </c>
      <c r="B95">
        <v>0</v>
      </c>
      <c r="C95">
        <v>0</v>
      </c>
      <c r="D95">
        <f t="shared" si="4"/>
        <v>0</v>
      </c>
      <c r="E95" t="s">
        <v>29</v>
      </c>
      <c r="F95">
        <v>49</v>
      </c>
      <c r="G95" t="str" cm="1">
        <f t="array" ref="G95">_xlfn.IFS(F95&lt;25,"18-24",F95&lt;35,"25-35",F95&lt;45,"35-44",F95&lt;55,"44-54",F95&gt;=55,"55+")</f>
        <v>44-54</v>
      </c>
      <c r="H95" t="s">
        <v>30</v>
      </c>
      <c r="I95">
        <v>1</v>
      </c>
      <c r="J95" t="str" cm="1">
        <f t="array" ref="J95">_xlfn.IFS(I95&lt;=0,"No Dependents",I95&lt;=1,"One",I95&lt;=2,"Two",I95&gt;=3,"Third")</f>
        <v>One</v>
      </c>
      <c r="K95">
        <v>550</v>
      </c>
      <c r="L95" t="str" cm="1">
        <f t="array" ref="L95">_xlfn.IFS(K95&lt;=580,"Poor",K95&lt;=670,"fair",K95&lt;=740,"Good",K95&lt;=800,"Very Good",K95&gt;=800,"Excellent")</f>
        <v>Poor</v>
      </c>
      <c r="M95">
        <v>4</v>
      </c>
      <c r="N95" t="str">
        <f t="shared" si="5"/>
        <v>Yes</v>
      </c>
      <c r="O95">
        <v>0.13</v>
      </c>
      <c r="P95" t="str" cm="1">
        <f t="array" ref="P95">_xlfn.IFS(O95&lt;=0.3,"Low Risk",O95&lt;=0.4,"medium Risk",O95&lt;=0.5,"High Risk",O95&gt;0.5,"Very High Risk")</f>
        <v>Low Risk</v>
      </c>
      <c r="Q95">
        <v>19425</v>
      </c>
      <c r="R95">
        <v>18171</v>
      </c>
      <c r="S95" t="str">
        <f t="shared" si="6"/>
        <v>Yes</v>
      </c>
      <c r="T95">
        <v>10862</v>
      </c>
      <c r="U95" t="str" cm="1">
        <f t="array" ref="U95">_xlfn.IFS(T95&lt;5000,"Small",T95&lt;20000,"Medium",T95&lt;35000,"Large",T95&gt;35000,"Very Large")</f>
        <v>Medium</v>
      </c>
      <c r="V95">
        <v>48</v>
      </c>
      <c r="W95">
        <f t="shared" si="7"/>
        <v>4</v>
      </c>
      <c r="X95" t="s">
        <v>31</v>
      </c>
      <c r="Y95" t="s">
        <v>32</v>
      </c>
      <c r="Z95" t="s">
        <v>39</v>
      </c>
      <c r="AA95" t="s">
        <v>34</v>
      </c>
      <c r="AB95" t="s">
        <v>42</v>
      </c>
      <c r="AC95" t="s">
        <v>36</v>
      </c>
    </row>
    <row r="96" spans="1:29" x14ac:dyDescent="0.25">
      <c r="A96">
        <v>100</v>
      </c>
      <c r="B96">
        <v>2502</v>
      </c>
      <c r="C96">
        <v>4090</v>
      </c>
      <c r="D96">
        <f t="shared" si="4"/>
        <v>6592</v>
      </c>
      <c r="E96" t="s">
        <v>46</v>
      </c>
      <c r="F96">
        <v>27</v>
      </c>
      <c r="G96" t="str" cm="1">
        <f t="array" ref="G96">_xlfn.IFS(F96&lt;25,"18-24",F96&lt;35,"25-35",F96&lt;45,"35-44",F96&lt;55,"44-54",F96&gt;=55,"55+")</f>
        <v>25-35</v>
      </c>
      <c r="H96" t="s">
        <v>41</v>
      </c>
      <c r="I96">
        <v>2</v>
      </c>
      <c r="J96" t="str" cm="1">
        <f t="array" ref="J96">_xlfn.IFS(I96&lt;=0,"No Dependents",I96&lt;=1,"One",I96&lt;=2,"Two",I96&gt;=3,"Third")</f>
        <v>Two</v>
      </c>
      <c r="K96">
        <v>692</v>
      </c>
      <c r="L96" t="str" cm="1">
        <f t="array" ref="L96">_xlfn.IFS(K96&lt;=580,"Poor",K96&lt;=670,"fair",K96&lt;=740,"Good",K96&lt;=800,"Very Good",K96&gt;=800,"Excellent")</f>
        <v>Good</v>
      </c>
      <c r="M96">
        <v>1</v>
      </c>
      <c r="N96" t="str">
        <f t="shared" si="5"/>
        <v>Yes</v>
      </c>
      <c r="O96">
        <v>0.49</v>
      </c>
      <c r="P96" t="str" cm="1">
        <f t="array" ref="P96">_xlfn.IFS(O96&lt;=0.3,"Low Risk",O96&lt;=0.4,"medium Risk",O96&lt;=0.5,"High Risk",O96&gt;0.5,"Very High Risk")</f>
        <v>High Risk</v>
      </c>
      <c r="Q96">
        <v>6391</v>
      </c>
      <c r="R96">
        <v>39051</v>
      </c>
      <c r="S96" t="str">
        <f t="shared" si="6"/>
        <v>Yes</v>
      </c>
      <c r="T96">
        <v>39299</v>
      </c>
      <c r="U96" t="str" cm="1">
        <f t="array" ref="U96">_xlfn.IFS(T96&lt;5000,"Small",T96&lt;20000,"Medium",T96&lt;35000,"Large",T96&gt;35000,"Very Large")</f>
        <v>Very Large</v>
      </c>
      <c r="V96">
        <v>60</v>
      </c>
      <c r="W96">
        <f t="shared" si="7"/>
        <v>5</v>
      </c>
      <c r="X96" t="s">
        <v>42</v>
      </c>
      <c r="Y96" t="s">
        <v>38</v>
      </c>
      <c r="Z96" t="s">
        <v>39</v>
      </c>
      <c r="AA96" t="s">
        <v>40</v>
      </c>
      <c r="AB96" t="s">
        <v>51</v>
      </c>
      <c r="AC96" t="s">
        <v>36</v>
      </c>
    </row>
    <row r="97" spans="1:29" x14ac:dyDescent="0.25">
      <c r="A97">
        <v>101</v>
      </c>
      <c r="B97">
        <v>8910</v>
      </c>
      <c r="C97">
        <v>6960</v>
      </c>
      <c r="D97">
        <f t="shared" si="4"/>
        <v>15870</v>
      </c>
      <c r="E97" t="s">
        <v>46</v>
      </c>
      <c r="F97">
        <v>23</v>
      </c>
      <c r="G97" t="str" cm="1">
        <f t="array" ref="G97">_xlfn.IFS(F97&lt;25,"18-24",F97&lt;35,"25-35",F97&lt;45,"35-44",F97&lt;55,"44-54",F97&gt;=55,"55+")</f>
        <v>18-24</v>
      </c>
      <c r="H97" t="s">
        <v>41</v>
      </c>
      <c r="I97">
        <v>3</v>
      </c>
      <c r="J97" t="str" cm="1">
        <f t="array" ref="J97">_xlfn.IFS(I97&lt;=0,"No Dependents",I97&lt;=1,"One",I97&lt;=2,"Two",I97&gt;=3,"Third")</f>
        <v>Third</v>
      </c>
      <c r="K97">
        <v>789</v>
      </c>
      <c r="L97" t="str" cm="1">
        <f t="array" ref="L97">_xlfn.IFS(K97&lt;=580,"Poor",K97&lt;=670,"fair",K97&lt;=740,"Good",K97&lt;=800,"Very Good",K97&gt;=800,"Excellent")</f>
        <v>Very Good</v>
      </c>
      <c r="M97">
        <v>2</v>
      </c>
      <c r="N97" t="str">
        <f t="shared" si="5"/>
        <v>Yes</v>
      </c>
      <c r="O97">
        <v>0.52</v>
      </c>
      <c r="P97" t="str" cm="1">
        <f t="array" ref="P97">_xlfn.IFS(O97&lt;=0.3,"Low Risk",O97&lt;=0.4,"medium Risk",O97&lt;=0.5,"High Risk",O97&gt;0.5,"Very High Risk")</f>
        <v>Very High Risk</v>
      </c>
      <c r="Q97">
        <v>16450</v>
      </c>
      <c r="R97">
        <v>32761</v>
      </c>
      <c r="S97" t="str">
        <f t="shared" si="6"/>
        <v>Yes</v>
      </c>
      <c r="T97">
        <v>11412</v>
      </c>
      <c r="U97" t="str" cm="1">
        <f t="array" ref="U97">_xlfn.IFS(T97&lt;5000,"Small",T97&lt;20000,"Medium",T97&lt;35000,"Large",T97&gt;35000,"Very Large")</f>
        <v>Medium</v>
      </c>
      <c r="V97">
        <v>36</v>
      </c>
      <c r="W97">
        <f t="shared" si="7"/>
        <v>3</v>
      </c>
      <c r="X97" t="s">
        <v>42</v>
      </c>
      <c r="Y97" t="s">
        <v>32</v>
      </c>
      <c r="Z97" t="s">
        <v>39</v>
      </c>
      <c r="AA97" t="s">
        <v>34</v>
      </c>
      <c r="AB97" t="s">
        <v>43</v>
      </c>
      <c r="AC97" t="s">
        <v>36</v>
      </c>
    </row>
    <row r="98" spans="1:29" x14ac:dyDescent="0.25">
      <c r="A98">
        <v>102</v>
      </c>
      <c r="B98">
        <v>14685</v>
      </c>
      <c r="C98">
        <v>3004</v>
      </c>
      <c r="D98">
        <f t="shared" si="4"/>
        <v>17689</v>
      </c>
      <c r="E98" t="s">
        <v>29</v>
      </c>
      <c r="F98">
        <v>40</v>
      </c>
      <c r="G98" t="str" cm="1">
        <f t="array" ref="G98">_xlfn.IFS(F98&lt;25,"18-24",F98&lt;35,"25-35",F98&lt;45,"35-44",F98&lt;55,"44-54",F98&gt;=55,"55+")</f>
        <v>35-44</v>
      </c>
      <c r="H98" t="s">
        <v>41</v>
      </c>
      <c r="I98">
        <v>2</v>
      </c>
      <c r="J98" t="str" cm="1">
        <f t="array" ref="J98">_xlfn.IFS(I98&lt;=0,"No Dependents",I98&lt;=1,"One",I98&lt;=2,"Two",I98&gt;=3,"Third")</f>
        <v>Two</v>
      </c>
      <c r="K98">
        <v>777</v>
      </c>
      <c r="L98" t="str" cm="1">
        <f t="array" ref="L98">_xlfn.IFS(K98&lt;=580,"Poor",K98&lt;=670,"fair",K98&lt;=740,"Good",K98&lt;=800,"Very Good",K98&gt;=800,"Excellent")</f>
        <v>Very Good</v>
      </c>
      <c r="M98">
        <v>1</v>
      </c>
      <c r="N98" t="str">
        <f t="shared" si="5"/>
        <v>Yes</v>
      </c>
      <c r="O98">
        <v>0.5</v>
      </c>
      <c r="P98" t="str" cm="1">
        <f t="array" ref="P98">_xlfn.IFS(O98&lt;=0.3,"Low Risk",O98&lt;=0.4,"medium Risk",O98&lt;=0.5,"High Risk",O98&gt;0.5,"Very High Risk")</f>
        <v>High Risk</v>
      </c>
      <c r="Q98">
        <v>14908</v>
      </c>
      <c r="R98">
        <v>15202</v>
      </c>
      <c r="S98" t="str">
        <f t="shared" si="6"/>
        <v>Yes</v>
      </c>
      <c r="T98">
        <v>22354</v>
      </c>
      <c r="U98" t="str" cm="1">
        <f t="array" ref="U98">_xlfn.IFS(T98&lt;5000,"Small",T98&lt;20000,"Medium",T98&lt;35000,"Large",T98&gt;35000,"Very Large")</f>
        <v>Large</v>
      </c>
      <c r="V98">
        <v>12</v>
      </c>
      <c r="W98">
        <f t="shared" si="7"/>
        <v>1</v>
      </c>
      <c r="X98" t="s">
        <v>37</v>
      </c>
      <c r="Y98" t="s">
        <v>32</v>
      </c>
      <c r="Z98" t="s">
        <v>39</v>
      </c>
      <c r="AA98" t="s">
        <v>40</v>
      </c>
      <c r="AB98" t="s">
        <v>43</v>
      </c>
      <c r="AC98" t="s">
        <v>36</v>
      </c>
    </row>
    <row r="99" spans="1:29" x14ac:dyDescent="0.25">
      <c r="A99">
        <v>103</v>
      </c>
      <c r="B99">
        <v>2206</v>
      </c>
      <c r="C99">
        <v>5136</v>
      </c>
      <c r="D99">
        <f t="shared" si="4"/>
        <v>7342</v>
      </c>
      <c r="E99" t="s">
        <v>48</v>
      </c>
      <c r="F99">
        <v>40</v>
      </c>
      <c r="G99" t="str" cm="1">
        <f t="array" ref="G99">_xlfn.IFS(F99&lt;25,"18-24",F99&lt;35,"25-35",F99&lt;45,"35-44",F99&lt;55,"44-54",F99&gt;=55,"55+")</f>
        <v>35-44</v>
      </c>
      <c r="H99" t="s">
        <v>41</v>
      </c>
      <c r="I99">
        <v>0</v>
      </c>
      <c r="J99" t="str" cm="1">
        <f t="array" ref="J99">_xlfn.IFS(I99&lt;=0,"No Dependents",I99&lt;=1,"One",I99&lt;=2,"Two",I99&gt;=3,"Third")</f>
        <v>No Dependents</v>
      </c>
      <c r="K99">
        <v>634</v>
      </c>
      <c r="L99" t="str" cm="1">
        <f t="array" ref="L99">_xlfn.IFS(K99&lt;=580,"Poor",K99&lt;=670,"fair",K99&lt;=740,"Good",K99&lt;=800,"Very Good",K99&gt;=800,"Excellent")</f>
        <v>fair</v>
      </c>
      <c r="M99">
        <v>1</v>
      </c>
      <c r="N99" t="str">
        <f t="shared" si="5"/>
        <v>Yes</v>
      </c>
      <c r="O99">
        <v>0.35</v>
      </c>
      <c r="P99" t="str" cm="1">
        <f t="array" ref="P99">_xlfn.IFS(O99&lt;=0.3,"Low Risk",O99&lt;=0.4,"medium Risk",O99&lt;=0.5,"High Risk",O99&gt;0.5,"Very High Risk")</f>
        <v>medium Risk</v>
      </c>
      <c r="Q99">
        <v>11590</v>
      </c>
      <c r="R99">
        <v>8060</v>
      </c>
      <c r="S99" t="str">
        <f t="shared" si="6"/>
        <v>Yes</v>
      </c>
      <c r="T99">
        <v>7344</v>
      </c>
      <c r="U99" t="str" cm="1">
        <f t="array" ref="U99">_xlfn.IFS(T99&lt;5000,"Small",T99&lt;20000,"Medium",T99&lt;35000,"Large",T99&gt;35000,"Very Large")</f>
        <v>Medium</v>
      </c>
      <c r="V99">
        <v>12</v>
      </c>
      <c r="W99">
        <f t="shared" si="7"/>
        <v>1</v>
      </c>
      <c r="X99" t="s">
        <v>37</v>
      </c>
      <c r="Y99" t="s">
        <v>32</v>
      </c>
      <c r="Z99" t="s">
        <v>39</v>
      </c>
      <c r="AA99" t="s">
        <v>40</v>
      </c>
      <c r="AB99" t="s">
        <v>51</v>
      </c>
      <c r="AC99" t="s">
        <v>36</v>
      </c>
    </row>
    <row r="100" spans="1:29" x14ac:dyDescent="0.25">
      <c r="A100">
        <v>104</v>
      </c>
      <c r="B100">
        <v>19868</v>
      </c>
      <c r="C100">
        <v>329</v>
      </c>
      <c r="D100">
        <f t="shared" si="4"/>
        <v>20197</v>
      </c>
      <c r="E100" t="s">
        <v>49</v>
      </c>
      <c r="F100">
        <v>50</v>
      </c>
      <c r="G100" t="str" cm="1">
        <f t="array" ref="G100">_xlfn.IFS(F100&lt;25,"18-24",F100&lt;35,"25-35",F100&lt;45,"35-44",F100&lt;55,"44-54",F100&gt;=55,"55+")</f>
        <v>44-54</v>
      </c>
      <c r="H100" t="s">
        <v>30</v>
      </c>
      <c r="I100">
        <v>2</v>
      </c>
      <c r="J100" t="str" cm="1">
        <f t="array" ref="J100">_xlfn.IFS(I100&lt;=0,"No Dependents",I100&lt;=1,"One",I100&lt;=2,"Two",I100&gt;=3,"Third")</f>
        <v>Two</v>
      </c>
      <c r="K100">
        <v>747</v>
      </c>
      <c r="L100" t="str" cm="1">
        <f t="array" ref="L100">_xlfn.IFS(K100&lt;=580,"Poor",K100&lt;=670,"fair",K100&lt;=740,"Good",K100&lt;=800,"Very Good",K100&gt;=800,"Excellent")</f>
        <v>Very Good</v>
      </c>
      <c r="M100">
        <v>0</v>
      </c>
      <c r="N100" t="str">
        <f t="shared" si="5"/>
        <v>No</v>
      </c>
      <c r="O100">
        <v>0.22</v>
      </c>
      <c r="P100" t="str" cm="1">
        <f t="array" ref="P100">_xlfn.IFS(O100&lt;=0.3,"Low Risk",O100&lt;=0.4,"medium Risk",O100&lt;=0.5,"High Risk",O100&gt;0.5,"Very High Risk")</f>
        <v>Low Risk</v>
      </c>
      <c r="Q100">
        <v>16279</v>
      </c>
      <c r="R100">
        <v>8065</v>
      </c>
      <c r="S100" t="str">
        <f t="shared" si="6"/>
        <v>Yes</v>
      </c>
      <c r="T100">
        <v>18993</v>
      </c>
      <c r="U100" t="str" cm="1">
        <f t="array" ref="U100">_xlfn.IFS(T100&lt;5000,"Small",T100&lt;20000,"Medium",T100&lt;35000,"Large",T100&gt;35000,"Very Large")</f>
        <v>Medium</v>
      </c>
      <c r="V100">
        <v>12</v>
      </c>
      <c r="W100">
        <f t="shared" si="7"/>
        <v>1</v>
      </c>
      <c r="X100" t="s">
        <v>50</v>
      </c>
      <c r="Y100" t="s">
        <v>32</v>
      </c>
      <c r="Z100" t="s">
        <v>39</v>
      </c>
      <c r="AA100" t="s">
        <v>34</v>
      </c>
      <c r="AB100" t="s">
        <v>48</v>
      </c>
      <c r="AC100" t="s">
        <v>44</v>
      </c>
    </row>
    <row r="101" spans="1:29" x14ac:dyDescent="0.25">
      <c r="A101">
        <v>105</v>
      </c>
      <c r="B101">
        <v>17934</v>
      </c>
      <c r="C101">
        <v>3640</v>
      </c>
      <c r="D101">
        <f t="shared" si="4"/>
        <v>21574</v>
      </c>
      <c r="E101" t="s">
        <v>46</v>
      </c>
      <c r="F101">
        <v>55</v>
      </c>
      <c r="G101" t="str" cm="1">
        <f t="array" ref="G101">_xlfn.IFS(F101&lt;25,"18-24",F101&lt;35,"25-35",F101&lt;45,"35-44",F101&lt;55,"44-54",F101&gt;=55,"55+")</f>
        <v>55+</v>
      </c>
      <c r="H101" t="s">
        <v>30</v>
      </c>
      <c r="I101">
        <v>2</v>
      </c>
      <c r="J101" t="str" cm="1">
        <f t="array" ref="J101">_xlfn.IFS(I101&lt;=0,"No Dependents",I101&lt;=1,"One",I101&lt;=2,"Two",I101&gt;=3,"Third")</f>
        <v>Two</v>
      </c>
      <c r="K101">
        <v>614</v>
      </c>
      <c r="L101" t="str" cm="1">
        <f t="array" ref="L101">_xlfn.IFS(K101&lt;=580,"Poor",K101&lt;=670,"fair",K101&lt;=740,"Good",K101&lt;=800,"Very Good",K101&gt;=800,"Excellent")</f>
        <v>fair</v>
      </c>
      <c r="M101">
        <v>1</v>
      </c>
      <c r="N101" t="str">
        <f t="shared" si="5"/>
        <v>Yes</v>
      </c>
      <c r="O101">
        <v>0.52</v>
      </c>
      <c r="P101" t="str" cm="1">
        <f t="array" ref="P101">_xlfn.IFS(O101&lt;=0.3,"Low Risk",O101&lt;=0.4,"medium Risk",O101&lt;=0.5,"High Risk",O101&gt;0.5,"Very High Risk")</f>
        <v>Very High Risk</v>
      </c>
      <c r="Q101">
        <v>2750</v>
      </c>
      <c r="R101">
        <v>29873</v>
      </c>
      <c r="S101" t="str">
        <f t="shared" si="6"/>
        <v>Yes</v>
      </c>
      <c r="T101">
        <v>29682</v>
      </c>
      <c r="U101" t="str" cm="1">
        <f t="array" ref="U101">_xlfn.IFS(T101&lt;5000,"Small",T101&lt;20000,"Medium",T101&lt;35000,"Large",T101&gt;35000,"Very Large")</f>
        <v>Large</v>
      </c>
      <c r="V101">
        <v>12</v>
      </c>
      <c r="W101">
        <f t="shared" si="7"/>
        <v>1</v>
      </c>
      <c r="X101" t="s">
        <v>47</v>
      </c>
      <c r="Y101" t="s">
        <v>45</v>
      </c>
      <c r="Z101" t="s">
        <v>39</v>
      </c>
      <c r="AA101" t="s">
        <v>40</v>
      </c>
      <c r="AB101" t="s">
        <v>42</v>
      </c>
      <c r="AC101" t="s">
        <v>36</v>
      </c>
    </row>
    <row r="102" spans="1:29" x14ac:dyDescent="0.25">
      <c r="A102">
        <v>106</v>
      </c>
      <c r="B102">
        <v>19247</v>
      </c>
      <c r="C102">
        <v>7982</v>
      </c>
      <c r="D102">
        <f t="shared" si="4"/>
        <v>27229</v>
      </c>
      <c r="E102" t="s">
        <v>29</v>
      </c>
      <c r="F102">
        <v>55</v>
      </c>
      <c r="G102" t="str" cm="1">
        <f t="array" ref="G102">_xlfn.IFS(F102&lt;25,"18-24",F102&lt;35,"25-35",F102&lt;45,"35-44",F102&lt;55,"44-54",F102&gt;=55,"55+")</f>
        <v>55+</v>
      </c>
      <c r="H102" t="s">
        <v>41</v>
      </c>
      <c r="I102">
        <v>1</v>
      </c>
      <c r="J102" t="str" cm="1">
        <f t="array" ref="J102">_xlfn.IFS(I102&lt;=0,"No Dependents",I102&lt;=1,"One",I102&lt;=2,"Two",I102&gt;=3,"Third")</f>
        <v>One</v>
      </c>
      <c r="K102">
        <v>681</v>
      </c>
      <c r="L102" t="str" cm="1">
        <f t="array" ref="L102">_xlfn.IFS(K102&lt;=580,"Poor",K102&lt;=670,"fair",K102&lt;=740,"Good",K102&lt;=800,"Very Good",K102&gt;=800,"Excellent")</f>
        <v>Good</v>
      </c>
      <c r="M102">
        <v>1</v>
      </c>
      <c r="N102" t="str">
        <f t="shared" si="5"/>
        <v>Yes</v>
      </c>
      <c r="O102">
        <v>0.46</v>
      </c>
      <c r="P102" t="str" cm="1">
        <f t="array" ref="P102">_xlfn.IFS(O102&lt;=0.3,"Low Risk",O102&lt;=0.4,"medium Risk",O102&lt;=0.5,"High Risk",O102&gt;0.5,"Very High Risk")</f>
        <v>High Risk</v>
      </c>
      <c r="Q102">
        <v>9916</v>
      </c>
      <c r="R102">
        <v>36648</v>
      </c>
      <c r="S102" t="str">
        <f t="shared" si="6"/>
        <v>Yes</v>
      </c>
      <c r="T102">
        <v>29415</v>
      </c>
      <c r="U102" t="str" cm="1">
        <f t="array" ref="U102">_xlfn.IFS(T102&lt;5000,"Small",T102&lt;20000,"Medium",T102&lt;35000,"Large",T102&gt;35000,"Very Large")</f>
        <v>Large</v>
      </c>
      <c r="V102">
        <v>48</v>
      </c>
      <c r="W102">
        <f t="shared" si="7"/>
        <v>4</v>
      </c>
      <c r="X102" t="s">
        <v>47</v>
      </c>
      <c r="Y102" t="s">
        <v>32</v>
      </c>
      <c r="Z102" t="s">
        <v>39</v>
      </c>
      <c r="AA102" t="s">
        <v>40</v>
      </c>
      <c r="AB102" t="s">
        <v>51</v>
      </c>
      <c r="AC102" t="s">
        <v>36</v>
      </c>
    </row>
    <row r="103" spans="1:29" x14ac:dyDescent="0.25">
      <c r="A103">
        <v>107</v>
      </c>
      <c r="B103">
        <v>10755</v>
      </c>
      <c r="C103">
        <v>4107</v>
      </c>
      <c r="D103">
        <f t="shared" si="4"/>
        <v>14862</v>
      </c>
      <c r="E103" t="s">
        <v>29</v>
      </c>
      <c r="F103">
        <v>59</v>
      </c>
      <c r="G103" t="str" cm="1">
        <f t="array" ref="G103">_xlfn.IFS(F103&lt;25,"18-24",F103&lt;35,"25-35",F103&lt;45,"35-44",F103&lt;55,"44-54",F103&gt;=55,"55+")</f>
        <v>55+</v>
      </c>
      <c r="H103" t="s">
        <v>30</v>
      </c>
      <c r="I103">
        <v>0</v>
      </c>
      <c r="J103" t="str" cm="1">
        <f t="array" ref="J103">_xlfn.IFS(I103&lt;=0,"No Dependents",I103&lt;=1,"One",I103&lt;=2,"Two",I103&gt;=3,"Third")</f>
        <v>No Dependents</v>
      </c>
      <c r="K103">
        <v>560</v>
      </c>
      <c r="L103" t="str" cm="1">
        <f t="array" ref="L103">_xlfn.IFS(K103&lt;=580,"Poor",K103&lt;=670,"fair",K103&lt;=740,"Good",K103&lt;=800,"Very Good",K103&gt;=800,"Excellent")</f>
        <v>Poor</v>
      </c>
      <c r="M103">
        <v>2</v>
      </c>
      <c r="N103" t="str">
        <f t="shared" si="5"/>
        <v>Yes</v>
      </c>
      <c r="O103">
        <v>0.35</v>
      </c>
      <c r="P103" t="str" cm="1">
        <f t="array" ref="P103">_xlfn.IFS(O103&lt;=0.3,"Low Risk",O103&lt;=0.4,"medium Risk",O103&lt;=0.5,"High Risk",O103&gt;0.5,"Very High Risk")</f>
        <v>medium Risk</v>
      </c>
      <c r="Q103">
        <v>6806</v>
      </c>
      <c r="R103">
        <v>5932</v>
      </c>
      <c r="S103" t="str">
        <f t="shared" si="6"/>
        <v>Yes</v>
      </c>
      <c r="T103">
        <v>20323</v>
      </c>
      <c r="U103" t="str" cm="1">
        <f t="array" ref="U103">_xlfn.IFS(T103&lt;5000,"Small",T103&lt;20000,"Medium",T103&lt;35000,"Large",T103&gt;35000,"Very Large")</f>
        <v>Large</v>
      </c>
      <c r="V103">
        <v>60</v>
      </c>
      <c r="W103">
        <f t="shared" si="7"/>
        <v>5</v>
      </c>
      <c r="X103" t="s">
        <v>47</v>
      </c>
      <c r="Y103" t="s">
        <v>32</v>
      </c>
      <c r="Z103" t="s">
        <v>39</v>
      </c>
      <c r="AA103" t="s">
        <v>40</v>
      </c>
      <c r="AB103" t="s">
        <v>43</v>
      </c>
      <c r="AC103" t="s">
        <v>36</v>
      </c>
    </row>
    <row r="104" spans="1:29" x14ac:dyDescent="0.25">
      <c r="A104">
        <v>108</v>
      </c>
      <c r="B104">
        <v>14383</v>
      </c>
      <c r="C104">
        <v>1341</v>
      </c>
      <c r="D104">
        <f t="shared" si="4"/>
        <v>15724</v>
      </c>
      <c r="E104" t="s">
        <v>29</v>
      </c>
      <c r="F104">
        <v>47</v>
      </c>
      <c r="G104" t="str" cm="1">
        <f t="array" ref="G104">_xlfn.IFS(F104&lt;25,"18-24",F104&lt;35,"25-35",F104&lt;45,"35-44",F104&lt;55,"44-54",F104&gt;=55,"55+")</f>
        <v>44-54</v>
      </c>
      <c r="H104" t="s">
        <v>41</v>
      </c>
      <c r="I104">
        <v>0</v>
      </c>
      <c r="J104" t="str" cm="1">
        <f t="array" ref="J104">_xlfn.IFS(I104&lt;=0,"No Dependents",I104&lt;=1,"One",I104&lt;=2,"Two",I104&gt;=3,"Third")</f>
        <v>No Dependents</v>
      </c>
      <c r="K104">
        <v>657</v>
      </c>
      <c r="L104" t="str" cm="1">
        <f t="array" ref="L104">_xlfn.IFS(K104&lt;=580,"Poor",K104&lt;=670,"fair",K104&lt;=740,"Good",K104&lt;=800,"Very Good",K104&gt;=800,"Excellent")</f>
        <v>fair</v>
      </c>
      <c r="M104">
        <v>2</v>
      </c>
      <c r="N104" t="str">
        <f t="shared" si="5"/>
        <v>Yes</v>
      </c>
      <c r="O104">
        <v>0.18</v>
      </c>
      <c r="P104" t="str" cm="1">
        <f t="array" ref="P104">_xlfn.IFS(O104&lt;=0.3,"Low Risk",O104&lt;=0.4,"medium Risk",O104&lt;=0.5,"High Risk",O104&gt;0.5,"Very High Risk")</f>
        <v>Low Risk</v>
      </c>
      <c r="Q104">
        <v>6429</v>
      </c>
      <c r="R104">
        <v>26470</v>
      </c>
      <c r="S104" t="str">
        <f t="shared" si="6"/>
        <v>Yes</v>
      </c>
      <c r="T104">
        <v>18997</v>
      </c>
      <c r="U104" t="str" cm="1">
        <f t="array" ref="U104">_xlfn.IFS(T104&lt;5000,"Small",T104&lt;20000,"Medium",T104&lt;35000,"Large",T104&gt;35000,"Very Large")</f>
        <v>Medium</v>
      </c>
      <c r="V104">
        <v>24</v>
      </c>
      <c r="W104">
        <f t="shared" si="7"/>
        <v>2</v>
      </c>
      <c r="X104" t="s">
        <v>42</v>
      </c>
      <c r="Y104" t="s">
        <v>38</v>
      </c>
      <c r="Z104" t="s">
        <v>39</v>
      </c>
      <c r="AA104" t="s">
        <v>40</v>
      </c>
      <c r="AB104" t="s">
        <v>42</v>
      </c>
      <c r="AC104" t="s">
        <v>44</v>
      </c>
    </row>
    <row r="105" spans="1:29" x14ac:dyDescent="0.25">
      <c r="A105">
        <v>110</v>
      </c>
      <c r="B105">
        <v>9574</v>
      </c>
      <c r="C105">
        <v>338</v>
      </c>
      <c r="D105">
        <f t="shared" si="4"/>
        <v>9912</v>
      </c>
      <c r="E105" t="s">
        <v>29</v>
      </c>
      <c r="F105">
        <v>34</v>
      </c>
      <c r="G105" t="str" cm="1">
        <f t="array" ref="G105">_xlfn.IFS(F105&lt;25,"18-24",F105&lt;35,"25-35",F105&lt;45,"35-44",F105&lt;55,"44-54",F105&gt;=55,"55+")</f>
        <v>25-35</v>
      </c>
      <c r="H105" t="s">
        <v>41</v>
      </c>
      <c r="I105">
        <v>2</v>
      </c>
      <c r="J105" t="str" cm="1">
        <f t="array" ref="J105">_xlfn.IFS(I105&lt;=0,"No Dependents",I105&lt;=1,"One",I105&lt;=2,"Two",I105&gt;=3,"Third")</f>
        <v>Two</v>
      </c>
      <c r="K105">
        <v>738</v>
      </c>
      <c r="L105" t="str" cm="1">
        <f t="array" ref="L105">_xlfn.IFS(K105&lt;=580,"Poor",K105&lt;=670,"fair",K105&lt;=740,"Good",K105&lt;=800,"Very Good",K105&gt;=800,"Excellent")</f>
        <v>Good</v>
      </c>
      <c r="M105">
        <v>0</v>
      </c>
      <c r="N105" t="str">
        <f t="shared" si="5"/>
        <v>No</v>
      </c>
      <c r="O105">
        <v>0.21</v>
      </c>
      <c r="P105" t="str" cm="1">
        <f t="array" ref="P105">_xlfn.IFS(O105&lt;=0.3,"Low Risk",O105&lt;=0.4,"medium Risk",O105&lt;=0.5,"High Risk",O105&gt;0.5,"Very High Risk")</f>
        <v>Low Risk</v>
      </c>
      <c r="Q105">
        <v>18015</v>
      </c>
      <c r="R105">
        <v>6333</v>
      </c>
      <c r="S105" t="str">
        <f t="shared" si="6"/>
        <v>Yes</v>
      </c>
      <c r="T105">
        <v>30489</v>
      </c>
      <c r="U105" t="str" cm="1">
        <f t="array" ref="U105">_xlfn.IFS(T105&lt;5000,"Small",T105&lt;20000,"Medium",T105&lt;35000,"Large",T105&gt;35000,"Very Large")</f>
        <v>Large</v>
      </c>
      <c r="V105">
        <v>12</v>
      </c>
      <c r="W105">
        <f t="shared" si="7"/>
        <v>1</v>
      </c>
      <c r="X105" t="s">
        <v>50</v>
      </c>
      <c r="Y105" t="s">
        <v>45</v>
      </c>
      <c r="Z105" t="s">
        <v>33</v>
      </c>
      <c r="AA105" t="s">
        <v>40</v>
      </c>
      <c r="AB105" t="s">
        <v>42</v>
      </c>
      <c r="AC105" t="s">
        <v>44</v>
      </c>
    </row>
    <row r="106" spans="1:29" x14ac:dyDescent="0.25">
      <c r="A106">
        <v>111</v>
      </c>
      <c r="B106">
        <v>8374</v>
      </c>
      <c r="C106">
        <v>5895</v>
      </c>
      <c r="D106">
        <f t="shared" si="4"/>
        <v>14269</v>
      </c>
      <c r="E106" t="s">
        <v>46</v>
      </c>
      <c r="F106">
        <v>37</v>
      </c>
      <c r="G106" t="str" cm="1">
        <f t="array" ref="G106">_xlfn.IFS(F106&lt;25,"18-24",F106&lt;35,"25-35",F106&lt;45,"35-44",F106&lt;55,"44-54",F106&gt;=55,"55+")</f>
        <v>35-44</v>
      </c>
      <c r="H106" t="s">
        <v>41</v>
      </c>
      <c r="I106">
        <v>3</v>
      </c>
      <c r="J106" t="str" cm="1">
        <f t="array" ref="J106">_xlfn.IFS(I106&lt;=0,"No Dependents",I106&lt;=1,"One",I106&lt;=2,"Two",I106&gt;=3,"Third")</f>
        <v>Third</v>
      </c>
      <c r="K106">
        <v>714</v>
      </c>
      <c r="L106" t="str" cm="1">
        <f t="array" ref="L106">_xlfn.IFS(K106&lt;=580,"Poor",K106&lt;=670,"fair",K106&lt;=740,"Good",K106&lt;=800,"Very Good",K106&gt;=800,"Excellent")</f>
        <v>Good</v>
      </c>
      <c r="M106">
        <v>1</v>
      </c>
      <c r="N106" t="str">
        <f t="shared" si="5"/>
        <v>Yes</v>
      </c>
      <c r="O106">
        <v>0.5</v>
      </c>
      <c r="P106" t="str" cm="1">
        <f t="array" ref="P106">_xlfn.IFS(O106&lt;=0.3,"Low Risk",O106&lt;=0.4,"medium Risk",O106&lt;=0.5,"High Risk",O106&gt;0.5,"Very High Risk")</f>
        <v>High Risk</v>
      </c>
      <c r="Q106">
        <v>6452</v>
      </c>
      <c r="R106">
        <v>46638</v>
      </c>
      <c r="S106" t="str">
        <f t="shared" si="6"/>
        <v>Yes</v>
      </c>
      <c r="T106">
        <v>10488</v>
      </c>
      <c r="U106" t="str" cm="1">
        <f t="array" ref="U106">_xlfn.IFS(T106&lt;5000,"Small",T106&lt;20000,"Medium",T106&lt;35000,"Large",T106&gt;35000,"Very Large")</f>
        <v>Medium</v>
      </c>
      <c r="V106">
        <v>72</v>
      </c>
      <c r="W106">
        <f t="shared" si="7"/>
        <v>6</v>
      </c>
      <c r="X106" t="s">
        <v>50</v>
      </c>
      <c r="Y106" t="s">
        <v>32</v>
      </c>
      <c r="Z106" t="s">
        <v>39</v>
      </c>
      <c r="AA106" t="s">
        <v>34</v>
      </c>
      <c r="AB106" t="s">
        <v>35</v>
      </c>
      <c r="AC106" t="s">
        <v>36</v>
      </c>
    </row>
    <row r="107" spans="1:29" x14ac:dyDescent="0.25">
      <c r="A107">
        <v>112</v>
      </c>
      <c r="B107">
        <v>3678</v>
      </c>
      <c r="C107">
        <v>2708</v>
      </c>
      <c r="D107">
        <f t="shared" si="4"/>
        <v>6386</v>
      </c>
      <c r="E107" t="s">
        <v>49</v>
      </c>
      <c r="F107">
        <v>38</v>
      </c>
      <c r="G107" t="str" cm="1">
        <f t="array" ref="G107">_xlfn.IFS(F107&lt;25,"18-24",F107&lt;35,"25-35",F107&lt;45,"35-44",F107&lt;55,"44-54",F107&gt;=55,"55+")</f>
        <v>35-44</v>
      </c>
      <c r="H107" t="s">
        <v>30</v>
      </c>
      <c r="I107">
        <v>0</v>
      </c>
      <c r="J107" t="str" cm="1">
        <f t="array" ref="J107">_xlfn.IFS(I107&lt;=0,"No Dependents",I107&lt;=1,"One",I107&lt;=2,"Two",I107&gt;=3,"Third")</f>
        <v>No Dependents</v>
      </c>
      <c r="K107">
        <v>700</v>
      </c>
      <c r="L107" t="str" cm="1">
        <f t="array" ref="L107">_xlfn.IFS(K107&lt;=580,"Poor",K107&lt;=670,"fair",K107&lt;=740,"Good",K107&lt;=800,"Very Good",K107&gt;=800,"Excellent")</f>
        <v>Good</v>
      </c>
      <c r="M107">
        <v>0</v>
      </c>
      <c r="N107" t="str">
        <f t="shared" si="5"/>
        <v>No</v>
      </c>
      <c r="O107">
        <v>0.19</v>
      </c>
      <c r="P107" t="str" cm="1">
        <f t="array" ref="P107">_xlfn.IFS(O107&lt;=0.3,"Low Risk",O107&lt;=0.4,"medium Risk",O107&lt;=0.5,"High Risk",O107&gt;0.5,"Very High Risk")</f>
        <v>Low Risk</v>
      </c>
      <c r="Q107">
        <v>17158</v>
      </c>
      <c r="R107">
        <v>11268</v>
      </c>
      <c r="S107" t="str">
        <f t="shared" si="6"/>
        <v>Yes</v>
      </c>
      <c r="T107">
        <v>4996</v>
      </c>
      <c r="U107" t="str" cm="1">
        <f t="array" ref="U107">_xlfn.IFS(T107&lt;5000,"Small",T107&lt;20000,"Medium",T107&lt;35000,"Large",T107&gt;35000,"Very Large")</f>
        <v>Small</v>
      </c>
      <c r="V107">
        <v>48</v>
      </c>
      <c r="W107">
        <f t="shared" si="7"/>
        <v>4</v>
      </c>
      <c r="X107" t="s">
        <v>47</v>
      </c>
      <c r="Y107" t="s">
        <v>32</v>
      </c>
      <c r="Z107" t="s">
        <v>39</v>
      </c>
      <c r="AA107" t="s">
        <v>34</v>
      </c>
      <c r="AB107" t="s">
        <v>43</v>
      </c>
      <c r="AC107" t="s">
        <v>44</v>
      </c>
    </row>
    <row r="108" spans="1:29" x14ac:dyDescent="0.25">
      <c r="A108">
        <v>113</v>
      </c>
      <c r="B108">
        <v>3059</v>
      </c>
      <c r="C108">
        <v>1750</v>
      </c>
      <c r="D108">
        <f t="shared" si="4"/>
        <v>4809</v>
      </c>
      <c r="E108" t="s">
        <v>29</v>
      </c>
      <c r="F108">
        <v>49</v>
      </c>
      <c r="G108" t="str" cm="1">
        <f t="array" ref="G108">_xlfn.IFS(F108&lt;25,"18-24",F108&lt;35,"25-35",F108&lt;45,"35-44",F108&lt;55,"44-54",F108&gt;=55,"55+")</f>
        <v>44-54</v>
      </c>
      <c r="H108" t="s">
        <v>30</v>
      </c>
      <c r="I108">
        <v>0</v>
      </c>
      <c r="J108" t="str" cm="1">
        <f t="array" ref="J108">_xlfn.IFS(I108&lt;=0,"No Dependents",I108&lt;=1,"One",I108&lt;=2,"Two",I108&gt;=3,"Third")</f>
        <v>No Dependents</v>
      </c>
      <c r="K108">
        <v>770</v>
      </c>
      <c r="L108" t="str" cm="1">
        <f t="array" ref="L108">_xlfn.IFS(K108&lt;=580,"Poor",K108&lt;=670,"fair",K108&lt;=740,"Good",K108&lt;=800,"Very Good",K108&gt;=800,"Excellent")</f>
        <v>Very Good</v>
      </c>
      <c r="M108">
        <v>4</v>
      </c>
      <c r="N108" t="str">
        <f t="shared" si="5"/>
        <v>Yes</v>
      </c>
      <c r="O108">
        <v>0.13</v>
      </c>
      <c r="P108" t="str" cm="1">
        <f t="array" ref="P108">_xlfn.IFS(O108&lt;=0.3,"Low Risk",O108&lt;=0.4,"medium Risk",O108&lt;=0.5,"High Risk",O108&gt;0.5,"Very High Risk")</f>
        <v>Low Risk</v>
      </c>
      <c r="Q108">
        <v>15456</v>
      </c>
      <c r="R108">
        <v>5067</v>
      </c>
      <c r="S108" t="str">
        <f t="shared" si="6"/>
        <v>Yes</v>
      </c>
      <c r="T108">
        <v>6695</v>
      </c>
      <c r="U108" t="str" cm="1">
        <f t="array" ref="U108">_xlfn.IFS(T108&lt;5000,"Small",T108&lt;20000,"Medium",T108&lt;35000,"Large",T108&gt;35000,"Very Large")</f>
        <v>Medium</v>
      </c>
      <c r="V108">
        <v>72</v>
      </c>
      <c r="W108">
        <f t="shared" si="7"/>
        <v>6</v>
      </c>
      <c r="X108" t="s">
        <v>37</v>
      </c>
      <c r="Y108" t="s">
        <v>45</v>
      </c>
      <c r="Z108" t="s">
        <v>39</v>
      </c>
      <c r="AA108" t="s">
        <v>40</v>
      </c>
      <c r="AB108" t="s">
        <v>43</v>
      </c>
      <c r="AC108" t="s">
        <v>36</v>
      </c>
    </row>
    <row r="109" spans="1:29" x14ac:dyDescent="0.25">
      <c r="A109">
        <v>114</v>
      </c>
      <c r="B109">
        <v>18198</v>
      </c>
      <c r="C109">
        <v>5604</v>
      </c>
      <c r="D109">
        <f t="shared" si="4"/>
        <v>23802</v>
      </c>
      <c r="E109" t="s">
        <v>46</v>
      </c>
      <c r="F109">
        <v>40</v>
      </c>
      <c r="G109" t="str" cm="1">
        <f t="array" ref="G109">_xlfn.IFS(F109&lt;25,"18-24",F109&lt;35,"25-35",F109&lt;45,"35-44",F109&lt;55,"44-54",F109&gt;=55,"55+")</f>
        <v>35-44</v>
      </c>
      <c r="H109" t="s">
        <v>30</v>
      </c>
      <c r="I109">
        <v>2</v>
      </c>
      <c r="J109" t="str" cm="1">
        <f t="array" ref="J109">_xlfn.IFS(I109&lt;=0,"No Dependents",I109&lt;=1,"One",I109&lt;=2,"Two",I109&gt;=3,"Third")</f>
        <v>Two</v>
      </c>
      <c r="K109">
        <v>634</v>
      </c>
      <c r="L109" t="str" cm="1">
        <f t="array" ref="L109">_xlfn.IFS(K109&lt;=580,"Poor",K109&lt;=670,"fair",K109&lt;=740,"Good",K109&lt;=800,"Very Good",K109&gt;=800,"Excellent")</f>
        <v>fair</v>
      </c>
      <c r="M109">
        <v>1</v>
      </c>
      <c r="N109" t="str">
        <f t="shared" si="5"/>
        <v>Yes</v>
      </c>
      <c r="O109">
        <v>0.6</v>
      </c>
      <c r="P109" t="str" cm="1">
        <f t="array" ref="P109">_xlfn.IFS(O109&lt;=0.3,"Low Risk",O109&lt;=0.4,"medium Risk",O109&lt;=0.5,"High Risk",O109&gt;0.5,"Very High Risk")</f>
        <v>Very High Risk</v>
      </c>
      <c r="Q109">
        <v>4019</v>
      </c>
      <c r="R109">
        <v>48384</v>
      </c>
      <c r="S109" t="str">
        <f t="shared" si="6"/>
        <v>Yes</v>
      </c>
      <c r="T109">
        <v>31204</v>
      </c>
      <c r="U109" t="str" cm="1">
        <f t="array" ref="U109">_xlfn.IFS(T109&lt;5000,"Small",T109&lt;20000,"Medium",T109&lt;35000,"Large",T109&gt;35000,"Very Large")</f>
        <v>Large</v>
      </c>
      <c r="V109">
        <v>48</v>
      </c>
      <c r="W109">
        <f t="shared" si="7"/>
        <v>4</v>
      </c>
      <c r="X109" t="s">
        <v>50</v>
      </c>
      <c r="Y109" t="s">
        <v>38</v>
      </c>
      <c r="Z109" t="s">
        <v>39</v>
      </c>
      <c r="AA109" t="s">
        <v>34</v>
      </c>
      <c r="AB109" t="s">
        <v>35</v>
      </c>
      <c r="AC109" t="s">
        <v>36</v>
      </c>
    </row>
    <row r="110" spans="1:29" x14ac:dyDescent="0.25">
      <c r="A110">
        <v>115</v>
      </c>
      <c r="B110">
        <v>11914</v>
      </c>
      <c r="C110">
        <v>2421</v>
      </c>
      <c r="D110">
        <f t="shared" si="4"/>
        <v>14335</v>
      </c>
      <c r="E110" t="s">
        <v>29</v>
      </c>
      <c r="F110">
        <v>47</v>
      </c>
      <c r="G110" t="str" cm="1">
        <f t="array" ref="G110">_xlfn.IFS(F110&lt;25,"18-24",F110&lt;35,"25-35",F110&lt;45,"35-44",F110&lt;55,"44-54",F110&gt;=55,"55+")</f>
        <v>44-54</v>
      </c>
      <c r="H110" t="s">
        <v>30</v>
      </c>
      <c r="I110">
        <v>0</v>
      </c>
      <c r="J110" t="str" cm="1">
        <f t="array" ref="J110">_xlfn.IFS(I110&lt;=0,"No Dependents",I110&lt;=1,"One",I110&lt;=2,"Two",I110&gt;=3,"Third")</f>
        <v>No Dependents</v>
      </c>
      <c r="K110">
        <v>789</v>
      </c>
      <c r="L110" t="str" cm="1">
        <f t="array" ref="L110">_xlfn.IFS(K110&lt;=580,"Poor",K110&lt;=670,"fair",K110&lt;=740,"Good",K110&lt;=800,"Very Good",K110&gt;=800,"Excellent")</f>
        <v>Very Good</v>
      </c>
      <c r="M110">
        <v>0</v>
      </c>
      <c r="N110" t="str">
        <f t="shared" si="5"/>
        <v>No</v>
      </c>
      <c r="O110">
        <v>0.11</v>
      </c>
      <c r="P110" t="str" cm="1">
        <f t="array" ref="P110">_xlfn.IFS(O110&lt;=0.3,"Low Risk",O110&lt;=0.4,"medium Risk",O110&lt;=0.5,"High Risk",O110&gt;0.5,"Very High Risk")</f>
        <v>Low Risk</v>
      </c>
      <c r="Q110">
        <v>12419</v>
      </c>
      <c r="R110">
        <v>0</v>
      </c>
      <c r="S110" t="str">
        <f t="shared" si="6"/>
        <v>No</v>
      </c>
      <c r="T110">
        <v>0</v>
      </c>
      <c r="U110" t="str" cm="1">
        <f t="array" ref="U110">_xlfn.IFS(T110&lt;5000,"Small",T110&lt;20000,"Medium",T110&lt;35000,"Large",T110&gt;35000,"Very Large")</f>
        <v>Small</v>
      </c>
      <c r="V110">
        <v>12</v>
      </c>
      <c r="W110">
        <f t="shared" si="7"/>
        <v>1</v>
      </c>
      <c r="X110" t="s">
        <v>37</v>
      </c>
      <c r="Y110" t="s">
        <v>45</v>
      </c>
      <c r="Z110" t="s">
        <v>39</v>
      </c>
      <c r="AA110" t="s">
        <v>40</v>
      </c>
      <c r="AB110" t="s">
        <v>35</v>
      </c>
      <c r="AC110" t="s">
        <v>44</v>
      </c>
    </row>
    <row r="111" spans="1:29" x14ac:dyDescent="0.25">
      <c r="A111">
        <v>116</v>
      </c>
      <c r="B111">
        <v>12817</v>
      </c>
      <c r="C111">
        <v>7119</v>
      </c>
      <c r="D111">
        <f t="shared" si="4"/>
        <v>19936</v>
      </c>
      <c r="E111" t="s">
        <v>48</v>
      </c>
      <c r="F111">
        <v>38</v>
      </c>
      <c r="G111" t="str" cm="1">
        <f t="array" ref="G111">_xlfn.IFS(F111&lt;25,"18-24",F111&lt;35,"25-35",F111&lt;45,"35-44",F111&lt;55,"44-54",F111&gt;=55,"55+")</f>
        <v>35-44</v>
      </c>
      <c r="H111" t="s">
        <v>30</v>
      </c>
      <c r="I111">
        <v>0</v>
      </c>
      <c r="J111" t="str" cm="1">
        <f t="array" ref="J111">_xlfn.IFS(I111&lt;=0,"No Dependents",I111&lt;=1,"One",I111&lt;=2,"Two",I111&gt;=3,"Third")</f>
        <v>No Dependents</v>
      </c>
      <c r="K111">
        <v>786</v>
      </c>
      <c r="L111" t="str" cm="1">
        <f t="array" ref="L111">_xlfn.IFS(K111&lt;=580,"Poor",K111&lt;=670,"fair",K111&lt;=740,"Good",K111&lt;=800,"Very Good",K111&gt;=800,"Excellent")</f>
        <v>Very Good</v>
      </c>
      <c r="M111">
        <v>3</v>
      </c>
      <c r="N111" t="str">
        <f t="shared" si="5"/>
        <v>Yes</v>
      </c>
      <c r="O111">
        <v>0.52</v>
      </c>
      <c r="P111" t="str" cm="1">
        <f t="array" ref="P111">_xlfn.IFS(O111&lt;=0.3,"Low Risk",O111&lt;=0.4,"medium Risk",O111&lt;=0.5,"High Risk",O111&gt;0.5,"Very High Risk")</f>
        <v>Very High Risk</v>
      </c>
      <c r="Q111">
        <v>929</v>
      </c>
      <c r="R111">
        <v>17045</v>
      </c>
      <c r="S111" t="str">
        <f t="shared" si="6"/>
        <v>Yes</v>
      </c>
      <c r="T111">
        <v>15235</v>
      </c>
      <c r="U111" t="str" cm="1">
        <f t="array" ref="U111">_xlfn.IFS(T111&lt;5000,"Small",T111&lt;20000,"Medium",T111&lt;35000,"Large",T111&gt;35000,"Very Large")</f>
        <v>Medium</v>
      </c>
      <c r="V111">
        <v>48</v>
      </c>
      <c r="W111">
        <f t="shared" si="7"/>
        <v>4</v>
      </c>
      <c r="X111" t="s">
        <v>42</v>
      </c>
      <c r="Y111" t="s">
        <v>32</v>
      </c>
      <c r="Z111" t="s">
        <v>39</v>
      </c>
      <c r="AA111" t="s">
        <v>40</v>
      </c>
      <c r="AB111" t="s">
        <v>51</v>
      </c>
      <c r="AC111" t="s">
        <v>36</v>
      </c>
    </row>
    <row r="112" spans="1:29" x14ac:dyDescent="0.25">
      <c r="A112">
        <v>117</v>
      </c>
      <c r="B112">
        <v>12921</v>
      </c>
      <c r="C112">
        <v>8901</v>
      </c>
      <c r="D112">
        <f t="shared" si="4"/>
        <v>21822</v>
      </c>
      <c r="E112" t="s">
        <v>29</v>
      </c>
      <c r="F112">
        <v>24</v>
      </c>
      <c r="G112" t="str" cm="1">
        <f t="array" ref="G112">_xlfn.IFS(F112&lt;25,"18-24",F112&lt;35,"25-35",F112&lt;45,"35-44",F112&lt;55,"44-54",F112&gt;=55,"55+")</f>
        <v>18-24</v>
      </c>
      <c r="H112" t="s">
        <v>30</v>
      </c>
      <c r="I112">
        <v>2</v>
      </c>
      <c r="J112" t="str" cm="1">
        <f t="array" ref="J112">_xlfn.IFS(I112&lt;=0,"No Dependents",I112&lt;=1,"One",I112&lt;=2,"Two",I112&gt;=3,"Third")</f>
        <v>Two</v>
      </c>
      <c r="K112">
        <v>786</v>
      </c>
      <c r="L112" t="str" cm="1">
        <f t="array" ref="L112">_xlfn.IFS(K112&lt;=580,"Poor",K112&lt;=670,"fair",K112&lt;=740,"Good",K112&lt;=800,"Very Good",K112&gt;=800,"Excellent")</f>
        <v>Very Good</v>
      </c>
      <c r="M112">
        <v>3</v>
      </c>
      <c r="N112" t="str">
        <f t="shared" si="5"/>
        <v>Yes</v>
      </c>
      <c r="O112">
        <v>0.28000000000000003</v>
      </c>
      <c r="P112" t="str" cm="1">
        <f t="array" ref="P112">_xlfn.IFS(O112&lt;=0.3,"Low Risk",O112&lt;=0.4,"medium Risk",O112&lt;=0.5,"High Risk",O112&gt;0.5,"Very High Risk")</f>
        <v>Low Risk</v>
      </c>
      <c r="Q112">
        <v>19396</v>
      </c>
      <c r="R112">
        <v>0</v>
      </c>
      <c r="S112" t="str">
        <f t="shared" si="6"/>
        <v>No</v>
      </c>
      <c r="T112">
        <v>3366</v>
      </c>
      <c r="U112" t="str" cm="1">
        <f t="array" ref="U112">_xlfn.IFS(T112&lt;5000,"Small",T112&lt;20000,"Medium",T112&lt;35000,"Large",T112&gt;35000,"Very Large")</f>
        <v>Small</v>
      </c>
      <c r="V112">
        <v>12</v>
      </c>
      <c r="W112">
        <f t="shared" si="7"/>
        <v>1</v>
      </c>
      <c r="X112" t="s">
        <v>50</v>
      </c>
      <c r="Y112" t="s">
        <v>32</v>
      </c>
      <c r="Z112" t="s">
        <v>39</v>
      </c>
      <c r="AA112" t="s">
        <v>34</v>
      </c>
      <c r="AB112" t="s">
        <v>43</v>
      </c>
      <c r="AC112" t="s">
        <v>44</v>
      </c>
    </row>
    <row r="113" spans="1:29" x14ac:dyDescent="0.25">
      <c r="A113">
        <v>118</v>
      </c>
      <c r="B113">
        <v>11789</v>
      </c>
      <c r="C113">
        <v>5319</v>
      </c>
      <c r="D113">
        <f t="shared" si="4"/>
        <v>17108</v>
      </c>
      <c r="E113" t="s">
        <v>29</v>
      </c>
      <c r="F113">
        <v>21</v>
      </c>
      <c r="G113" t="str" cm="1">
        <f t="array" ref="G113">_xlfn.IFS(F113&lt;25,"18-24",F113&lt;35,"25-35",F113&lt;45,"35-44",F113&lt;55,"44-54",F113&gt;=55,"55+")</f>
        <v>18-24</v>
      </c>
      <c r="H113" t="s">
        <v>41</v>
      </c>
      <c r="I113">
        <v>3</v>
      </c>
      <c r="J113" t="str" cm="1">
        <f t="array" ref="J113">_xlfn.IFS(I113&lt;=0,"No Dependents",I113&lt;=1,"One",I113&lt;=2,"Two",I113&gt;=3,"Third")</f>
        <v>Third</v>
      </c>
      <c r="K113">
        <v>790</v>
      </c>
      <c r="L113" t="str" cm="1">
        <f t="array" ref="L113">_xlfn.IFS(K113&lt;=580,"Poor",K113&lt;=670,"fair",K113&lt;=740,"Good",K113&lt;=800,"Very Good",K113&gt;=800,"Excellent")</f>
        <v>Very Good</v>
      </c>
      <c r="M113">
        <v>1</v>
      </c>
      <c r="N113" t="str">
        <f t="shared" si="5"/>
        <v>Yes</v>
      </c>
      <c r="O113">
        <v>0.52</v>
      </c>
      <c r="P113" t="str" cm="1">
        <f t="array" ref="P113">_xlfn.IFS(O113&lt;=0.3,"Low Risk",O113&lt;=0.4,"medium Risk",O113&lt;=0.5,"High Risk",O113&gt;0.5,"Very High Risk")</f>
        <v>Very High Risk</v>
      </c>
      <c r="Q113">
        <v>6264</v>
      </c>
      <c r="R113">
        <v>22770</v>
      </c>
      <c r="S113" t="str">
        <f t="shared" si="6"/>
        <v>Yes</v>
      </c>
      <c r="T113">
        <v>28467</v>
      </c>
      <c r="U113" t="str" cm="1">
        <f t="array" ref="U113">_xlfn.IFS(T113&lt;5000,"Small",T113&lt;20000,"Medium",T113&lt;35000,"Large",T113&gt;35000,"Very Large")</f>
        <v>Large</v>
      </c>
      <c r="V113">
        <v>60</v>
      </c>
      <c r="W113">
        <f t="shared" si="7"/>
        <v>5</v>
      </c>
      <c r="X113" t="s">
        <v>37</v>
      </c>
      <c r="Y113" t="s">
        <v>32</v>
      </c>
      <c r="Z113" t="s">
        <v>39</v>
      </c>
      <c r="AA113" t="s">
        <v>40</v>
      </c>
      <c r="AB113" t="s">
        <v>35</v>
      </c>
      <c r="AC113" t="s">
        <v>36</v>
      </c>
    </row>
    <row r="114" spans="1:29" x14ac:dyDescent="0.25">
      <c r="A114">
        <v>119</v>
      </c>
      <c r="B114">
        <v>18312</v>
      </c>
      <c r="C114">
        <v>6609</v>
      </c>
      <c r="D114">
        <f t="shared" si="4"/>
        <v>24921</v>
      </c>
      <c r="E114" t="s">
        <v>29</v>
      </c>
      <c r="F114">
        <v>21</v>
      </c>
      <c r="G114" t="str" cm="1">
        <f t="array" ref="G114">_xlfn.IFS(F114&lt;25,"18-24",F114&lt;35,"25-35",F114&lt;45,"35-44",F114&lt;55,"44-54",F114&gt;=55,"55+")</f>
        <v>18-24</v>
      </c>
      <c r="H114" t="s">
        <v>41</v>
      </c>
      <c r="I114">
        <v>0</v>
      </c>
      <c r="J114" t="str" cm="1">
        <f t="array" ref="J114">_xlfn.IFS(I114&lt;=0,"No Dependents",I114&lt;=1,"One",I114&lt;=2,"Two",I114&gt;=3,"Third")</f>
        <v>No Dependents</v>
      </c>
      <c r="K114">
        <v>768</v>
      </c>
      <c r="L114" t="str" cm="1">
        <f t="array" ref="L114">_xlfn.IFS(K114&lt;=580,"Poor",K114&lt;=670,"fair",K114&lt;=740,"Good",K114&lt;=800,"Very Good",K114&gt;=800,"Excellent")</f>
        <v>Very Good</v>
      </c>
      <c r="M114">
        <v>4</v>
      </c>
      <c r="N114" t="str">
        <f t="shared" si="5"/>
        <v>Yes</v>
      </c>
      <c r="O114">
        <v>0.38</v>
      </c>
      <c r="P114" t="str" cm="1">
        <f t="array" ref="P114">_xlfn.IFS(O114&lt;=0.3,"Low Risk",O114&lt;=0.4,"medium Risk",O114&lt;=0.5,"High Risk",O114&gt;0.5,"Very High Risk")</f>
        <v>medium Risk</v>
      </c>
      <c r="Q114">
        <v>7973</v>
      </c>
      <c r="R114">
        <v>42770</v>
      </c>
      <c r="S114" t="str">
        <f t="shared" si="6"/>
        <v>Yes</v>
      </c>
      <c r="T114">
        <v>7764</v>
      </c>
      <c r="U114" t="str" cm="1">
        <f t="array" ref="U114">_xlfn.IFS(T114&lt;5000,"Small",T114&lt;20000,"Medium",T114&lt;35000,"Large",T114&gt;35000,"Very Large")</f>
        <v>Medium</v>
      </c>
      <c r="V114">
        <v>84</v>
      </c>
      <c r="W114">
        <f t="shared" si="7"/>
        <v>7</v>
      </c>
      <c r="X114" t="s">
        <v>47</v>
      </c>
      <c r="Y114" t="s">
        <v>45</v>
      </c>
      <c r="Z114" t="s">
        <v>39</v>
      </c>
      <c r="AA114" t="s">
        <v>40</v>
      </c>
      <c r="AB114" t="s">
        <v>51</v>
      </c>
      <c r="AC114" t="s">
        <v>44</v>
      </c>
    </row>
    <row r="115" spans="1:29" x14ac:dyDescent="0.25">
      <c r="A115">
        <v>120</v>
      </c>
      <c r="B115">
        <v>13252</v>
      </c>
      <c r="C115">
        <v>5387</v>
      </c>
      <c r="D115">
        <f t="shared" si="4"/>
        <v>18639</v>
      </c>
      <c r="E115" t="s">
        <v>29</v>
      </c>
      <c r="F115">
        <v>46</v>
      </c>
      <c r="G115" t="str" cm="1">
        <f t="array" ref="G115">_xlfn.IFS(F115&lt;25,"18-24",F115&lt;35,"25-35",F115&lt;45,"35-44",F115&lt;55,"44-54",F115&gt;=55,"55+")</f>
        <v>44-54</v>
      </c>
      <c r="H115" t="s">
        <v>30</v>
      </c>
      <c r="I115">
        <v>3</v>
      </c>
      <c r="J115" t="str" cm="1">
        <f t="array" ref="J115">_xlfn.IFS(I115&lt;=0,"No Dependents",I115&lt;=1,"One",I115&lt;=2,"Two",I115&gt;=3,"Third")</f>
        <v>Third</v>
      </c>
      <c r="K115">
        <v>780</v>
      </c>
      <c r="L115" t="str" cm="1">
        <f t="array" ref="L115">_xlfn.IFS(K115&lt;=580,"Poor",K115&lt;=670,"fair",K115&lt;=740,"Good",K115&lt;=800,"Very Good",K115&gt;=800,"Excellent")</f>
        <v>Very Good</v>
      </c>
      <c r="M115">
        <v>3</v>
      </c>
      <c r="N115" t="str">
        <f t="shared" si="5"/>
        <v>Yes</v>
      </c>
      <c r="O115">
        <v>0.55000000000000004</v>
      </c>
      <c r="P115" t="str" cm="1">
        <f t="array" ref="P115">_xlfn.IFS(O115&lt;=0.3,"Low Risk",O115&lt;=0.4,"medium Risk",O115&lt;=0.5,"High Risk",O115&gt;0.5,"Very High Risk")</f>
        <v>Very High Risk</v>
      </c>
      <c r="Q115">
        <v>9697</v>
      </c>
      <c r="R115">
        <v>7887</v>
      </c>
      <c r="S115" t="str">
        <f t="shared" si="6"/>
        <v>Yes</v>
      </c>
      <c r="T115">
        <v>0</v>
      </c>
      <c r="U115" t="str" cm="1">
        <f t="array" ref="U115">_xlfn.IFS(T115&lt;5000,"Small",T115&lt;20000,"Medium",T115&lt;35000,"Large",T115&gt;35000,"Very Large")</f>
        <v>Small</v>
      </c>
      <c r="V115">
        <v>36</v>
      </c>
      <c r="W115">
        <f t="shared" si="7"/>
        <v>3</v>
      </c>
      <c r="X115" t="s">
        <v>42</v>
      </c>
      <c r="Y115" t="s">
        <v>45</v>
      </c>
      <c r="Z115" t="s">
        <v>39</v>
      </c>
      <c r="AA115" t="s">
        <v>34</v>
      </c>
      <c r="AB115" t="s">
        <v>51</v>
      </c>
      <c r="AC115" t="s">
        <v>36</v>
      </c>
    </row>
    <row r="116" spans="1:29" x14ac:dyDescent="0.25">
      <c r="A116">
        <v>121</v>
      </c>
      <c r="B116">
        <v>4693</v>
      </c>
      <c r="C116">
        <v>3993</v>
      </c>
      <c r="D116">
        <f t="shared" si="4"/>
        <v>8686</v>
      </c>
      <c r="E116" t="s">
        <v>49</v>
      </c>
      <c r="F116">
        <v>40</v>
      </c>
      <c r="G116" t="str" cm="1">
        <f t="array" ref="G116">_xlfn.IFS(F116&lt;25,"18-24",F116&lt;35,"25-35",F116&lt;45,"35-44",F116&lt;55,"44-54",F116&gt;=55,"55+")</f>
        <v>35-44</v>
      </c>
      <c r="H116" t="s">
        <v>30</v>
      </c>
      <c r="I116">
        <v>3</v>
      </c>
      <c r="J116" t="str" cm="1">
        <f t="array" ref="J116">_xlfn.IFS(I116&lt;=0,"No Dependents",I116&lt;=1,"One",I116&lt;=2,"Two",I116&gt;=3,"Third")</f>
        <v>Third</v>
      </c>
      <c r="K116">
        <v>550</v>
      </c>
      <c r="L116" t="str" cm="1">
        <f t="array" ref="L116">_xlfn.IFS(K116&lt;=580,"Poor",K116&lt;=670,"fair",K116&lt;=740,"Good",K116&lt;=800,"Very Good",K116&gt;=800,"Excellent")</f>
        <v>Poor</v>
      </c>
      <c r="M116">
        <v>3</v>
      </c>
      <c r="N116" t="str">
        <f t="shared" si="5"/>
        <v>Yes</v>
      </c>
      <c r="O116">
        <v>0.56000000000000005</v>
      </c>
      <c r="P116" t="str" cm="1">
        <f t="array" ref="P116">_xlfn.IFS(O116&lt;=0.3,"Low Risk",O116&lt;=0.4,"medium Risk",O116&lt;=0.5,"High Risk",O116&gt;0.5,"Very High Risk")</f>
        <v>Very High Risk</v>
      </c>
      <c r="Q116">
        <v>11136</v>
      </c>
      <c r="R116">
        <v>33182</v>
      </c>
      <c r="S116" t="str">
        <f t="shared" si="6"/>
        <v>Yes</v>
      </c>
      <c r="T116">
        <v>32923</v>
      </c>
      <c r="U116" t="str" cm="1">
        <f t="array" ref="U116">_xlfn.IFS(T116&lt;5000,"Small",T116&lt;20000,"Medium",T116&lt;35000,"Large",T116&gt;35000,"Very Large")</f>
        <v>Large</v>
      </c>
      <c r="V116">
        <v>48</v>
      </c>
      <c r="W116">
        <f t="shared" si="7"/>
        <v>4</v>
      </c>
      <c r="X116" t="s">
        <v>31</v>
      </c>
      <c r="Y116" t="s">
        <v>32</v>
      </c>
      <c r="Z116" t="s">
        <v>39</v>
      </c>
      <c r="AA116" t="s">
        <v>34</v>
      </c>
      <c r="AB116" t="s">
        <v>43</v>
      </c>
      <c r="AC116" t="s">
        <v>36</v>
      </c>
    </row>
    <row r="117" spans="1:29" x14ac:dyDescent="0.25">
      <c r="A117">
        <v>123</v>
      </c>
      <c r="B117">
        <v>5627</v>
      </c>
      <c r="C117">
        <v>8044</v>
      </c>
      <c r="D117">
        <f t="shared" si="4"/>
        <v>13671</v>
      </c>
      <c r="E117" t="s">
        <v>46</v>
      </c>
      <c r="F117">
        <v>30</v>
      </c>
      <c r="G117" t="str" cm="1">
        <f t="array" ref="G117">_xlfn.IFS(F117&lt;25,"18-24",F117&lt;35,"25-35",F117&lt;45,"35-44",F117&lt;55,"44-54",F117&gt;=55,"55+")</f>
        <v>25-35</v>
      </c>
      <c r="H117" t="s">
        <v>30</v>
      </c>
      <c r="I117">
        <v>3</v>
      </c>
      <c r="J117" t="str" cm="1">
        <f t="array" ref="J117">_xlfn.IFS(I117&lt;=0,"No Dependents",I117&lt;=1,"One",I117&lt;=2,"Two",I117&gt;=3,"Third")</f>
        <v>Third</v>
      </c>
      <c r="K117">
        <v>700</v>
      </c>
      <c r="L117" t="str" cm="1">
        <f t="array" ref="L117">_xlfn.IFS(K117&lt;=580,"Poor",K117&lt;=670,"fair",K117&lt;=740,"Good",K117&lt;=800,"Very Good",K117&gt;=800,"Excellent")</f>
        <v>Good</v>
      </c>
      <c r="M117">
        <v>0</v>
      </c>
      <c r="N117" t="str">
        <f t="shared" si="5"/>
        <v>No</v>
      </c>
      <c r="O117">
        <v>0.14000000000000001</v>
      </c>
      <c r="P117" t="str" cm="1">
        <f t="array" ref="P117">_xlfn.IFS(O117&lt;=0.3,"Low Risk",O117&lt;=0.4,"medium Risk",O117&lt;=0.5,"High Risk",O117&gt;0.5,"Very High Risk")</f>
        <v>Low Risk</v>
      </c>
      <c r="Q117">
        <v>1184</v>
      </c>
      <c r="R117">
        <v>39618</v>
      </c>
      <c r="S117" t="str">
        <f t="shared" si="6"/>
        <v>Yes</v>
      </c>
      <c r="T117">
        <v>17292</v>
      </c>
      <c r="U117" t="str" cm="1">
        <f t="array" ref="U117">_xlfn.IFS(T117&lt;5000,"Small",T117&lt;20000,"Medium",T117&lt;35000,"Large",T117&gt;35000,"Very Large")</f>
        <v>Medium</v>
      </c>
      <c r="V117">
        <v>72</v>
      </c>
      <c r="W117">
        <f t="shared" si="7"/>
        <v>6</v>
      </c>
      <c r="X117" t="s">
        <v>47</v>
      </c>
      <c r="Y117" t="s">
        <v>45</v>
      </c>
      <c r="Z117" t="s">
        <v>39</v>
      </c>
      <c r="AA117" t="s">
        <v>40</v>
      </c>
      <c r="AB117" t="s">
        <v>35</v>
      </c>
      <c r="AC117" t="s">
        <v>36</v>
      </c>
    </row>
    <row r="118" spans="1:29" x14ac:dyDescent="0.25">
      <c r="A118">
        <v>124</v>
      </c>
      <c r="B118">
        <v>18157</v>
      </c>
      <c r="C118">
        <v>8238</v>
      </c>
      <c r="D118">
        <f t="shared" si="4"/>
        <v>26395</v>
      </c>
      <c r="E118" t="s">
        <v>29</v>
      </c>
      <c r="F118">
        <v>31</v>
      </c>
      <c r="G118" t="str" cm="1">
        <f t="array" ref="G118">_xlfn.IFS(F118&lt;25,"18-24",F118&lt;35,"25-35",F118&lt;45,"35-44",F118&lt;55,"44-54",F118&gt;=55,"55+")</f>
        <v>25-35</v>
      </c>
      <c r="H118" t="s">
        <v>30</v>
      </c>
      <c r="I118">
        <v>2</v>
      </c>
      <c r="J118" t="str" cm="1">
        <f t="array" ref="J118">_xlfn.IFS(I118&lt;=0,"No Dependents",I118&lt;=1,"One",I118&lt;=2,"Two",I118&gt;=3,"Third")</f>
        <v>Two</v>
      </c>
      <c r="K118">
        <v>672</v>
      </c>
      <c r="L118" t="str" cm="1">
        <f t="array" ref="L118">_xlfn.IFS(K118&lt;=580,"Poor",K118&lt;=670,"fair",K118&lt;=740,"Good",K118&lt;=800,"Very Good",K118&gt;=800,"Excellent")</f>
        <v>Good</v>
      </c>
      <c r="M118">
        <v>3</v>
      </c>
      <c r="N118" t="str">
        <f t="shared" si="5"/>
        <v>Yes</v>
      </c>
      <c r="O118">
        <v>0.23</v>
      </c>
      <c r="P118" t="str" cm="1">
        <f t="array" ref="P118">_xlfn.IFS(O118&lt;=0.3,"Low Risk",O118&lt;=0.4,"medium Risk",O118&lt;=0.5,"High Risk",O118&gt;0.5,"Very High Risk")</f>
        <v>Low Risk</v>
      </c>
      <c r="Q118">
        <v>16911</v>
      </c>
      <c r="R118">
        <v>24918</v>
      </c>
      <c r="S118" t="str">
        <f t="shared" si="6"/>
        <v>Yes</v>
      </c>
      <c r="T118">
        <v>2614</v>
      </c>
      <c r="U118" t="str" cm="1">
        <f t="array" ref="U118">_xlfn.IFS(T118&lt;5000,"Small",T118&lt;20000,"Medium",T118&lt;35000,"Large",T118&gt;35000,"Very Large")</f>
        <v>Small</v>
      </c>
      <c r="V118">
        <v>12</v>
      </c>
      <c r="W118">
        <f t="shared" si="7"/>
        <v>1</v>
      </c>
      <c r="X118" t="s">
        <v>42</v>
      </c>
      <c r="Y118" t="s">
        <v>32</v>
      </c>
      <c r="Z118" t="s">
        <v>39</v>
      </c>
      <c r="AA118" t="s">
        <v>40</v>
      </c>
      <c r="AB118" t="s">
        <v>51</v>
      </c>
      <c r="AC118" t="s">
        <v>44</v>
      </c>
    </row>
    <row r="119" spans="1:29" x14ac:dyDescent="0.25">
      <c r="A119">
        <v>125</v>
      </c>
      <c r="B119">
        <v>12173</v>
      </c>
      <c r="C119">
        <v>4873</v>
      </c>
      <c r="D119">
        <f t="shared" si="4"/>
        <v>17046</v>
      </c>
      <c r="E119" t="s">
        <v>52</v>
      </c>
      <c r="F119">
        <v>25</v>
      </c>
      <c r="G119" t="str" cm="1">
        <f t="array" ref="G119">_xlfn.IFS(F119&lt;25,"18-24",F119&lt;35,"25-35",F119&lt;45,"35-44",F119&lt;55,"44-54",F119&gt;=55,"55+")</f>
        <v>25-35</v>
      </c>
      <c r="H119" t="s">
        <v>30</v>
      </c>
      <c r="I119">
        <v>1</v>
      </c>
      <c r="J119" t="str" cm="1">
        <f t="array" ref="J119">_xlfn.IFS(I119&lt;=0,"No Dependents",I119&lt;=1,"One",I119&lt;=2,"Two",I119&gt;=3,"Third")</f>
        <v>One</v>
      </c>
      <c r="K119">
        <v>550</v>
      </c>
      <c r="L119" t="str" cm="1">
        <f t="array" ref="L119">_xlfn.IFS(K119&lt;=580,"Poor",K119&lt;=670,"fair",K119&lt;=740,"Good",K119&lt;=800,"Very Good",K119&gt;=800,"Excellent")</f>
        <v>Poor</v>
      </c>
      <c r="M119">
        <v>2</v>
      </c>
      <c r="N119" t="str">
        <f t="shared" si="5"/>
        <v>Yes</v>
      </c>
      <c r="O119">
        <v>0.43</v>
      </c>
      <c r="P119" t="str" cm="1">
        <f t="array" ref="P119">_xlfn.IFS(O119&lt;=0.3,"Low Risk",O119&lt;=0.4,"medium Risk",O119&lt;=0.5,"High Risk",O119&gt;0.5,"Very High Risk")</f>
        <v>High Risk</v>
      </c>
      <c r="Q119">
        <v>916</v>
      </c>
      <c r="R119">
        <v>35497</v>
      </c>
      <c r="S119" t="str">
        <f t="shared" si="6"/>
        <v>Yes</v>
      </c>
      <c r="T119">
        <v>21939</v>
      </c>
      <c r="U119" t="str" cm="1">
        <f t="array" ref="U119">_xlfn.IFS(T119&lt;5000,"Small",T119&lt;20000,"Medium",T119&lt;35000,"Large",T119&gt;35000,"Very Large")</f>
        <v>Large</v>
      </c>
      <c r="V119">
        <v>72</v>
      </c>
      <c r="W119">
        <f t="shared" si="7"/>
        <v>6</v>
      </c>
      <c r="X119" t="s">
        <v>42</v>
      </c>
      <c r="Y119" t="s">
        <v>32</v>
      </c>
      <c r="Z119" t="s">
        <v>39</v>
      </c>
      <c r="AA119" t="s">
        <v>40</v>
      </c>
      <c r="AB119" t="s">
        <v>35</v>
      </c>
      <c r="AC119" t="s">
        <v>36</v>
      </c>
    </row>
    <row r="120" spans="1:29" x14ac:dyDescent="0.25">
      <c r="A120">
        <v>126</v>
      </c>
      <c r="B120">
        <v>12230</v>
      </c>
      <c r="C120">
        <v>4806</v>
      </c>
      <c r="D120">
        <f t="shared" si="4"/>
        <v>17036</v>
      </c>
      <c r="E120" t="s">
        <v>29</v>
      </c>
      <c r="F120">
        <v>21</v>
      </c>
      <c r="G120" t="str" cm="1">
        <f t="array" ref="G120">_xlfn.IFS(F120&lt;25,"18-24",F120&lt;35,"25-35",F120&lt;45,"35-44",F120&lt;55,"44-54",F120&gt;=55,"55+")</f>
        <v>18-24</v>
      </c>
      <c r="H120" t="s">
        <v>30</v>
      </c>
      <c r="I120">
        <v>2</v>
      </c>
      <c r="J120" t="str" cm="1">
        <f t="array" ref="J120">_xlfn.IFS(I120&lt;=0,"No Dependents",I120&lt;=1,"One",I120&lt;=2,"Two",I120&gt;=3,"Third")</f>
        <v>Two</v>
      </c>
      <c r="K120">
        <v>771</v>
      </c>
      <c r="L120" t="str" cm="1">
        <f t="array" ref="L120">_xlfn.IFS(K120&lt;=580,"Poor",K120&lt;=670,"fair",K120&lt;=740,"Good",K120&lt;=800,"Very Good",K120&gt;=800,"Excellent")</f>
        <v>Very Good</v>
      </c>
      <c r="M120">
        <v>3</v>
      </c>
      <c r="N120" t="str">
        <f t="shared" si="5"/>
        <v>Yes</v>
      </c>
      <c r="O120">
        <v>0.54</v>
      </c>
      <c r="P120" t="str" cm="1">
        <f t="array" ref="P120">_xlfn.IFS(O120&lt;=0.3,"Low Risk",O120&lt;=0.4,"medium Risk",O120&lt;=0.5,"High Risk",O120&gt;0.5,"Very High Risk")</f>
        <v>Very High Risk</v>
      </c>
      <c r="Q120">
        <v>3574</v>
      </c>
      <c r="R120">
        <v>28026</v>
      </c>
      <c r="S120" t="str">
        <f t="shared" si="6"/>
        <v>Yes</v>
      </c>
      <c r="T120">
        <v>0</v>
      </c>
      <c r="U120" t="str" cm="1">
        <f t="array" ref="U120">_xlfn.IFS(T120&lt;5000,"Small",T120&lt;20000,"Medium",T120&lt;35000,"Large",T120&gt;35000,"Very Large")</f>
        <v>Small</v>
      </c>
      <c r="V120">
        <v>48</v>
      </c>
      <c r="W120">
        <f t="shared" si="7"/>
        <v>4</v>
      </c>
      <c r="X120" t="s">
        <v>42</v>
      </c>
      <c r="Y120" t="s">
        <v>32</v>
      </c>
      <c r="Z120" t="s">
        <v>33</v>
      </c>
      <c r="AA120" t="s">
        <v>40</v>
      </c>
      <c r="AB120" t="s">
        <v>35</v>
      </c>
      <c r="AC120" t="s">
        <v>36</v>
      </c>
    </row>
    <row r="121" spans="1:29" x14ac:dyDescent="0.25">
      <c r="A121">
        <v>127</v>
      </c>
      <c r="B121">
        <v>17707</v>
      </c>
      <c r="C121">
        <v>8592</v>
      </c>
      <c r="D121">
        <f t="shared" si="4"/>
        <v>26299</v>
      </c>
      <c r="E121" t="s">
        <v>46</v>
      </c>
      <c r="F121">
        <v>40</v>
      </c>
      <c r="G121" t="str" cm="1">
        <f t="array" ref="G121">_xlfn.IFS(F121&lt;25,"18-24",F121&lt;35,"25-35",F121&lt;45,"35-44",F121&lt;55,"44-54",F121&gt;=55,"55+")</f>
        <v>35-44</v>
      </c>
      <c r="H121" t="s">
        <v>30</v>
      </c>
      <c r="I121">
        <v>3</v>
      </c>
      <c r="J121" t="str" cm="1">
        <f t="array" ref="J121">_xlfn.IFS(I121&lt;=0,"No Dependents",I121&lt;=1,"One",I121&lt;=2,"Two",I121&gt;=3,"Third")</f>
        <v>Third</v>
      </c>
      <c r="K121">
        <v>738</v>
      </c>
      <c r="L121" t="str" cm="1">
        <f t="array" ref="L121">_xlfn.IFS(K121&lt;=580,"Poor",K121&lt;=670,"fair",K121&lt;=740,"Good",K121&lt;=800,"Very Good",K121&gt;=800,"Excellent")</f>
        <v>Good</v>
      </c>
      <c r="M121">
        <v>0</v>
      </c>
      <c r="N121" t="str">
        <f t="shared" si="5"/>
        <v>No</v>
      </c>
      <c r="O121">
        <v>0.33</v>
      </c>
      <c r="P121" t="str" cm="1">
        <f t="array" ref="P121">_xlfn.IFS(O121&lt;=0.3,"Low Risk",O121&lt;=0.4,"medium Risk",O121&lt;=0.5,"High Risk",O121&gt;0.5,"Very High Risk")</f>
        <v>medium Risk</v>
      </c>
      <c r="Q121">
        <v>3319</v>
      </c>
      <c r="R121">
        <v>11929</v>
      </c>
      <c r="S121" t="str">
        <f t="shared" si="6"/>
        <v>Yes</v>
      </c>
      <c r="T121">
        <v>24246</v>
      </c>
      <c r="U121" t="str" cm="1">
        <f t="array" ref="U121">_xlfn.IFS(T121&lt;5000,"Small",T121&lt;20000,"Medium",T121&lt;35000,"Large",T121&gt;35000,"Very Large")</f>
        <v>Large</v>
      </c>
      <c r="V121">
        <v>24</v>
      </c>
      <c r="W121">
        <f t="shared" si="7"/>
        <v>2</v>
      </c>
      <c r="X121" t="s">
        <v>42</v>
      </c>
      <c r="Y121" t="s">
        <v>32</v>
      </c>
      <c r="Z121" t="s">
        <v>39</v>
      </c>
      <c r="AA121" t="s">
        <v>40</v>
      </c>
      <c r="AB121" t="s">
        <v>43</v>
      </c>
      <c r="AC121" t="s">
        <v>44</v>
      </c>
    </row>
    <row r="122" spans="1:29" x14ac:dyDescent="0.25">
      <c r="A122">
        <v>128</v>
      </c>
      <c r="B122">
        <v>13494</v>
      </c>
      <c r="C122">
        <v>5913</v>
      </c>
      <c r="D122">
        <f t="shared" si="4"/>
        <v>19407</v>
      </c>
      <c r="E122" t="s">
        <v>49</v>
      </c>
      <c r="F122">
        <v>42</v>
      </c>
      <c r="G122" t="str" cm="1">
        <f t="array" ref="G122">_xlfn.IFS(F122&lt;25,"18-24",F122&lt;35,"25-35",F122&lt;45,"35-44",F122&lt;55,"44-54",F122&gt;=55,"55+")</f>
        <v>35-44</v>
      </c>
      <c r="H122" t="s">
        <v>41</v>
      </c>
      <c r="I122">
        <v>1</v>
      </c>
      <c r="J122" t="str" cm="1">
        <f t="array" ref="J122">_xlfn.IFS(I122&lt;=0,"No Dependents",I122&lt;=1,"One",I122&lt;=2,"Two",I122&gt;=3,"Third")</f>
        <v>One</v>
      </c>
      <c r="K122">
        <v>617</v>
      </c>
      <c r="L122" t="str" cm="1">
        <f t="array" ref="L122">_xlfn.IFS(K122&lt;=580,"Poor",K122&lt;=670,"fair",K122&lt;=740,"Good",K122&lt;=800,"Very Good",K122&gt;=800,"Excellent")</f>
        <v>fair</v>
      </c>
      <c r="M122">
        <v>0</v>
      </c>
      <c r="N122" t="str">
        <f t="shared" si="5"/>
        <v>No</v>
      </c>
      <c r="O122">
        <v>0.4</v>
      </c>
      <c r="P122" t="str" cm="1">
        <f t="array" ref="P122">_xlfn.IFS(O122&lt;=0.3,"Low Risk",O122&lt;=0.4,"medium Risk",O122&lt;=0.5,"High Risk",O122&gt;0.5,"Very High Risk")</f>
        <v>medium Risk</v>
      </c>
      <c r="Q122">
        <v>17790</v>
      </c>
      <c r="R122">
        <v>47756</v>
      </c>
      <c r="S122" t="str">
        <f t="shared" si="6"/>
        <v>Yes</v>
      </c>
      <c r="T122">
        <v>32688</v>
      </c>
      <c r="U122" t="str" cm="1">
        <f t="array" ref="U122">_xlfn.IFS(T122&lt;5000,"Small",T122&lt;20000,"Medium",T122&lt;35000,"Large",T122&gt;35000,"Very Large")</f>
        <v>Large</v>
      </c>
      <c r="V122">
        <v>72</v>
      </c>
      <c r="W122">
        <f t="shared" si="7"/>
        <v>6</v>
      </c>
      <c r="X122" t="s">
        <v>31</v>
      </c>
      <c r="Y122" t="s">
        <v>38</v>
      </c>
      <c r="Z122" t="s">
        <v>39</v>
      </c>
      <c r="AA122" t="s">
        <v>34</v>
      </c>
      <c r="AB122" t="s">
        <v>42</v>
      </c>
      <c r="AC122" t="s">
        <v>36</v>
      </c>
    </row>
    <row r="123" spans="1:29" x14ac:dyDescent="0.25">
      <c r="A123">
        <v>129</v>
      </c>
      <c r="B123">
        <v>3306</v>
      </c>
      <c r="C123">
        <v>7124</v>
      </c>
      <c r="D123">
        <f t="shared" si="4"/>
        <v>10430</v>
      </c>
      <c r="E123" t="s">
        <v>29</v>
      </c>
      <c r="F123">
        <v>54</v>
      </c>
      <c r="G123" t="str" cm="1">
        <f t="array" ref="G123">_xlfn.IFS(F123&lt;25,"18-24",F123&lt;35,"25-35",F123&lt;45,"35-44",F123&lt;55,"44-54",F123&gt;=55,"55+")</f>
        <v>44-54</v>
      </c>
      <c r="H123" t="s">
        <v>30</v>
      </c>
      <c r="I123">
        <v>2</v>
      </c>
      <c r="J123" t="str" cm="1">
        <f t="array" ref="J123">_xlfn.IFS(I123&lt;=0,"No Dependents",I123&lt;=1,"One",I123&lt;=2,"Two",I123&gt;=3,"Third")</f>
        <v>Two</v>
      </c>
      <c r="K123">
        <v>653</v>
      </c>
      <c r="L123" t="str" cm="1">
        <f t="array" ref="L123">_xlfn.IFS(K123&lt;=580,"Poor",K123&lt;=670,"fair",K123&lt;=740,"Good",K123&lt;=800,"Very Good",K123&gt;=800,"Excellent")</f>
        <v>fair</v>
      </c>
      <c r="M123">
        <v>1</v>
      </c>
      <c r="N123" t="str">
        <f t="shared" si="5"/>
        <v>Yes</v>
      </c>
      <c r="O123">
        <v>0.19</v>
      </c>
      <c r="P123" t="str" cm="1">
        <f t="array" ref="P123">_xlfn.IFS(O123&lt;=0.3,"Low Risk",O123&lt;=0.4,"medium Risk",O123&lt;=0.5,"High Risk",O123&gt;0.5,"Very High Risk")</f>
        <v>Low Risk</v>
      </c>
      <c r="Q123">
        <v>17625</v>
      </c>
      <c r="R123">
        <v>36665</v>
      </c>
      <c r="S123" t="str">
        <f t="shared" si="6"/>
        <v>Yes</v>
      </c>
      <c r="T123">
        <v>28962</v>
      </c>
      <c r="U123" t="str" cm="1">
        <f t="array" ref="U123">_xlfn.IFS(T123&lt;5000,"Small",T123&lt;20000,"Medium",T123&lt;35000,"Large",T123&gt;35000,"Very Large")</f>
        <v>Large</v>
      </c>
      <c r="V123">
        <v>12</v>
      </c>
      <c r="W123">
        <f t="shared" si="7"/>
        <v>1</v>
      </c>
      <c r="X123" t="s">
        <v>42</v>
      </c>
      <c r="Y123" t="s">
        <v>32</v>
      </c>
      <c r="Z123" t="s">
        <v>39</v>
      </c>
      <c r="AA123" t="s">
        <v>40</v>
      </c>
      <c r="AB123" t="s">
        <v>35</v>
      </c>
      <c r="AC123" t="s">
        <v>36</v>
      </c>
    </row>
    <row r="124" spans="1:29" x14ac:dyDescent="0.25">
      <c r="A124">
        <v>130</v>
      </c>
      <c r="B124">
        <v>8776</v>
      </c>
      <c r="C124">
        <v>3157</v>
      </c>
      <c r="D124">
        <f t="shared" si="4"/>
        <v>11933</v>
      </c>
      <c r="E124" t="s">
        <v>29</v>
      </c>
      <c r="F124">
        <v>49</v>
      </c>
      <c r="G124" t="str" cm="1">
        <f t="array" ref="G124">_xlfn.IFS(F124&lt;25,"18-24",F124&lt;35,"25-35",F124&lt;45,"35-44",F124&lt;55,"44-54",F124&gt;=55,"55+")</f>
        <v>44-54</v>
      </c>
      <c r="H124" t="s">
        <v>30</v>
      </c>
      <c r="I124">
        <v>3</v>
      </c>
      <c r="J124" t="str" cm="1">
        <f t="array" ref="J124">_xlfn.IFS(I124&lt;=0,"No Dependents",I124&lt;=1,"One",I124&lt;=2,"Two",I124&gt;=3,"Third")</f>
        <v>Third</v>
      </c>
      <c r="K124">
        <v>629</v>
      </c>
      <c r="L124" t="str" cm="1">
        <f t="array" ref="L124">_xlfn.IFS(K124&lt;=580,"Poor",K124&lt;=670,"fair",K124&lt;=740,"Good",K124&lt;=800,"Very Good",K124&gt;=800,"Excellent")</f>
        <v>fair</v>
      </c>
      <c r="M124">
        <v>2</v>
      </c>
      <c r="N124" t="str">
        <f t="shared" si="5"/>
        <v>Yes</v>
      </c>
      <c r="O124">
        <v>0.5</v>
      </c>
      <c r="P124" t="str" cm="1">
        <f t="array" ref="P124">_xlfn.IFS(O124&lt;=0.3,"Low Risk",O124&lt;=0.4,"medium Risk",O124&lt;=0.5,"High Risk",O124&gt;0.5,"Very High Risk")</f>
        <v>High Risk</v>
      </c>
      <c r="Q124">
        <v>5206</v>
      </c>
      <c r="R124">
        <v>34937</v>
      </c>
      <c r="S124" t="str">
        <f t="shared" si="6"/>
        <v>Yes</v>
      </c>
      <c r="T124">
        <v>30764</v>
      </c>
      <c r="U124" t="str" cm="1">
        <f t="array" ref="U124">_xlfn.IFS(T124&lt;5000,"Small",T124&lt;20000,"Medium",T124&lt;35000,"Large",T124&gt;35000,"Very Large")</f>
        <v>Large</v>
      </c>
      <c r="V124">
        <v>48</v>
      </c>
      <c r="W124">
        <f t="shared" si="7"/>
        <v>4</v>
      </c>
      <c r="X124" t="s">
        <v>42</v>
      </c>
      <c r="Y124" t="s">
        <v>32</v>
      </c>
      <c r="Z124" t="s">
        <v>39</v>
      </c>
      <c r="AA124" t="s">
        <v>40</v>
      </c>
      <c r="AB124" t="s">
        <v>43</v>
      </c>
      <c r="AC124" t="s">
        <v>36</v>
      </c>
    </row>
    <row r="125" spans="1:29" x14ac:dyDescent="0.25">
      <c r="A125">
        <v>131</v>
      </c>
      <c r="B125">
        <v>11474</v>
      </c>
      <c r="C125">
        <v>390</v>
      </c>
      <c r="D125">
        <f t="shared" si="4"/>
        <v>11864</v>
      </c>
      <c r="E125" t="s">
        <v>46</v>
      </c>
      <c r="F125">
        <v>24</v>
      </c>
      <c r="G125" t="str" cm="1">
        <f t="array" ref="G125">_xlfn.IFS(F125&lt;25,"18-24",F125&lt;35,"25-35",F125&lt;45,"35-44",F125&lt;55,"44-54",F125&gt;=55,"55+")</f>
        <v>18-24</v>
      </c>
      <c r="H125" t="s">
        <v>30</v>
      </c>
      <c r="I125">
        <v>0</v>
      </c>
      <c r="J125" t="str" cm="1">
        <f t="array" ref="J125">_xlfn.IFS(I125&lt;=0,"No Dependents",I125&lt;=1,"One",I125&lt;=2,"Two",I125&gt;=3,"Third")</f>
        <v>No Dependents</v>
      </c>
      <c r="K125">
        <v>708</v>
      </c>
      <c r="L125" t="str" cm="1">
        <f t="array" ref="L125">_xlfn.IFS(K125&lt;=580,"Poor",K125&lt;=670,"fair",K125&lt;=740,"Good",K125&lt;=800,"Very Good",K125&gt;=800,"Excellent")</f>
        <v>Good</v>
      </c>
      <c r="M125">
        <v>0</v>
      </c>
      <c r="N125" t="str">
        <f t="shared" si="5"/>
        <v>No</v>
      </c>
      <c r="O125">
        <v>0.57999999999999996</v>
      </c>
      <c r="P125" t="str" cm="1">
        <f t="array" ref="P125">_xlfn.IFS(O125&lt;=0.3,"Low Risk",O125&lt;=0.4,"medium Risk",O125&lt;=0.5,"High Risk",O125&gt;0.5,"Very High Risk")</f>
        <v>Very High Risk</v>
      </c>
      <c r="Q125">
        <v>19517</v>
      </c>
      <c r="R125">
        <v>13563</v>
      </c>
      <c r="S125" t="str">
        <f t="shared" si="6"/>
        <v>Yes</v>
      </c>
      <c r="T125">
        <v>33470</v>
      </c>
      <c r="U125" t="str" cm="1">
        <f t="array" ref="U125">_xlfn.IFS(T125&lt;5000,"Small",T125&lt;20000,"Medium",T125&lt;35000,"Large",T125&gt;35000,"Very Large")</f>
        <v>Large</v>
      </c>
      <c r="V125">
        <v>12</v>
      </c>
      <c r="W125">
        <f t="shared" si="7"/>
        <v>1</v>
      </c>
      <c r="X125" t="s">
        <v>37</v>
      </c>
      <c r="Y125" t="s">
        <v>45</v>
      </c>
      <c r="Z125" t="s">
        <v>33</v>
      </c>
      <c r="AA125" t="s">
        <v>40</v>
      </c>
      <c r="AB125" t="s">
        <v>43</v>
      </c>
      <c r="AC125" t="s">
        <v>36</v>
      </c>
    </row>
    <row r="126" spans="1:29" x14ac:dyDescent="0.25">
      <c r="A126">
        <v>132</v>
      </c>
      <c r="B126">
        <v>9526</v>
      </c>
      <c r="C126">
        <v>0</v>
      </c>
      <c r="D126">
        <f t="shared" si="4"/>
        <v>9526</v>
      </c>
      <c r="E126" t="s">
        <v>49</v>
      </c>
      <c r="F126">
        <v>25</v>
      </c>
      <c r="G126" t="str" cm="1">
        <f t="array" ref="G126">_xlfn.IFS(F126&lt;25,"18-24",F126&lt;35,"25-35",F126&lt;45,"35-44",F126&lt;55,"44-54",F126&gt;=55,"55+")</f>
        <v>25-35</v>
      </c>
      <c r="H126" t="s">
        <v>30</v>
      </c>
      <c r="I126">
        <v>0</v>
      </c>
      <c r="J126" t="str" cm="1">
        <f t="array" ref="J126">_xlfn.IFS(I126&lt;=0,"No Dependents",I126&lt;=1,"One",I126&lt;=2,"Two",I126&gt;=3,"Third")</f>
        <v>No Dependents</v>
      </c>
      <c r="K126">
        <v>602</v>
      </c>
      <c r="L126" t="str" cm="1">
        <f t="array" ref="L126">_xlfn.IFS(K126&lt;=580,"Poor",K126&lt;=670,"fair",K126&lt;=740,"Good",K126&lt;=800,"Very Good",K126&gt;=800,"Excellent")</f>
        <v>fair</v>
      </c>
      <c r="M126">
        <v>4</v>
      </c>
      <c r="N126" t="str">
        <f t="shared" si="5"/>
        <v>Yes</v>
      </c>
      <c r="O126">
        <v>0.23</v>
      </c>
      <c r="P126" t="str" cm="1">
        <f t="array" ref="P126">_xlfn.IFS(O126&lt;=0.3,"Low Risk",O126&lt;=0.4,"medium Risk",O126&lt;=0.5,"High Risk",O126&gt;0.5,"Very High Risk")</f>
        <v>Low Risk</v>
      </c>
      <c r="Q126">
        <v>17182</v>
      </c>
      <c r="R126">
        <v>28546</v>
      </c>
      <c r="S126" t="str">
        <f t="shared" si="6"/>
        <v>Yes</v>
      </c>
      <c r="T126">
        <v>39501</v>
      </c>
      <c r="U126" t="str" cm="1">
        <f t="array" ref="U126">_xlfn.IFS(T126&lt;5000,"Small",T126&lt;20000,"Medium",T126&lt;35000,"Large",T126&gt;35000,"Very Large")</f>
        <v>Very Large</v>
      </c>
      <c r="V126">
        <v>24</v>
      </c>
      <c r="W126">
        <f t="shared" si="7"/>
        <v>2</v>
      </c>
      <c r="X126" t="s">
        <v>42</v>
      </c>
      <c r="Y126" t="s">
        <v>38</v>
      </c>
      <c r="Z126" t="s">
        <v>39</v>
      </c>
      <c r="AA126" t="s">
        <v>40</v>
      </c>
      <c r="AB126" t="s">
        <v>51</v>
      </c>
      <c r="AC126" t="s">
        <v>36</v>
      </c>
    </row>
    <row r="127" spans="1:29" x14ac:dyDescent="0.25">
      <c r="A127">
        <v>133</v>
      </c>
      <c r="B127">
        <v>7530</v>
      </c>
      <c r="C127">
        <v>8820</v>
      </c>
      <c r="D127">
        <f t="shared" si="4"/>
        <v>16350</v>
      </c>
      <c r="E127" t="s">
        <v>49</v>
      </c>
      <c r="F127">
        <v>31</v>
      </c>
      <c r="G127" t="str" cm="1">
        <f t="array" ref="G127">_xlfn.IFS(F127&lt;25,"18-24",F127&lt;35,"25-35",F127&lt;45,"35-44",F127&lt;55,"44-54",F127&gt;=55,"55+")</f>
        <v>25-35</v>
      </c>
      <c r="H127" t="s">
        <v>41</v>
      </c>
      <c r="I127">
        <v>2</v>
      </c>
      <c r="J127" t="str" cm="1">
        <f t="array" ref="J127">_xlfn.IFS(I127&lt;=0,"No Dependents",I127&lt;=1,"One",I127&lt;=2,"Two",I127&gt;=3,"Third")</f>
        <v>Two</v>
      </c>
      <c r="K127">
        <v>550</v>
      </c>
      <c r="L127" t="str" cm="1">
        <f t="array" ref="L127">_xlfn.IFS(K127&lt;=580,"Poor",K127&lt;=670,"fair",K127&lt;=740,"Good",K127&lt;=800,"Very Good",K127&gt;=800,"Excellent")</f>
        <v>Poor</v>
      </c>
      <c r="M127">
        <v>2</v>
      </c>
      <c r="N127" t="str">
        <f t="shared" si="5"/>
        <v>Yes</v>
      </c>
      <c r="O127">
        <v>0.35</v>
      </c>
      <c r="P127" t="str" cm="1">
        <f t="array" ref="P127">_xlfn.IFS(O127&lt;=0.3,"Low Risk",O127&lt;=0.4,"medium Risk",O127&lt;=0.5,"High Risk",O127&gt;0.5,"Very High Risk")</f>
        <v>medium Risk</v>
      </c>
      <c r="Q127">
        <v>17907</v>
      </c>
      <c r="R127">
        <v>12888</v>
      </c>
      <c r="S127" t="str">
        <f t="shared" si="6"/>
        <v>Yes</v>
      </c>
      <c r="T127">
        <v>0</v>
      </c>
      <c r="U127" t="str" cm="1">
        <f t="array" ref="U127">_xlfn.IFS(T127&lt;5000,"Small",T127&lt;20000,"Medium",T127&lt;35000,"Large",T127&gt;35000,"Very Large")</f>
        <v>Small</v>
      </c>
      <c r="V127">
        <v>36</v>
      </c>
      <c r="W127">
        <f t="shared" si="7"/>
        <v>3</v>
      </c>
      <c r="X127" t="s">
        <v>50</v>
      </c>
      <c r="Y127" t="s">
        <v>38</v>
      </c>
      <c r="Z127" t="s">
        <v>39</v>
      </c>
      <c r="AA127" t="s">
        <v>34</v>
      </c>
      <c r="AB127" t="s">
        <v>43</v>
      </c>
      <c r="AC127" t="s">
        <v>44</v>
      </c>
    </row>
    <row r="128" spans="1:29" x14ac:dyDescent="0.25">
      <c r="A128">
        <v>134</v>
      </c>
      <c r="B128">
        <v>5748</v>
      </c>
      <c r="C128">
        <v>7686</v>
      </c>
      <c r="D128">
        <f t="shared" si="4"/>
        <v>13434</v>
      </c>
      <c r="E128" t="s">
        <v>49</v>
      </c>
      <c r="F128">
        <v>41</v>
      </c>
      <c r="G128" t="str" cm="1">
        <f t="array" ref="G128">_xlfn.IFS(F128&lt;25,"18-24",F128&lt;35,"25-35",F128&lt;45,"35-44",F128&lt;55,"44-54",F128&gt;=55,"55+")</f>
        <v>35-44</v>
      </c>
      <c r="H128" t="s">
        <v>41</v>
      </c>
      <c r="I128">
        <v>2</v>
      </c>
      <c r="J128" t="str" cm="1">
        <f t="array" ref="J128">_xlfn.IFS(I128&lt;=0,"No Dependents",I128&lt;=1,"One",I128&lt;=2,"Two",I128&gt;=3,"Third")</f>
        <v>Two</v>
      </c>
      <c r="K128">
        <v>702</v>
      </c>
      <c r="L128" t="str" cm="1">
        <f t="array" ref="L128">_xlfn.IFS(K128&lt;=580,"Poor",K128&lt;=670,"fair",K128&lt;=740,"Good",K128&lt;=800,"Very Good",K128&gt;=800,"Excellent")</f>
        <v>Good</v>
      </c>
      <c r="M128">
        <v>2</v>
      </c>
      <c r="N128" t="str">
        <f t="shared" si="5"/>
        <v>Yes</v>
      </c>
      <c r="O128">
        <v>0.14000000000000001</v>
      </c>
      <c r="P128" t="str" cm="1">
        <f t="array" ref="P128">_xlfn.IFS(O128&lt;=0.3,"Low Risk",O128&lt;=0.4,"medium Risk",O128&lt;=0.5,"High Risk",O128&gt;0.5,"Very High Risk")</f>
        <v>Low Risk</v>
      </c>
      <c r="Q128">
        <v>4928</v>
      </c>
      <c r="R128">
        <v>37338</v>
      </c>
      <c r="S128" t="str">
        <f t="shared" si="6"/>
        <v>Yes</v>
      </c>
      <c r="T128">
        <v>23072</v>
      </c>
      <c r="U128" t="str" cm="1">
        <f t="array" ref="U128">_xlfn.IFS(T128&lt;5000,"Small",T128&lt;20000,"Medium",T128&lt;35000,"Large",T128&gt;35000,"Very Large")</f>
        <v>Large</v>
      </c>
      <c r="V128">
        <v>48</v>
      </c>
      <c r="W128">
        <f t="shared" si="7"/>
        <v>4</v>
      </c>
      <c r="X128" t="s">
        <v>50</v>
      </c>
      <c r="Y128" t="s">
        <v>45</v>
      </c>
      <c r="Z128" t="s">
        <v>39</v>
      </c>
      <c r="AA128" t="s">
        <v>40</v>
      </c>
      <c r="AB128" t="s">
        <v>43</v>
      </c>
      <c r="AC128" t="s">
        <v>44</v>
      </c>
    </row>
    <row r="129" spans="1:29" x14ac:dyDescent="0.25">
      <c r="A129">
        <v>136</v>
      </c>
      <c r="B129">
        <v>2663</v>
      </c>
      <c r="C129">
        <v>8007</v>
      </c>
      <c r="D129">
        <f t="shared" si="4"/>
        <v>10670</v>
      </c>
      <c r="E129" t="s">
        <v>29</v>
      </c>
      <c r="F129">
        <v>32</v>
      </c>
      <c r="G129" t="str" cm="1">
        <f t="array" ref="G129">_xlfn.IFS(F129&lt;25,"18-24",F129&lt;35,"25-35",F129&lt;45,"35-44",F129&lt;55,"44-54",F129&gt;=55,"55+")</f>
        <v>25-35</v>
      </c>
      <c r="H129" t="s">
        <v>30</v>
      </c>
      <c r="I129">
        <v>3</v>
      </c>
      <c r="J129" t="str" cm="1">
        <f t="array" ref="J129">_xlfn.IFS(I129&lt;=0,"No Dependents",I129&lt;=1,"One",I129&lt;=2,"Two",I129&gt;=3,"Third")</f>
        <v>Third</v>
      </c>
      <c r="K129">
        <v>689</v>
      </c>
      <c r="L129" t="str" cm="1">
        <f t="array" ref="L129">_xlfn.IFS(K129&lt;=580,"Poor",K129&lt;=670,"fair",K129&lt;=740,"Good",K129&lt;=800,"Very Good",K129&gt;=800,"Excellent")</f>
        <v>Good</v>
      </c>
      <c r="M129">
        <v>3</v>
      </c>
      <c r="N129" t="str">
        <f t="shared" si="5"/>
        <v>Yes</v>
      </c>
      <c r="O129">
        <v>0.35</v>
      </c>
      <c r="P129" t="str" cm="1">
        <f t="array" ref="P129">_xlfn.IFS(O129&lt;=0.3,"Low Risk",O129&lt;=0.4,"medium Risk",O129&lt;=0.5,"High Risk",O129&gt;0.5,"Very High Risk")</f>
        <v>medium Risk</v>
      </c>
      <c r="Q129">
        <v>2888</v>
      </c>
      <c r="R129">
        <v>16958</v>
      </c>
      <c r="S129" t="str">
        <f t="shared" si="6"/>
        <v>Yes</v>
      </c>
      <c r="T129">
        <v>38132</v>
      </c>
      <c r="U129" t="str" cm="1">
        <f t="array" ref="U129">_xlfn.IFS(T129&lt;5000,"Small",T129&lt;20000,"Medium",T129&lt;35000,"Large",T129&gt;35000,"Very Large")</f>
        <v>Very Large</v>
      </c>
      <c r="V129">
        <v>24</v>
      </c>
      <c r="W129">
        <f t="shared" si="7"/>
        <v>2</v>
      </c>
      <c r="X129" t="s">
        <v>42</v>
      </c>
      <c r="Y129" t="s">
        <v>38</v>
      </c>
      <c r="Z129" t="s">
        <v>39</v>
      </c>
      <c r="AA129" t="s">
        <v>34</v>
      </c>
      <c r="AB129" t="s">
        <v>35</v>
      </c>
      <c r="AC129" t="s">
        <v>36</v>
      </c>
    </row>
    <row r="130" spans="1:29" x14ac:dyDescent="0.25">
      <c r="A130">
        <v>137</v>
      </c>
      <c r="B130">
        <v>3998</v>
      </c>
      <c r="C130">
        <v>1521</v>
      </c>
      <c r="D130">
        <f t="shared" si="4"/>
        <v>5519</v>
      </c>
      <c r="E130" t="s">
        <v>49</v>
      </c>
      <c r="F130">
        <v>46</v>
      </c>
      <c r="G130" t="str" cm="1">
        <f t="array" ref="G130">_xlfn.IFS(F130&lt;25,"18-24",F130&lt;35,"25-35",F130&lt;45,"35-44",F130&lt;55,"44-54",F130&gt;=55,"55+")</f>
        <v>44-54</v>
      </c>
      <c r="H130" t="s">
        <v>41</v>
      </c>
      <c r="I130">
        <v>3</v>
      </c>
      <c r="J130" t="str" cm="1">
        <f t="array" ref="J130">_xlfn.IFS(I130&lt;=0,"No Dependents",I130&lt;=1,"One",I130&lt;=2,"Two",I130&gt;=3,"Third")</f>
        <v>Third</v>
      </c>
      <c r="K130">
        <v>639</v>
      </c>
      <c r="L130" t="str" cm="1">
        <f t="array" ref="L130">_xlfn.IFS(K130&lt;=580,"Poor",K130&lt;=670,"fair",K130&lt;=740,"Good",K130&lt;=800,"Very Good",K130&gt;=800,"Excellent")</f>
        <v>fair</v>
      </c>
      <c r="M130">
        <v>4</v>
      </c>
      <c r="N130" t="str">
        <f t="shared" si="5"/>
        <v>Yes</v>
      </c>
      <c r="O130">
        <v>0.17</v>
      </c>
      <c r="P130" t="str" cm="1">
        <f t="array" ref="P130">_xlfn.IFS(O130&lt;=0.3,"Low Risk",O130&lt;=0.4,"medium Risk",O130&lt;=0.5,"High Risk",O130&gt;0.5,"Very High Risk")</f>
        <v>Low Risk</v>
      </c>
      <c r="Q130">
        <v>2690</v>
      </c>
      <c r="R130">
        <v>12634</v>
      </c>
      <c r="S130" t="str">
        <f t="shared" si="6"/>
        <v>Yes</v>
      </c>
      <c r="T130">
        <v>18861</v>
      </c>
      <c r="U130" t="str" cm="1">
        <f t="array" ref="U130">_xlfn.IFS(T130&lt;5000,"Small",T130&lt;20000,"Medium",T130&lt;35000,"Large",T130&gt;35000,"Very Large")</f>
        <v>Medium</v>
      </c>
      <c r="V130">
        <v>60</v>
      </c>
      <c r="W130">
        <f t="shared" si="7"/>
        <v>5</v>
      </c>
      <c r="X130" t="s">
        <v>37</v>
      </c>
      <c r="Y130" t="s">
        <v>45</v>
      </c>
      <c r="Z130" t="s">
        <v>39</v>
      </c>
      <c r="AA130" t="s">
        <v>34</v>
      </c>
      <c r="AB130" t="s">
        <v>35</v>
      </c>
      <c r="AC130" t="s">
        <v>36</v>
      </c>
    </row>
    <row r="131" spans="1:29" x14ac:dyDescent="0.25">
      <c r="A131">
        <v>138</v>
      </c>
      <c r="B131">
        <v>9994</v>
      </c>
      <c r="C131">
        <v>9018</v>
      </c>
      <c r="D131">
        <f t="shared" ref="D131:D194" si="8">B131+C131</f>
        <v>19012</v>
      </c>
      <c r="E131" t="s">
        <v>46</v>
      </c>
      <c r="F131">
        <v>39</v>
      </c>
      <c r="G131" t="str" cm="1">
        <f t="array" ref="G131">_xlfn.IFS(F131&lt;25,"18-24",F131&lt;35,"25-35",F131&lt;45,"35-44",F131&lt;55,"44-54",F131&gt;=55,"55+")</f>
        <v>35-44</v>
      </c>
      <c r="H131" t="s">
        <v>41</v>
      </c>
      <c r="I131">
        <v>3</v>
      </c>
      <c r="J131" t="str" cm="1">
        <f t="array" ref="J131">_xlfn.IFS(I131&lt;=0,"No Dependents",I131&lt;=1,"One",I131&lt;=2,"Two",I131&gt;=3,"Third")</f>
        <v>Third</v>
      </c>
      <c r="K131">
        <v>550</v>
      </c>
      <c r="L131" t="str" cm="1">
        <f t="array" ref="L131">_xlfn.IFS(K131&lt;=580,"Poor",K131&lt;=670,"fair",K131&lt;=740,"Good",K131&lt;=800,"Very Good",K131&gt;=800,"Excellent")</f>
        <v>Poor</v>
      </c>
      <c r="M131">
        <v>4</v>
      </c>
      <c r="N131" t="str">
        <f t="shared" ref="N131:N194" si="9">IF(M131&gt;0,"Yes","No")</f>
        <v>Yes</v>
      </c>
      <c r="O131">
        <v>0.32</v>
      </c>
      <c r="P131" t="str" cm="1">
        <f t="array" ref="P131">_xlfn.IFS(O131&lt;=0.3,"Low Risk",O131&lt;=0.4,"medium Risk",O131&lt;=0.5,"High Risk",O131&gt;0.5,"Very High Risk")</f>
        <v>medium Risk</v>
      </c>
      <c r="Q131">
        <v>4091</v>
      </c>
      <c r="R131">
        <v>19251</v>
      </c>
      <c r="S131" t="str">
        <f t="shared" ref="S131:S194" si="10">IF(R131&gt;100,"Yes","No")</f>
        <v>Yes</v>
      </c>
      <c r="T131">
        <v>5960</v>
      </c>
      <c r="U131" t="str" cm="1">
        <f t="array" ref="U131">_xlfn.IFS(T131&lt;5000,"Small",T131&lt;20000,"Medium",T131&lt;35000,"Large",T131&gt;35000,"Very Large")</f>
        <v>Medium</v>
      </c>
      <c r="V131">
        <v>48</v>
      </c>
      <c r="W131">
        <f t="shared" ref="W131:W194" si="11">V131/12</f>
        <v>4</v>
      </c>
      <c r="X131" t="s">
        <v>42</v>
      </c>
      <c r="Y131" t="s">
        <v>32</v>
      </c>
      <c r="Z131" t="s">
        <v>39</v>
      </c>
      <c r="AA131" t="s">
        <v>40</v>
      </c>
      <c r="AB131" t="s">
        <v>51</v>
      </c>
      <c r="AC131" t="s">
        <v>36</v>
      </c>
    </row>
    <row r="132" spans="1:29" x14ac:dyDescent="0.25">
      <c r="A132">
        <v>139</v>
      </c>
      <c r="B132">
        <v>19879</v>
      </c>
      <c r="C132">
        <v>1500</v>
      </c>
      <c r="D132">
        <f t="shared" si="8"/>
        <v>21379</v>
      </c>
      <c r="E132" t="s">
        <v>52</v>
      </c>
      <c r="F132">
        <v>27</v>
      </c>
      <c r="G132" t="str" cm="1">
        <f t="array" ref="G132">_xlfn.IFS(F132&lt;25,"18-24",F132&lt;35,"25-35",F132&lt;45,"35-44",F132&lt;55,"44-54",F132&gt;=55,"55+")</f>
        <v>25-35</v>
      </c>
      <c r="H132" t="s">
        <v>41</v>
      </c>
      <c r="I132">
        <v>2</v>
      </c>
      <c r="J132" t="str" cm="1">
        <f t="array" ref="J132">_xlfn.IFS(I132&lt;=0,"No Dependents",I132&lt;=1,"One",I132&lt;=2,"Two",I132&gt;=3,"Third")</f>
        <v>Two</v>
      </c>
      <c r="K132">
        <v>789</v>
      </c>
      <c r="L132" t="str" cm="1">
        <f t="array" ref="L132">_xlfn.IFS(K132&lt;=580,"Poor",K132&lt;=670,"fair",K132&lt;=740,"Good",K132&lt;=800,"Very Good",K132&gt;=800,"Excellent")</f>
        <v>Very Good</v>
      </c>
      <c r="M132">
        <v>3</v>
      </c>
      <c r="N132" t="str">
        <f t="shared" si="9"/>
        <v>Yes</v>
      </c>
      <c r="O132">
        <v>0.27</v>
      </c>
      <c r="P132" t="str" cm="1">
        <f t="array" ref="P132">_xlfn.IFS(O132&lt;=0.3,"Low Risk",O132&lt;=0.4,"medium Risk",O132&lt;=0.5,"High Risk",O132&gt;0.5,"Very High Risk")</f>
        <v>Low Risk</v>
      </c>
      <c r="Q132">
        <v>13960</v>
      </c>
      <c r="R132">
        <v>46566</v>
      </c>
      <c r="S132" t="str">
        <f t="shared" si="10"/>
        <v>Yes</v>
      </c>
      <c r="T132">
        <v>19781</v>
      </c>
      <c r="U132" t="str" cm="1">
        <f t="array" ref="U132">_xlfn.IFS(T132&lt;5000,"Small",T132&lt;20000,"Medium",T132&lt;35000,"Large",T132&gt;35000,"Very Large")</f>
        <v>Medium</v>
      </c>
      <c r="V132">
        <v>24</v>
      </c>
      <c r="W132">
        <f t="shared" si="11"/>
        <v>2</v>
      </c>
      <c r="X132" t="s">
        <v>47</v>
      </c>
      <c r="Y132" t="s">
        <v>38</v>
      </c>
      <c r="Z132" t="s">
        <v>33</v>
      </c>
      <c r="AA132" t="s">
        <v>34</v>
      </c>
      <c r="AB132" t="s">
        <v>35</v>
      </c>
      <c r="AC132" t="s">
        <v>44</v>
      </c>
    </row>
    <row r="133" spans="1:29" x14ac:dyDescent="0.25">
      <c r="A133">
        <v>140</v>
      </c>
      <c r="B133">
        <v>5304</v>
      </c>
      <c r="C133">
        <v>6737</v>
      </c>
      <c r="D133">
        <f t="shared" si="8"/>
        <v>12041</v>
      </c>
      <c r="E133" t="s">
        <v>49</v>
      </c>
      <c r="F133">
        <v>27</v>
      </c>
      <c r="G133" t="str" cm="1">
        <f t="array" ref="G133">_xlfn.IFS(F133&lt;25,"18-24",F133&lt;35,"25-35",F133&lt;45,"35-44",F133&lt;55,"44-54",F133&gt;=55,"55+")</f>
        <v>25-35</v>
      </c>
      <c r="H133" t="s">
        <v>30</v>
      </c>
      <c r="I133">
        <v>1</v>
      </c>
      <c r="J133" t="str" cm="1">
        <f t="array" ref="J133">_xlfn.IFS(I133&lt;=0,"No Dependents",I133&lt;=1,"One",I133&lt;=2,"Two",I133&gt;=3,"Third")</f>
        <v>One</v>
      </c>
      <c r="K133">
        <v>646</v>
      </c>
      <c r="L133" t="str" cm="1">
        <f t="array" ref="L133">_xlfn.IFS(K133&lt;=580,"Poor",K133&lt;=670,"fair",K133&lt;=740,"Good",K133&lt;=800,"Very Good",K133&gt;=800,"Excellent")</f>
        <v>fair</v>
      </c>
      <c r="M133">
        <v>3</v>
      </c>
      <c r="N133" t="str">
        <f t="shared" si="9"/>
        <v>Yes</v>
      </c>
      <c r="O133">
        <v>0.36</v>
      </c>
      <c r="P133" t="str" cm="1">
        <f t="array" ref="P133">_xlfn.IFS(O133&lt;=0.3,"Low Risk",O133&lt;=0.4,"medium Risk",O133&lt;=0.5,"High Risk",O133&gt;0.5,"Very High Risk")</f>
        <v>medium Risk</v>
      </c>
      <c r="Q133">
        <v>690</v>
      </c>
      <c r="R133">
        <v>19928</v>
      </c>
      <c r="S133" t="str">
        <f t="shared" si="10"/>
        <v>Yes</v>
      </c>
      <c r="T133">
        <v>32126</v>
      </c>
      <c r="U133" t="str" cm="1">
        <f t="array" ref="U133">_xlfn.IFS(T133&lt;5000,"Small",T133&lt;20000,"Medium",T133&lt;35000,"Large",T133&gt;35000,"Very Large")</f>
        <v>Large</v>
      </c>
      <c r="V133">
        <v>36</v>
      </c>
      <c r="W133">
        <f t="shared" si="11"/>
        <v>3</v>
      </c>
      <c r="X133" t="s">
        <v>31</v>
      </c>
      <c r="Y133" t="s">
        <v>32</v>
      </c>
      <c r="Z133" t="s">
        <v>39</v>
      </c>
      <c r="AA133" t="s">
        <v>40</v>
      </c>
      <c r="AB133" t="s">
        <v>51</v>
      </c>
      <c r="AC133" t="s">
        <v>36</v>
      </c>
    </row>
    <row r="134" spans="1:29" x14ac:dyDescent="0.25">
      <c r="A134">
        <v>141</v>
      </c>
      <c r="B134">
        <v>15808</v>
      </c>
      <c r="C134">
        <v>3294</v>
      </c>
      <c r="D134">
        <f t="shared" si="8"/>
        <v>19102</v>
      </c>
      <c r="E134" t="s">
        <v>49</v>
      </c>
      <c r="F134">
        <v>46</v>
      </c>
      <c r="G134" t="str" cm="1">
        <f t="array" ref="G134">_xlfn.IFS(F134&lt;25,"18-24",F134&lt;35,"25-35",F134&lt;45,"35-44",F134&lt;55,"44-54",F134&gt;=55,"55+")</f>
        <v>44-54</v>
      </c>
      <c r="H134" t="s">
        <v>30</v>
      </c>
      <c r="I134">
        <v>1</v>
      </c>
      <c r="J134" t="str" cm="1">
        <f t="array" ref="J134">_xlfn.IFS(I134&lt;=0,"No Dependents",I134&lt;=1,"One",I134&lt;=2,"Two",I134&gt;=3,"Third")</f>
        <v>One</v>
      </c>
      <c r="K134">
        <v>769</v>
      </c>
      <c r="L134" t="str" cm="1">
        <f t="array" ref="L134">_xlfn.IFS(K134&lt;=580,"Poor",K134&lt;=670,"fair",K134&lt;=740,"Good",K134&lt;=800,"Very Good",K134&gt;=800,"Excellent")</f>
        <v>Very Good</v>
      </c>
      <c r="M134">
        <v>3</v>
      </c>
      <c r="N134" t="str">
        <f t="shared" si="9"/>
        <v>Yes</v>
      </c>
      <c r="O134">
        <v>0.39</v>
      </c>
      <c r="P134" t="str" cm="1">
        <f t="array" ref="P134">_xlfn.IFS(O134&lt;=0.3,"Low Risk",O134&lt;=0.4,"medium Risk",O134&lt;=0.5,"High Risk",O134&gt;0.5,"Very High Risk")</f>
        <v>medium Risk</v>
      </c>
      <c r="Q134">
        <v>1495</v>
      </c>
      <c r="R134">
        <v>37245</v>
      </c>
      <c r="S134" t="str">
        <f t="shared" si="10"/>
        <v>Yes</v>
      </c>
      <c r="T134">
        <v>23578</v>
      </c>
      <c r="U134" t="str" cm="1">
        <f t="array" ref="U134">_xlfn.IFS(T134&lt;5000,"Small",T134&lt;20000,"Medium",T134&lt;35000,"Large",T134&gt;35000,"Very Large")</f>
        <v>Large</v>
      </c>
      <c r="V134">
        <v>12</v>
      </c>
      <c r="W134">
        <f t="shared" si="11"/>
        <v>1</v>
      </c>
      <c r="X134" t="s">
        <v>42</v>
      </c>
      <c r="Y134" t="s">
        <v>32</v>
      </c>
      <c r="Z134" t="s">
        <v>33</v>
      </c>
      <c r="AA134" t="s">
        <v>40</v>
      </c>
      <c r="AB134" t="s">
        <v>35</v>
      </c>
      <c r="AC134" t="s">
        <v>44</v>
      </c>
    </row>
    <row r="135" spans="1:29" x14ac:dyDescent="0.25">
      <c r="A135">
        <v>142</v>
      </c>
      <c r="B135">
        <v>8585</v>
      </c>
      <c r="C135">
        <v>0</v>
      </c>
      <c r="D135">
        <f t="shared" si="8"/>
        <v>8585</v>
      </c>
      <c r="E135" t="s">
        <v>52</v>
      </c>
      <c r="F135">
        <v>25</v>
      </c>
      <c r="G135" t="str" cm="1">
        <f t="array" ref="G135">_xlfn.IFS(F135&lt;25,"18-24",F135&lt;35,"25-35",F135&lt;45,"35-44",F135&lt;55,"44-54",F135&gt;=55,"55+")</f>
        <v>25-35</v>
      </c>
      <c r="H135" t="s">
        <v>30</v>
      </c>
      <c r="I135">
        <v>1</v>
      </c>
      <c r="J135" t="str" cm="1">
        <f t="array" ref="J135">_xlfn.IFS(I135&lt;=0,"No Dependents",I135&lt;=1,"One",I135&lt;=2,"Two",I135&gt;=3,"Third")</f>
        <v>One</v>
      </c>
      <c r="K135">
        <v>558</v>
      </c>
      <c r="L135" t="str" cm="1">
        <f t="array" ref="L135">_xlfn.IFS(K135&lt;=580,"Poor",K135&lt;=670,"fair",K135&lt;=740,"Good",K135&lt;=800,"Very Good",K135&gt;=800,"Excellent")</f>
        <v>Poor</v>
      </c>
      <c r="M135">
        <v>3</v>
      </c>
      <c r="N135" t="str">
        <f t="shared" si="9"/>
        <v>Yes</v>
      </c>
      <c r="O135">
        <v>0.1</v>
      </c>
      <c r="P135" t="str" cm="1">
        <f t="array" ref="P135">_xlfn.IFS(O135&lt;=0.3,"Low Risk",O135&lt;=0.4,"medium Risk",O135&lt;=0.5,"High Risk",O135&gt;0.5,"Very High Risk")</f>
        <v>Low Risk</v>
      </c>
      <c r="Q135">
        <v>11085</v>
      </c>
      <c r="R135">
        <v>16455</v>
      </c>
      <c r="S135" t="str">
        <f t="shared" si="10"/>
        <v>Yes</v>
      </c>
      <c r="T135">
        <v>18883</v>
      </c>
      <c r="U135" t="str" cm="1">
        <f t="array" ref="U135">_xlfn.IFS(T135&lt;5000,"Small",T135&lt;20000,"Medium",T135&lt;35000,"Large",T135&gt;35000,"Very Large")</f>
        <v>Medium</v>
      </c>
      <c r="V135">
        <v>48</v>
      </c>
      <c r="W135">
        <f t="shared" si="11"/>
        <v>4</v>
      </c>
      <c r="X135" t="s">
        <v>50</v>
      </c>
      <c r="Y135" t="s">
        <v>38</v>
      </c>
      <c r="Z135" t="s">
        <v>39</v>
      </c>
      <c r="AA135" t="s">
        <v>40</v>
      </c>
      <c r="AB135" t="s">
        <v>35</v>
      </c>
      <c r="AC135" t="s">
        <v>36</v>
      </c>
    </row>
    <row r="136" spans="1:29" x14ac:dyDescent="0.25">
      <c r="A136">
        <v>143</v>
      </c>
      <c r="B136">
        <v>19675</v>
      </c>
      <c r="C136">
        <v>2419</v>
      </c>
      <c r="D136">
        <f t="shared" si="8"/>
        <v>22094</v>
      </c>
      <c r="E136" t="s">
        <v>46</v>
      </c>
      <c r="F136">
        <v>41</v>
      </c>
      <c r="G136" t="str" cm="1">
        <f t="array" ref="G136">_xlfn.IFS(F136&lt;25,"18-24",F136&lt;35,"25-35",F136&lt;45,"35-44",F136&lt;55,"44-54",F136&gt;=55,"55+")</f>
        <v>35-44</v>
      </c>
      <c r="H136" t="s">
        <v>41</v>
      </c>
      <c r="I136">
        <v>1</v>
      </c>
      <c r="J136" t="str" cm="1">
        <f t="array" ref="J136">_xlfn.IFS(I136&lt;=0,"No Dependents",I136&lt;=1,"One",I136&lt;=2,"Two",I136&gt;=3,"Third")</f>
        <v>One</v>
      </c>
      <c r="K136">
        <v>561</v>
      </c>
      <c r="L136" t="str" cm="1">
        <f t="array" ref="L136">_xlfn.IFS(K136&lt;=580,"Poor",K136&lt;=670,"fair",K136&lt;=740,"Good",K136&lt;=800,"Very Good",K136&gt;=800,"Excellent")</f>
        <v>Poor</v>
      </c>
      <c r="M136">
        <v>3</v>
      </c>
      <c r="N136" t="str">
        <f t="shared" si="9"/>
        <v>Yes</v>
      </c>
      <c r="O136">
        <v>0.48</v>
      </c>
      <c r="P136" t="str" cm="1">
        <f t="array" ref="P136">_xlfn.IFS(O136&lt;=0.3,"Low Risk",O136&lt;=0.4,"medium Risk",O136&lt;=0.5,"High Risk",O136&gt;0.5,"Very High Risk")</f>
        <v>High Risk</v>
      </c>
      <c r="Q136">
        <v>17276</v>
      </c>
      <c r="R136">
        <v>27144</v>
      </c>
      <c r="S136" t="str">
        <f t="shared" si="10"/>
        <v>Yes</v>
      </c>
      <c r="T136">
        <v>30782</v>
      </c>
      <c r="U136" t="str" cm="1">
        <f t="array" ref="U136">_xlfn.IFS(T136&lt;5000,"Small",T136&lt;20000,"Medium",T136&lt;35000,"Large",T136&gt;35000,"Very Large")</f>
        <v>Large</v>
      </c>
      <c r="V136">
        <v>72</v>
      </c>
      <c r="W136">
        <f t="shared" si="11"/>
        <v>6</v>
      </c>
      <c r="X136" t="s">
        <v>50</v>
      </c>
      <c r="Y136" t="s">
        <v>45</v>
      </c>
      <c r="Z136" t="s">
        <v>39</v>
      </c>
      <c r="AA136" t="s">
        <v>40</v>
      </c>
      <c r="AB136" t="s">
        <v>48</v>
      </c>
      <c r="AC136" t="s">
        <v>36</v>
      </c>
    </row>
    <row r="137" spans="1:29" x14ac:dyDescent="0.25">
      <c r="A137">
        <v>144</v>
      </c>
      <c r="B137">
        <v>13649</v>
      </c>
      <c r="C137">
        <v>9126</v>
      </c>
      <c r="D137">
        <f t="shared" si="8"/>
        <v>22775</v>
      </c>
      <c r="E137" t="s">
        <v>29</v>
      </c>
      <c r="F137">
        <v>40</v>
      </c>
      <c r="G137" t="str" cm="1">
        <f t="array" ref="G137">_xlfn.IFS(F137&lt;25,"18-24",F137&lt;35,"25-35",F137&lt;45,"35-44",F137&lt;55,"44-54",F137&gt;=55,"55+")</f>
        <v>35-44</v>
      </c>
      <c r="H137" t="s">
        <v>30</v>
      </c>
      <c r="I137">
        <v>1</v>
      </c>
      <c r="J137" t="str" cm="1">
        <f t="array" ref="J137">_xlfn.IFS(I137&lt;=0,"No Dependents",I137&lt;=1,"One",I137&lt;=2,"Two",I137&gt;=3,"Third")</f>
        <v>One</v>
      </c>
      <c r="K137">
        <v>618</v>
      </c>
      <c r="L137" t="str" cm="1">
        <f t="array" ref="L137">_xlfn.IFS(K137&lt;=580,"Poor",K137&lt;=670,"fair",K137&lt;=740,"Good",K137&lt;=800,"Very Good",K137&gt;=800,"Excellent")</f>
        <v>fair</v>
      </c>
      <c r="M137">
        <v>4</v>
      </c>
      <c r="N137" t="str">
        <f t="shared" si="9"/>
        <v>Yes</v>
      </c>
      <c r="O137">
        <v>0.46</v>
      </c>
      <c r="P137" t="str" cm="1">
        <f t="array" ref="P137">_xlfn.IFS(O137&lt;=0.3,"Low Risk",O137&lt;=0.4,"medium Risk",O137&lt;=0.5,"High Risk",O137&gt;0.5,"Very High Risk")</f>
        <v>High Risk</v>
      </c>
      <c r="Q137">
        <v>10720</v>
      </c>
      <c r="R137">
        <v>28013</v>
      </c>
      <c r="S137" t="str">
        <f t="shared" si="10"/>
        <v>Yes</v>
      </c>
      <c r="T137">
        <v>17979</v>
      </c>
      <c r="U137" t="str" cm="1">
        <f t="array" ref="U137">_xlfn.IFS(T137&lt;5000,"Small",T137&lt;20000,"Medium",T137&lt;35000,"Large",T137&gt;35000,"Very Large")</f>
        <v>Medium</v>
      </c>
      <c r="V137">
        <v>24</v>
      </c>
      <c r="W137">
        <f t="shared" si="11"/>
        <v>2</v>
      </c>
      <c r="X137" t="s">
        <v>37</v>
      </c>
      <c r="Y137" t="s">
        <v>32</v>
      </c>
      <c r="Z137" t="s">
        <v>39</v>
      </c>
      <c r="AA137" t="s">
        <v>40</v>
      </c>
      <c r="AB137" t="s">
        <v>43</v>
      </c>
      <c r="AC137" t="s">
        <v>36</v>
      </c>
    </row>
    <row r="138" spans="1:29" x14ac:dyDescent="0.25">
      <c r="A138">
        <v>145</v>
      </c>
      <c r="B138">
        <v>3636</v>
      </c>
      <c r="C138">
        <v>3042</v>
      </c>
      <c r="D138">
        <f t="shared" si="8"/>
        <v>6678</v>
      </c>
      <c r="E138" t="s">
        <v>46</v>
      </c>
      <c r="F138">
        <v>24</v>
      </c>
      <c r="G138" t="str" cm="1">
        <f t="array" ref="G138">_xlfn.IFS(F138&lt;25,"18-24",F138&lt;35,"25-35",F138&lt;45,"35-44",F138&lt;55,"44-54",F138&gt;=55,"55+")</f>
        <v>18-24</v>
      </c>
      <c r="H138" t="s">
        <v>30</v>
      </c>
      <c r="I138">
        <v>2</v>
      </c>
      <c r="J138" t="str" cm="1">
        <f t="array" ref="J138">_xlfn.IFS(I138&lt;=0,"No Dependents",I138&lt;=1,"One",I138&lt;=2,"Two",I138&gt;=3,"Third")</f>
        <v>Two</v>
      </c>
      <c r="K138">
        <v>731</v>
      </c>
      <c r="L138" t="str" cm="1">
        <f t="array" ref="L138">_xlfn.IFS(K138&lt;=580,"Poor",K138&lt;=670,"fair",K138&lt;=740,"Good",K138&lt;=800,"Very Good",K138&gt;=800,"Excellent")</f>
        <v>Good</v>
      </c>
      <c r="M138">
        <v>1</v>
      </c>
      <c r="N138" t="str">
        <f t="shared" si="9"/>
        <v>Yes</v>
      </c>
      <c r="O138">
        <v>0.28000000000000003</v>
      </c>
      <c r="P138" t="str" cm="1">
        <f t="array" ref="P138">_xlfn.IFS(O138&lt;=0.3,"Low Risk",O138&lt;=0.4,"medium Risk",O138&lt;=0.5,"High Risk",O138&gt;0.5,"Very High Risk")</f>
        <v>Low Risk</v>
      </c>
      <c r="Q138">
        <v>5873</v>
      </c>
      <c r="R138">
        <v>21876</v>
      </c>
      <c r="S138" t="str">
        <f t="shared" si="10"/>
        <v>Yes</v>
      </c>
      <c r="T138">
        <v>34746</v>
      </c>
      <c r="U138" t="str" cm="1">
        <f t="array" ref="U138">_xlfn.IFS(T138&lt;5000,"Small",T138&lt;20000,"Medium",T138&lt;35000,"Large",T138&gt;35000,"Very Large")</f>
        <v>Large</v>
      </c>
      <c r="V138">
        <v>36</v>
      </c>
      <c r="W138">
        <f t="shared" si="11"/>
        <v>3</v>
      </c>
      <c r="X138" t="s">
        <v>42</v>
      </c>
      <c r="Y138" t="s">
        <v>32</v>
      </c>
      <c r="Z138" t="s">
        <v>33</v>
      </c>
      <c r="AA138" t="s">
        <v>40</v>
      </c>
      <c r="AB138" t="s">
        <v>42</v>
      </c>
      <c r="AC138" t="s">
        <v>36</v>
      </c>
    </row>
    <row r="139" spans="1:29" x14ac:dyDescent="0.25">
      <c r="A139">
        <v>146</v>
      </c>
      <c r="B139">
        <v>19082</v>
      </c>
      <c r="C139">
        <v>4497</v>
      </c>
      <c r="D139">
        <f t="shared" si="8"/>
        <v>23579</v>
      </c>
      <c r="E139" t="s">
        <v>46</v>
      </c>
      <c r="F139">
        <v>43</v>
      </c>
      <c r="G139" t="str" cm="1">
        <f t="array" ref="G139">_xlfn.IFS(F139&lt;25,"18-24",F139&lt;35,"25-35",F139&lt;45,"35-44",F139&lt;55,"44-54",F139&gt;=55,"55+")</f>
        <v>35-44</v>
      </c>
      <c r="H139" t="s">
        <v>41</v>
      </c>
      <c r="I139">
        <v>2</v>
      </c>
      <c r="J139" t="str" cm="1">
        <f t="array" ref="J139">_xlfn.IFS(I139&lt;=0,"No Dependents",I139&lt;=1,"One",I139&lt;=2,"Two",I139&gt;=3,"Third")</f>
        <v>Two</v>
      </c>
      <c r="K139">
        <v>793</v>
      </c>
      <c r="L139" t="str" cm="1">
        <f t="array" ref="L139">_xlfn.IFS(K139&lt;=580,"Poor",K139&lt;=670,"fair",K139&lt;=740,"Good",K139&lt;=800,"Very Good",K139&gt;=800,"Excellent")</f>
        <v>Very Good</v>
      </c>
      <c r="M139">
        <v>1</v>
      </c>
      <c r="N139" t="str">
        <f t="shared" si="9"/>
        <v>Yes</v>
      </c>
      <c r="O139">
        <v>0.13</v>
      </c>
      <c r="P139" t="str" cm="1">
        <f t="array" ref="P139">_xlfn.IFS(O139&lt;=0.3,"Low Risk",O139&lt;=0.4,"medium Risk",O139&lt;=0.5,"High Risk",O139&gt;0.5,"Very High Risk")</f>
        <v>Low Risk</v>
      </c>
      <c r="Q139">
        <v>4503</v>
      </c>
      <c r="R139">
        <v>26962</v>
      </c>
      <c r="S139" t="str">
        <f t="shared" si="10"/>
        <v>Yes</v>
      </c>
      <c r="T139">
        <v>1730</v>
      </c>
      <c r="U139" t="str" cm="1">
        <f t="array" ref="U139">_xlfn.IFS(T139&lt;5000,"Small",T139&lt;20000,"Medium",T139&lt;35000,"Large",T139&gt;35000,"Very Large")</f>
        <v>Small</v>
      </c>
      <c r="V139">
        <v>24</v>
      </c>
      <c r="W139">
        <f t="shared" si="11"/>
        <v>2</v>
      </c>
      <c r="X139" t="s">
        <v>31</v>
      </c>
      <c r="Y139" t="s">
        <v>45</v>
      </c>
      <c r="Z139" t="s">
        <v>39</v>
      </c>
      <c r="AA139" t="s">
        <v>40</v>
      </c>
      <c r="AB139" t="s">
        <v>35</v>
      </c>
      <c r="AC139" t="s">
        <v>44</v>
      </c>
    </row>
    <row r="140" spans="1:29" x14ac:dyDescent="0.25">
      <c r="A140">
        <v>147</v>
      </c>
      <c r="B140">
        <v>6737</v>
      </c>
      <c r="C140">
        <v>1466</v>
      </c>
      <c r="D140">
        <f t="shared" si="8"/>
        <v>8203</v>
      </c>
      <c r="E140" t="s">
        <v>49</v>
      </c>
      <c r="F140">
        <v>40</v>
      </c>
      <c r="G140" t="str" cm="1">
        <f t="array" ref="G140">_xlfn.IFS(F140&lt;25,"18-24",F140&lt;35,"25-35",F140&lt;45,"35-44",F140&lt;55,"44-54",F140&gt;=55,"55+")</f>
        <v>35-44</v>
      </c>
      <c r="H140" t="s">
        <v>41</v>
      </c>
      <c r="I140">
        <v>1</v>
      </c>
      <c r="J140" t="str" cm="1">
        <f t="array" ref="J140">_xlfn.IFS(I140&lt;=0,"No Dependents",I140&lt;=1,"One",I140&lt;=2,"Two",I140&gt;=3,"Third")</f>
        <v>One</v>
      </c>
      <c r="K140">
        <v>731</v>
      </c>
      <c r="L140" t="str" cm="1">
        <f t="array" ref="L140">_xlfn.IFS(K140&lt;=580,"Poor",K140&lt;=670,"fair",K140&lt;=740,"Good",K140&lt;=800,"Very Good",K140&gt;=800,"Excellent")</f>
        <v>Good</v>
      </c>
      <c r="M140">
        <v>0</v>
      </c>
      <c r="N140" t="str">
        <f t="shared" si="9"/>
        <v>No</v>
      </c>
      <c r="O140">
        <v>0.48</v>
      </c>
      <c r="P140" t="str" cm="1">
        <f t="array" ref="P140">_xlfn.IFS(O140&lt;=0.3,"Low Risk",O140&lt;=0.4,"medium Risk",O140&lt;=0.5,"High Risk",O140&gt;0.5,"Very High Risk")</f>
        <v>High Risk</v>
      </c>
      <c r="Q140">
        <v>11720</v>
      </c>
      <c r="R140">
        <v>28084</v>
      </c>
      <c r="S140" t="str">
        <f t="shared" si="10"/>
        <v>Yes</v>
      </c>
      <c r="T140">
        <v>1056</v>
      </c>
      <c r="U140" t="str" cm="1">
        <f t="array" ref="U140">_xlfn.IFS(T140&lt;5000,"Small",T140&lt;20000,"Medium",T140&lt;35000,"Large",T140&gt;35000,"Very Large")</f>
        <v>Small</v>
      </c>
      <c r="V140">
        <v>60</v>
      </c>
      <c r="W140">
        <f t="shared" si="11"/>
        <v>5</v>
      </c>
      <c r="X140" t="s">
        <v>42</v>
      </c>
      <c r="Y140" t="s">
        <v>32</v>
      </c>
      <c r="Z140" t="s">
        <v>39</v>
      </c>
      <c r="AA140" t="s">
        <v>34</v>
      </c>
      <c r="AB140" t="s">
        <v>35</v>
      </c>
      <c r="AC140" t="s">
        <v>36</v>
      </c>
    </row>
    <row r="141" spans="1:29" x14ac:dyDescent="0.25">
      <c r="A141">
        <v>148</v>
      </c>
      <c r="B141">
        <v>16555</v>
      </c>
      <c r="C141">
        <v>3561</v>
      </c>
      <c r="D141">
        <f t="shared" si="8"/>
        <v>20116</v>
      </c>
      <c r="E141" t="s">
        <v>49</v>
      </c>
      <c r="F141">
        <v>35</v>
      </c>
      <c r="G141" t="str" cm="1">
        <f t="array" ref="G141">_xlfn.IFS(F141&lt;25,"18-24",F141&lt;35,"25-35",F141&lt;45,"35-44",F141&lt;55,"44-54",F141&gt;=55,"55+")</f>
        <v>35-44</v>
      </c>
      <c r="H141" t="s">
        <v>41</v>
      </c>
      <c r="I141">
        <v>2</v>
      </c>
      <c r="J141" t="str" cm="1">
        <f t="array" ref="J141">_xlfn.IFS(I141&lt;=0,"No Dependents",I141&lt;=1,"One",I141&lt;=2,"Two",I141&gt;=3,"Third")</f>
        <v>Two</v>
      </c>
      <c r="K141">
        <v>577</v>
      </c>
      <c r="L141" t="str" cm="1">
        <f t="array" ref="L141">_xlfn.IFS(K141&lt;=580,"Poor",K141&lt;=670,"fair",K141&lt;=740,"Good",K141&lt;=800,"Very Good",K141&gt;=800,"Excellent")</f>
        <v>Poor</v>
      </c>
      <c r="M141">
        <v>1</v>
      </c>
      <c r="N141" t="str">
        <f t="shared" si="9"/>
        <v>Yes</v>
      </c>
      <c r="O141">
        <v>0.57999999999999996</v>
      </c>
      <c r="P141" t="str" cm="1">
        <f t="array" ref="P141">_xlfn.IFS(O141&lt;=0.3,"Low Risk",O141&lt;=0.4,"medium Risk",O141&lt;=0.5,"High Risk",O141&gt;0.5,"Very High Risk")</f>
        <v>Very High Risk</v>
      </c>
      <c r="Q141">
        <v>13964</v>
      </c>
      <c r="R141">
        <v>42319</v>
      </c>
      <c r="S141" t="str">
        <f t="shared" si="10"/>
        <v>Yes</v>
      </c>
      <c r="T141">
        <v>32457</v>
      </c>
      <c r="U141" t="str" cm="1">
        <f t="array" ref="U141">_xlfn.IFS(T141&lt;5000,"Small",T141&lt;20000,"Medium",T141&lt;35000,"Large",T141&gt;35000,"Very Large")</f>
        <v>Large</v>
      </c>
      <c r="V141">
        <v>84</v>
      </c>
      <c r="W141">
        <f t="shared" si="11"/>
        <v>7</v>
      </c>
      <c r="X141" t="s">
        <v>42</v>
      </c>
      <c r="Y141" t="s">
        <v>32</v>
      </c>
      <c r="Z141" t="s">
        <v>39</v>
      </c>
      <c r="AA141" t="s">
        <v>40</v>
      </c>
      <c r="AB141" t="s">
        <v>51</v>
      </c>
      <c r="AC141" t="s">
        <v>36</v>
      </c>
    </row>
    <row r="142" spans="1:29" x14ac:dyDescent="0.25">
      <c r="A142">
        <v>149</v>
      </c>
      <c r="B142">
        <v>15877</v>
      </c>
      <c r="C142">
        <v>0</v>
      </c>
      <c r="D142">
        <f t="shared" si="8"/>
        <v>15877</v>
      </c>
      <c r="E142" t="s">
        <v>49</v>
      </c>
      <c r="F142">
        <v>49</v>
      </c>
      <c r="G142" t="str" cm="1">
        <f t="array" ref="G142">_xlfn.IFS(F142&lt;25,"18-24",F142&lt;35,"25-35",F142&lt;45,"35-44",F142&lt;55,"44-54",F142&gt;=55,"55+")</f>
        <v>44-54</v>
      </c>
      <c r="H142" t="s">
        <v>30</v>
      </c>
      <c r="I142">
        <v>2</v>
      </c>
      <c r="J142" t="str" cm="1">
        <f t="array" ref="J142">_xlfn.IFS(I142&lt;=0,"No Dependents",I142&lt;=1,"One",I142&lt;=2,"Two",I142&gt;=3,"Third")</f>
        <v>Two</v>
      </c>
      <c r="K142">
        <v>605</v>
      </c>
      <c r="L142" t="str" cm="1">
        <f t="array" ref="L142">_xlfn.IFS(K142&lt;=580,"Poor",K142&lt;=670,"fair",K142&lt;=740,"Good",K142&lt;=800,"Very Good",K142&gt;=800,"Excellent")</f>
        <v>fair</v>
      </c>
      <c r="M142">
        <v>1</v>
      </c>
      <c r="N142" t="str">
        <f t="shared" si="9"/>
        <v>Yes</v>
      </c>
      <c r="O142">
        <v>0.22</v>
      </c>
      <c r="P142" t="str" cm="1">
        <f t="array" ref="P142">_xlfn.IFS(O142&lt;=0.3,"Low Risk",O142&lt;=0.4,"medium Risk",O142&lt;=0.5,"High Risk",O142&gt;0.5,"Very High Risk")</f>
        <v>Low Risk</v>
      </c>
      <c r="Q142">
        <v>897</v>
      </c>
      <c r="R142">
        <v>21143</v>
      </c>
      <c r="S142" t="str">
        <f t="shared" si="10"/>
        <v>Yes</v>
      </c>
      <c r="T142">
        <v>0</v>
      </c>
      <c r="U142" t="str" cm="1">
        <f t="array" ref="U142">_xlfn.IFS(T142&lt;5000,"Small",T142&lt;20000,"Medium",T142&lt;35000,"Large",T142&gt;35000,"Very Large")</f>
        <v>Small</v>
      </c>
      <c r="V142">
        <v>84</v>
      </c>
      <c r="W142">
        <f t="shared" si="11"/>
        <v>7</v>
      </c>
      <c r="X142" t="s">
        <v>50</v>
      </c>
      <c r="Y142" t="s">
        <v>45</v>
      </c>
      <c r="Z142" t="s">
        <v>33</v>
      </c>
      <c r="AA142" t="s">
        <v>40</v>
      </c>
      <c r="AB142" t="s">
        <v>35</v>
      </c>
      <c r="AC142" t="s">
        <v>36</v>
      </c>
    </row>
    <row r="143" spans="1:29" x14ac:dyDescent="0.25">
      <c r="A143">
        <v>150</v>
      </c>
      <c r="B143">
        <v>2854</v>
      </c>
      <c r="C143">
        <v>5392</v>
      </c>
      <c r="D143">
        <f t="shared" si="8"/>
        <v>8246</v>
      </c>
      <c r="E143" t="s">
        <v>29</v>
      </c>
      <c r="F143">
        <v>28</v>
      </c>
      <c r="G143" t="str" cm="1">
        <f t="array" ref="G143">_xlfn.IFS(F143&lt;25,"18-24",F143&lt;35,"25-35",F143&lt;45,"35-44",F143&lt;55,"44-54",F143&gt;=55,"55+")</f>
        <v>25-35</v>
      </c>
      <c r="H143" t="s">
        <v>41</v>
      </c>
      <c r="I143">
        <v>1</v>
      </c>
      <c r="J143" t="str" cm="1">
        <f t="array" ref="J143">_xlfn.IFS(I143&lt;=0,"No Dependents",I143&lt;=1,"One",I143&lt;=2,"Two",I143&gt;=3,"Third")</f>
        <v>One</v>
      </c>
      <c r="K143">
        <v>648</v>
      </c>
      <c r="L143" t="str" cm="1">
        <f t="array" ref="L143">_xlfn.IFS(K143&lt;=580,"Poor",K143&lt;=670,"fair",K143&lt;=740,"Good",K143&lt;=800,"Very Good",K143&gt;=800,"Excellent")</f>
        <v>fair</v>
      </c>
      <c r="M143">
        <v>4</v>
      </c>
      <c r="N143" t="str">
        <f t="shared" si="9"/>
        <v>Yes</v>
      </c>
      <c r="O143">
        <v>0.26</v>
      </c>
      <c r="P143" t="str" cm="1">
        <f t="array" ref="P143">_xlfn.IFS(O143&lt;=0.3,"Low Risk",O143&lt;=0.4,"medium Risk",O143&lt;=0.5,"High Risk",O143&gt;0.5,"Very High Risk")</f>
        <v>Low Risk</v>
      </c>
      <c r="Q143">
        <v>17094</v>
      </c>
      <c r="R143">
        <v>26091</v>
      </c>
      <c r="S143" t="str">
        <f t="shared" si="10"/>
        <v>Yes</v>
      </c>
      <c r="T143">
        <v>2701</v>
      </c>
      <c r="U143" t="str" cm="1">
        <f t="array" ref="U143">_xlfn.IFS(T143&lt;5000,"Small",T143&lt;20000,"Medium",T143&lt;35000,"Large",T143&gt;35000,"Very Large")</f>
        <v>Small</v>
      </c>
      <c r="V143">
        <v>48</v>
      </c>
      <c r="W143">
        <f t="shared" si="11"/>
        <v>4</v>
      </c>
      <c r="X143" t="s">
        <v>31</v>
      </c>
      <c r="Y143" t="s">
        <v>38</v>
      </c>
      <c r="Z143" t="s">
        <v>39</v>
      </c>
      <c r="AA143" t="s">
        <v>34</v>
      </c>
      <c r="AB143" t="s">
        <v>43</v>
      </c>
      <c r="AC143" t="s">
        <v>36</v>
      </c>
    </row>
    <row r="144" spans="1:29" x14ac:dyDescent="0.25">
      <c r="A144">
        <v>151</v>
      </c>
      <c r="B144">
        <v>7855</v>
      </c>
      <c r="C144">
        <v>7693</v>
      </c>
      <c r="D144">
        <f t="shared" si="8"/>
        <v>15548</v>
      </c>
      <c r="E144" t="s">
        <v>49</v>
      </c>
      <c r="F144">
        <v>39</v>
      </c>
      <c r="G144" t="str" cm="1">
        <f t="array" ref="G144">_xlfn.IFS(F144&lt;25,"18-24",F144&lt;35,"25-35",F144&lt;45,"35-44",F144&lt;55,"44-54",F144&gt;=55,"55+")</f>
        <v>35-44</v>
      </c>
      <c r="H144" t="s">
        <v>30</v>
      </c>
      <c r="I144">
        <v>3</v>
      </c>
      <c r="J144" t="str" cm="1">
        <f t="array" ref="J144">_xlfn.IFS(I144&lt;=0,"No Dependents",I144&lt;=1,"One",I144&lt;=2,"Two",I144&gt;=3,"Third")</f>
        <v>Third</v>
      </c>
      <c r="K144">
        <v>746</v>
      </c>
      <c r="L144" t="str" cm="1">
        <f t="array" ref="L144">_xlfn.IFS(K144&lt;=580,"Poor",K144&lt;=670,"fair",K144&lt;=740,"Good",K144&lt;=800,"Very Good",K144&gt;=800,"Excellent")</f>
        <v>Very Good</v>
      </c>
      <c r="M144">
        <v>3</v>
      </c>
      <c r="N144" t="str">
        <f t="shared" si="9"/>
        <v>Yes</v>
      </c>
      <c r="O144">
        <v>0.19</v>
      </c>
      <c r="P144" t="str" cm="1">
        <f t="array" ref="P144">_xlfn.IFS(O144&lt;=0.3,"Low Risk",O144&lt;=0.4,"medium Risk",O144&lt;=0.5,"High Risk",O144&gt;0.5,"Very High Risk")</f>
        <v>Low Risk</v>
      </c>
      <c r="Q144">
        <v>3695</v>
      </c>
      <c r="R144">
        <v>14179</v>
      </c>
      <c r="S144" t="str">
        <f t="shared" si="10"/>
        <v>Yes</v>
      </c>
      <c r="T144">
        <v>0</v>
      </c>
      <c r="U144" t="str" cm="1">
        <f t="array" ref="U144">_xlfn.IFS(T144&lt;5000,"Small",T144&lt;20000,"Medium",T144&lt;35000,"Large",T144&gt;35000,"Very Large")</f>
        <v>Small</v>
      </c>
      <c r="V144">
        <v>12</v>
      </c>
      <c r="W144">
        <f t="shared" si="11"/>
        <v>1</v>
      </c>
      <c r="X144" t="s">
        <v>42</v>
      </c>
      <c r="Y144" t="s">
        <v>45</v>
      </c>
      <c r="Z144" t="s">
        <v>39</v>
      </c>
      <c r="AA144" t="s">
        <v>40</v>
      </c>
      <c r="AB144" t="s">
        <v>35</v>
      </c>
      <c r="AC144" t="s">
        <v>44</v>
      </c>
    </row>
    <row r="145" spans="1:29" x14ac:dyDescent="0.25">
      <c r="A145">
        <v>152</v>
      </c>
      <c r="B145">
        <v>9392</v>
      </c>
      <c r="C145">
        <v>9374</v>
      </c>
      <c r="D145">
        <f t="shared" si="8"/>
        <v>18766</v>
      </c>
      <c r="E145" t="s">
        <v>49</v>
      </c>
      <c r="F145">
        <v>59</v>
      </c>
      <c r="G145" t="str" cm="1">
        <f t="array" ref="G145">_xlfn.IFS(F145&lt;25,"18-24",F145&lt;35,"25-35",F145&lt;45,"35-44",F145&lt;55,"44-54",F145&gt;=55,"55+")</f>
        <v>55+</v>
      </c>
      <c r="H145" t="s">
        <v>30</v>
      </c>
      <c r="I145">
        <v>2</v>
      </c>
      <c r="J145" t="str" cm="1">
        <f t="array" ref="J145">_xlfn.IFS(I145&lt;=0,"No Dependents",I145&lt;=1,"One",I145&lt;=2,"Two",I145&gt;=3,"Third")</f>
        <v>Two</v>
      </c>
      <c r="K145">
        <v>550</v>
      </c>
      <c r="L145" t="str" cm="1">
        <f t="array" ref="L145">_xlfn.IFS(K145&lt;=580,"Poor",K145&lt;=670,"fair",K145&lt;=740,"Good",K145&lt;=800,"Very Good",K145&gt;=800,"Excellent")</f>
        <v>Poor</v>
      </c>
      <c r="M145">
        <v>3</v>
      </c>
      <c r="N145" t="str">
        <f t="shared" si="9"/>
        <v>Yes</v>
      </c>
      <c r="O145">
        <v>0.35</v>
      </c>
      <c r="P145" t="str" cm="1">
        <f t="array" ref="P145">_xlfn.IFS(O145&lt;=0.3,"Low Risk",O145&lt;=0.4,"medium Risk",O145&lt;=0.5,"High Risk",O145&gt;0.5,"Very High Risk")</f>
        <v>medium Risk</v>
      </c>
      <c r="Q145">
        <v>2686</v>
      </c>
      <c r="R145">
        <v>32807</v>
      </c>
      <c r="S145" t="str">
        <f t="shared" si="10"/>
        <v>Yes</v>
      </c>
      <c r="T145">
        <v>16100</v>
      </c>
      <c r="U145" t="str" cm="1">
        <f t="array" ref="U145">_xlfn.IFS(T145&lt;5000,"Small",T145&lt;20000,"Medium",T145&lt;35000,"Large",T145&gt;35000,"Very Large")</f>
        <v>Medium</v>
      </c>
      <c r="V145">
        <v>36</v>
      </c>
      <c r="W145">
        <f t="shared" si="11"/>
        <v>3</v>
      </c>
      <c r="X145" t="s">
        <v>50</v>
      </c>
      <c r="Y145" t="s">
        <v>45</v>
      </c>
      <c r="Z145" t="s">
        <v>39</v>
      </c>
      <c r="AA145" t="s">
        <v>34</v>
      </c>
      <c r="AB145" t="s">
        <v>35</v>
      </c>
      <c r="AC145" t="s">
        <v>44</v>
      </c>
    </row>
    <row r="146" spans="1:29" x14ac:dyDescent="0.25">
      <c r="A146">
        <v>153</v>
      </c>
      <c r="B146">
        <v>15949</v>
      </c>
      <c r="C146">
        <v>3223</v>
      </c>
      <c r="D146">
        <f t="shared" si="8"/>
        <v>19172</v>
      </c>
      <c r="E146" t="s">
        <v>46</v>
      </c>
      <c r="F146">
        <v>48</v>
      </c>
      <c r="G146" t="str" cm="1">
        <f t="array" ref="G146">_xlfn.IFS(F146&lt;25,"18-24",F146&lt;35,"25-35",F146&lt;45,"35-44",F146&lt;55,"44-54",F146&gt;=55,"55+")</f>
        <v>44-54</v>
      </c>
      <c r="H146" t="s">
        <v>30</v>
      </c>
      <c r="I146">
        <v>3</v>
      </c>
      <c r="J146" t="str" cm="1">
        <f t="array" ref="J146">_xlfn.IFS(I146&lt;=0,"No Dependents",I146&lt;=1,"One",I146&lt;=2,"Two",I146&gt;=3,"Third")</f>
        <v>Third</v>
      </c>
      <c r="K146">
        <v>659</v>
      </c>
      <c r="L146" t="str" cm="1">
        <f t="array" ref="L146">_xlfn.IFS(K146&lt;=580,"Poor",K146&lt;=670,"fair",K146&lt;=740,"Good",K146&lt;=800,"Very Good",K146&gt;=800,"Excellent")</f>
        <v>fair</v>
      </c>
      <c r="M146">
        <v>4</v>
      </c>
      <c r="N146" t="str">
        <f t="shared" si="9"/>
        <v>Yes</v>
      </c>
      <c r="O146">
        <v>0.18</v>
      </c>
      <c r="P146" t="str" cm="1">
        <f t="array" ref="P146">_xlfn.IFS(O146&lt;=0.3,"Low Risk",O146&lt;=0.4,"medium Risk",O146&lt;=0.5,"High Risk",O146&gt;0.5,"Very High Risk")</f>
        <v>Low Risk</v>
      </c>
      <c r="Q146">
        <v>5778</v>
      </c>
      <c r="R146">
        <v>10222</v>
      </c>
      <c r="S146" t="str">
        <f t="shared" si="10"/>
        <v>Yes</v>
      </c>
      <c r="T146">
        <v>1947</v>
      </c>
      <c r="U146" t="str" cm="1">
        <f t="array" ref="U146">_xlfn.IFS(T146&lt;5000,"Small",T146&lt;20000,"Medium",T146&lt;35000,"Large",T146&gt;35000,"Very Large")</f>
        <v>Small</v>
      </c>
      <c r="V146">
        <v>24</v>
      </c>
      <c r="W146">
        <f t="shared" si="11"/>
        <v>2</v>
      </c>
      <c r="X146" t="s">
        <v>31</v>
      </c>
      <c r="Y146" t="s">
        <v>45</v>
      </c>
      <c r="Z146" t="s">
        <v>33</v>
      </c>
      <c r="AA146" t="s">
        <v>34</v>
      </c>
      <c r="AB146" t="s">
        <v>51</v>
      </c>
      <c r="AC146" t="s">
        <v>44</v>
      </c>
    </row>
    <row r="147" spans="1:29" x14ac:dyDescent="0.25">
      <c r="A147">
        <v>154</v>
      </c>
      <c r="B147">
        <v>7791</v>
      </c>
      <c r="C147">
        <v>7138</v>
      </c>
      <c r="D147">
        <f t="shared" si="8"/>
        <v>14929</v>
      </c>
      <c r="E147" t="s">
        <v>49</v>
      </c>
      <c r="F147">
        <v>47</v>
      </c>
      <c r="G147" t="str" cm="1">
        <f t="array" ref="G147">_xlfn.IFS(F147&lt;25,"18-24",F147&lt;35,"25-35",F147&lt;45,"35-44",F147&lt;55,"44-54",F147&gt;=55,"55+")</f>
        <v>44-54</v>
      </c>
      <c r="H147" t="s">
        <v>30</v>
      </c>
      <c r="I147">
        <v>2</v>
      </c>
      <c r="J147" t="str" cm="1">
        <f t="array" ref="J147">_xlfn.IFS(I147&lt;=0,"No Dependents",I147&lt;=1,"One",I147&lt;=2,"Two",I147&gt;=3,"Third")</f>
        <v>Two</v>
      </c>
      <c r="K147">
        <v>775</v>
      </c>
      <c r="L147" t="str" cm="1">
        <f t="array" ref="L147">_xlfn.IFS(K147&lt;=580,"Poor",K147&lt;=670,"fair",K147&lt;=740,"Good",K147&lt;=800,"Very Good",K147&gt;=800,"Excellent")</f>
        <v>Very Good</v>
      </c>
      <c r="M147">
        <v>1</v>
      </c>
      <c r="N147" t="str">
        <f t="shared" si="9"/>
        <v>Yes</v>
      </c>
      <c r="O147">
        <v>0.28000000000000003</v>
      </c>
      <c r="P147" t="str" cm="1">
        <f t="array" ref="P147">_xlfn.IFS(O147&lt;=0.3,"Low Risk",O147&lt;=0.4,"medium Risk",O147&lt;=0.5,"High Risk",O147&gt;0.5,"Very High Risk")</f>
        <v>Low Risk</v>
      </c>
      <c r="Q147">
        <v>0</v>
      </c>
      <c r="R147">
        <v>23949</v>
      </c>
      <c r="S147" t="str">
        <f t="shared" si="10"/>
        <v>Yes</v>
      </c>
      <c r="T147">
        <v>21505</v>
      </c>
      <c r="U147" t="str" cm="1">
        <f t="array" ref="U147">_xlfn.IFS(T147&lt;5000,"Small",T147&lt;20000,"Medium",T147&lt;35000,"Large",T147&gt;35000,"Very Large")</f>
        <v>Large</v>
      </c>
      <c r="V147">
        <v>48</v>
      </c>
      <c r="W147">
        <f t="shared" si="11"/>
        <v>4</v>
      </c>
      <c r="X147" t="s">
        <v>42</v>
      </c>
      <c r="Y147" t="s">
        <v>45</v>
      </c>
      <c r="Z147" t="s">
        <v>33</v>
      </c>
      <c r="AA147" t="s">
        <v>40</v>
      </c>
      <c r="AB147" t="s">
        <v>51</v>
      </c>
      <c r="AC147" t="s">
        <v>44</v>
      </c>
    </row>
    <row r="148" spans="1:29" x14ac:dyDescent="0.25">
      <c r="A148">
        <v>155</v>
      </c>
      <c r="B148">
        <v>6931</v>
      </c>
      <c r="C148">
        <v>2667</v>
      </c>
      <c r="D148">
        <f t="shared" si="8"/>
        <v>9598</v>
      </c>
      <c r="E148" t="s">
        <v>49</v>
      </c>
      <c r="F148">
        <v>24</v>
      </c>
      <c r="G148" t="str" cm="1">
        <f t="array" ref="G148">_xlfn.IFS(F148&lt;25,"18-24",F148&lt;35,"25-35",F148&lt;45,"35-44",F148&lt;55,"44-54",F148&gt;=55,"55+")</f>
        <v>18-24</v>
      </c>
      <c r="H148" t="s">
        <v>30</v>
      </c>
      <c r="I148">
        <v>2</v>
      </c>
      <c r="J148" t="str" cm="1">
        <f t="array" ref="J148">_xlfn.IFS(I148&lt;=0,"No Dependents",I148&lt;=1,"One",I148&lt;=2,"Two",I148&gt;=3,"Third")</f>
        <v>Two</v>
      </c>
      <c r="K148">
        <v>626</v>
      </c>
      <c r="L148" t="str" cm="1">
        <f t="array" ref="L148">_xlfn.IFS(K148&lt;=580,"Poor",K148&lt;=670,"fair",K148&lt;=740,"Good",K148&lt;=800,"Very Good",K148&gt;=800,"Excellent")</f>
        <v>fair</v>
      </c>
      <c r="M148">
        <v>4</v>
      </c>
      <c r="N148" t="str">
        <f t="shared" si="9"/>
        <v>Yes</v>
      </c>
      <c r="O148">
        <v>0.45</v>
      </c>
      <c r="P148" t="str" cm="1">
        <f t="array" ref="P148">_xlfn.IFS(O148&lt;=0.3,"Low Risk",O148&lt;=0.4,"medium Risk",O148&lt;=0.5,"High Risk",O148&gt;0.5,"Very High Risk")</f>
        <v>High Risk</v>
      </c>
      <c r="Q148">
        <v>16799</v>
      </c>
      <c r="R148">
        <v>16116</v>
      </c>
      <c r="S148" t="str">
        <f t="shared" si="10"/>
        <v>Yes</v>
      </c>
      <c r="T148">
        <v>7553</v>
      </c>
      <c r="U148" t="str" cm="1">
        <f t="array" ref="U148">_xlfn.IFS(T148&lt;5000,"Small",T148&lt;20000,"Medium",T148&lt;35000,"Large",T148&gt;35000,"Very Large")</f>
        <v>Medium</v>
      </c>
      <c r="V148">
        <v>24</v>
      </c>
      <c r="W148">
        <f t="shared" si="11"/>
        <v>2</v>
      </c>
      <c r="X148" t="s">
        <v>50</v>
      </c>
      <c r="Y148" t="s">
        <v>32</v>
      </c>
      <c r="Z148" t="s">
        <v>39</v>
      </c>
      <c r="AA148" t="s">
        <v>40</v>
      </c>
      <c r="AB148" t="s">
        <v>42</v>
      </c>
      <c r="AC148" t="s">
        <v>36</v>
      </c>
    </row>
    <row r="149" spans="1:29" x14ac:dyDescent="0.25">
      <c r="A149">
        <v>156</v>
      </c>
      <c r="B149">
        <v>2202</v>
      </c>
      <c r="C149">
        <v>7980</v>
      </c>
      <c r="D149">
        <f t="shared" si="8"/>
        <v>10182</v>
      </c>
      <c r="E149" t="s">
        <v>29</v>
      </c>
      <c r="F149">
        <v>35</v>
      </c>
      <c r="G149" t="str" cm="1">
        <f t="array" ref="G149">_xlfn.IFS(F149&lt;25,"18-24",F149&lt;35,"25-35",F149&lt;45,"35-44",F149&lt;55,"44-54",F149&gt;=55,"55+")</f>
        <v>35-44</v>
      </c>
      <c r="H149" t="s">
        <v>41</v>
      </c>
      <c r="I149">
        <v>1</v>
      </c>
      <c r="J149" t="str" cm="1">
        <f t="array" ref="J149">_xlfn.IFS(I149&lt;=0,"No Dependents",I149&lt;=1,"One",I149&lt;=2,"Two",I149&gt;=3,"Third")</f>
        <v>One</v>
      </c>
      <c r="K149">
        <v>652</v>
      </c>
      <c r="L149" t="str" cm="1">
        <f t="array" ref="L149">_xlfn.IFS(K149&lt;=580,"Poor",K149&lt;=670,"fair",K149&lt;=740,"Good",K149&lt;=800,"Very Good",K149&gt;=800,"Excellent")</f>
        <v>fair</v>
      </c>
      <c r="M149">
        <v>0</v>
      </c>
      <c r="N149" t="str">
        <f t="shared" si="9"/>
        <v>No</v>
      </c>
      <c r="O149">
        <v>0.38</v>
      </c>
      <c r="P149" t="str" cm="1">
        <f t="array" ref="P149">_xlfn.IFS(O149&lt;=0.3,"Low Risk",O149&lt;=0.4,"medium Risk",O149&lt;=0.5,"High Risk",O149&gt;0.5,"Very High Risk")</f>
        <v>medium Risk</v>
      </c>
      <c r="Q149">
        <v>9663</v>
      </c>
      <c r="R149">
        <v>48817</v>
      </c>
      <c r="S149" t="str">
        <f t="shared" si="10"/>
        <v>Yes</v>
      </c>
      <c r="T149">
        <v>34525</v>
      </c>
      <c r="U149" t="str" cm="1">
        <f t="array" ref="U149">_xlfn.IFS(T149&lt;5000,"Small",T149&lt;20000,"Medium",T149&lt;35000,"Large",T149&gt;35000,"Very Large")</f>
        <v>Large</v>
      </c>
      <c r="V149">
        <v>48</v>
      </c>
      <c r="W149">
        <f t="shared" si="11"/>
        <v>4</v>
      </c>
      <c r="X149" t="s">
        <v>37</v>
      </c>
      <c r="Y149" t="s">
        <v>32</v>
      </c>
      <c r="Z149" t="s">
        <v>39</v>
      </c>
      <c r="AA149" t="s">
        <v>34</v>
      </c>
      <c r="AB149" t="s">
        <v>42</v>
      </c>
      <c r="AC149" t="s">
        <v>36</v>
      </c>
    </row>
    <row r="150" spans="1:29" x14ac:dyDescent="0.25">
      <c r="A150">
        <v>157</v>
      </c>
      <c r="B150">
        <v>13447</v>
      </c>
      <c r="C150">
        <v>130</v>
      </c>
      <c r="D150">
        <f t="shared" si="8"/>
        <v>13577</v>
      </c>
      <c r="E150" t="s">
        <v>46</v>
      </c>
      <c r="F150">
        <v>55</v>
      </c>
      <c r="G150" t="str" cm="1">
        <f t="array" ref="G150">_xlfn.IFS(F150&lt;25,"18-24",F150&lt;35,"25-35",F150&lt;45,"35-44",F150&lt;55,"44-54",F150&gt;=55,"55+")</f>
        <v>55+</v>
      </c>
      <c r="H150" t="s">
        <v>30</v>
      </c>
      <c r="I150">
        <v>2</v>
      </c>
      <c r="J150" t="str" cm="1">
        <f t="array" ref="J150">_xlfn.IFS(I150&lt;=0,"No Dependents",I150&lt;=1,"One",I150&lt;=2,"Two",I150&gt;=3,"Third")</f>
        <v>Two</v>
      </c>
      <c r="K150">
        <v>655</v>
      </c>
      <c r="L150" t="str" cm="1">
        <f t="array" ref="L150">_xlfn.IFS(K150&lt;=580,"Poor",K150&lt;=670,"fair",K150&lt;=740,"Good",K150&lt;=800,"Very Good",K150&gt;=800,"Excellent")</f>
        <v>fair</v>
      </c>
      <c r="M150">
        <v>3</v>
      </c>
      <c r="N150" t="str">
        <f t="shared" si="9"/>
        <v>Yes</v>
      </c>
      <c r="O150">
        <v>0.28999999999999998</v>
      </c>
      <c r="P150" t="str" cm="1">
        <f t="array" ref="P150">_xlfn.IFS(O150&lt;=0.3,"Low Risk",O150&lt;=0.4,"medium Risk",O150&lt;=0.5,"High Risk",O150&gt;0.5,"Very High Risk")</f>
        <v>Low Risk</v>
      </c>
      <c r="Q150">
        <v>4180</v>
      </c>
      <c r="R150">
        <v>37564</v>
      </c>
      <c r="S150" t="str">
        <f t="shared" si="10"/>
        <v>Yes</v>
      </c>
      <c r="T150">
        <v>15866</v>
      </c>
      <c r="U150" t="str" cm="1">
        <f t="array" ref="U150">_xlfn.IFS(T150&lt;5000,"Small",T150&lt;20000,"Medium",T150&lt;35000,"Large",T150&gt;35000,"Very Large")</f>
        <v>Medium</v>
      </c>
      <c r="V150">
        <v>84</v>
      </c>
      <c r="W150">
        <f t="shared" si="11"/>
        <v>7</v>
      </c>
      <c r="X150" t="s">
        <v>50</v>
      </c>
      <c r="Y150" t="s">
        <v>32</v>
      </c>
      <c r="Z150" t="s">
        <v>33</v>
      </c>
      <c r="AA150" t="s">
        <v>34</v>
      </c>
      <c r="AB150" t="s">
        <v>43</v>
      </c>
      <c r="AC150" t="s">
        <v>44</v>
      </c>
    </row>
    <row r="151" spans="1:29" x14ac:dyDescent="0.25">
      <c r="A151">
        <v>158</v>
      </c>
      <c r="B151">
        <v>14688</v>
      </c>
      <c r="C151">
        <v>2983</v>
      </c>
      <c r="D151">
        <f t="shared" si="8"/>
        <v>17671</v>
      </c>
      <c r="E151" t="s">
        <v>29</v>
      </c>
      <c r="F151">
        <v>57</v>
      </c>
      <c r="G151" t="str" cm="1">
        <f t="array" ref="G151">_xlfn.IFS(F151&lt;25,"18-24",F151&lt;35,"25-35",F151&lt;45,"35-44",F151&lt;55,"44-54",F151&gt;=55,"55+")</f>
        <v>55+</v>
      </c>
      <c r="H151" t="s">
        <v>41</v>
      </c>
      <c r="I151">
        <v>0</v>
      </c>
      <c r="J151" t="str" cm="1">
        <f t="array" ref="J151">_xlfn.IFS(I151&lt;=0,"No Dependents",I151&lt;=1,"One",I151&lt;=2,"Two",I151&gt;=3,"Third")</f>
        <v>No Dependents</v>
      </c>
      <c r="K151">
        <v>658</v>
      </c>
      <c r="L151" t="str" cm="1">
        <f t="array" ref="L151">_xlfn.IFS(K151&lt;=580,"Poor",K151&lt;=670,"fair",K151&lt;=740,"Good",K151&lt;=800,"Very Good",K151&gt;=800,"Excellent")</f>
        <v>fair</v>
      </c>
      <c r="M151">
        <v>0</v>
      </c>
      <c r="N151" t="str">
        <f t="shared" si="9"/>
        <v>No</v>
      </c>
      <c r="O151">
        <v>0.31</v>
      </c>
      <c r="P151" t="str" cm="1">
        <f t="array" ref="P151">_xlfn.IFS(O151&lt;=0.3,"Low Risk",O151&lt;=0.4,"medium Risk",O151&lt;=0.5,"High Risk",O151&gt;0.5,"Very High Risk")</f>
        <v>medium Risk</v>
      </c>
      <c r="Q151">
        <v>4262</v>
      </c>
      <c r="R151">
        <v>37374</v>
      </c>
      <c r="S151" t="str">
        <f t="shared" si="10"/>
        <v>Yes</v>
      </c>
      <c r="T151">
        <v>31472</v>
      </c>
      <c r="U151" t="str" cm="1">
        <f t="array" ref="U151">_xlfn.IFS(T151&lt;5000,"Small",T151&lt;20000,"Medium",T151&lt;35000,"Large",T151&gt;35000,"Very Large")</f>
        <v>Large</v>
      </c>
      <c r="V151">
        <v>60</v>
      </c>
      <c r="W151">
        <f t="shared" si="11"/>
        <v>5</v>
      </c>
      <c r="X151" t="s">
        <v>42</v>
      </c>
      <c r="Y151" t="s">
        <v>32</v>
      </c>
      <c r="Z151" t="s">
        <v>33</v>
      </c>
      <c r="AA151" t="s">
        <v>34</v>
      </c>
      <c r="AB151" t="s">
        <v>43</v>
      </c>
      <c r="AC151" t="s">
        <v>44</v>
      </c>
    </row>
    <row r="152" spans="1:29" x14ac:dyDescent="0.25">
      <c r="A152">
        <v>159</v>
      </c>
      <c r="B152">
        <v>6389</v>
      </c>
      <c r="C152">
        <v>0</v>
      </c>
      <c r="D152">
        <f t="shared" si="8"/>
        <v>6389</v>
      </c>
      <c r="E152" t="s">
        <v>29</v>
      </c>
      <c r="F152">
        <v>40</v>
      </c>
      <c r="G152" t="str" cm="1">
        <f t="array" ref="G152">_xlfn.IFS(F152&lt;25,"18-24",F152&lt;35,"25-35",F152&lt;45,"35-44",F152&lt;55,"44-54",F152&gt;=55,"55+")</f>
        <v>35-44</v>
      </c>
      <c r="H152" t="s">
        <v>30</v>
      </c>
      <c r="I152">
        <v>0</v>
      </c>
      <c r="J152" t="str" cm="1">
        <f t="array" ref="J152">_xlfn.IFS(I152&lt;=0,"No Dependents",I152&lt;=1,"One",I152&lt;=2,"Two",I152&gt;=3,"Third")</f>
        <v>No Dependents</v>
      </c>
      <c r="K152">
        <v>661</v>
      </c>
      <c r="L152" t="str" cm="1">
        <f t="array" ref="L152">_xlfn.IFS(K152&lt;=580,"Poor",K152&lt;=670,"fair",K152&lt;=740,"Good",K152&lt;=800,"Very Good",K152&gt;=800,"Excellent")</f>
        <v>fair</v>
      </c>
      <c r="M152">
        <v>0</v>
      </c>
      <c r="N152" t="str">
        <f t="shared" si="9"/>
        <v>No</v>
      </c>
      <c r="O152">
        <v>0.38</v>
      </c>
      <c r="P152" t="str" cm="1">
        <f t="array" ref="P152">_xlfn.IFS(O152&lt;=0.3,"Low Risk",O152&lt;=0.4,"medium Risk",O152&lt;=0.5,"High Risk",O152&gt;0.5,"Very High Risk")</f>
        <v>medium Risk</v>
      </c>
      <c r="Q152">
        <v>2515</v>
      </c>
      <c r="R152">
        <v>17667</v>
      </c>
      <c r="S152" t="str">
        <f t="shared" si="10"/>
        <v>Yes</v>
      </c>
      <c r="T152">
        <v>6651</v>
      </c>
      <c r="U152" t="str" cm="1">
        <f t="array" ref="U152">_xlfn.IFS(T152&lt;5000,"Small",T152&lt;20000,"Medium",T152&lt;35000,"Large",T152&gt;35000,"Very Large")</f>
        <v>Medium</v>
      </c>
      <c r="V152">
        <v>24</v>
      </c>
      <c r="W152">
        <f t="shared" si="11"/>
        <v>2</v>
      </c>
      <c r="X152" t="s">
        <v>31</v>
      </c>
      <c r="Y152" t="s">
        <v>32</v>
      </c>
      <c r="Z152" t="s">
        <v>39</v>
      </c>
      <c r="AA152" t="s">
        <v>40</v>
      </c>
      <c r="AB152" t="s">
        <v>42</v>
      </c>
      <c r="AC152" t="s">
        <v>44</v>
      </c>
    </row>
    <row r="153" spans="1:29" x14ac:dyDescent="0.25">
      <c r="A153">
        <v>160</v>
      </c>
      <c r="B153">
        <v>4327</v>
      </c>
      <c r="C153">
        <v>7126</v>
      </c>
      <c r="D153">
        <f t="shared" si="8"/>
        <v>11453</v>
      </c>
      <c r="E153" t="s">
        <v>46</v>
      </c>
      <c r="F153">
        <v>23</v>
      </c>
      <c r="G153" t="str" cm="1">
        <f t="array" ref="G153">_xlfn.IFS(F153&lt;25,"18-24",F153&lt;35,"25-35",F153&lt;45,"35-44",F153&lt;55,"44-54",F153&gt;=55,"55+")</f>
        <v>18-24</v>
      </c>
      <c r="H153" t="s">
        <v>30</v>
      </c>
      <c r="I153">
        <v>1</v>
      </c>
      <c r="J153" t="str" cm="1">
        <f t="array" ref="J153">_xlfn.IFS(I153&lt;=0,"No Dependents",I153&lt;=1,"One",I153&lt;=2,"Two",I153&gt;=3,"Third")</f>
        <v>One</v>
      </c>
      <c r="K153">
        <v>607</v>
      </c>
      <c r="L153" t="str" cm="1">
        <f t="array" ref="L153">_xlfn.IFS(K153&lt;=580,"Poor",K153&lt;=670,"fair",K153&lt;=740,"Good",K153&lt;=800,"Very Good",K153&gt;=800,"Excellent")</f>
        <v>fair</v>
      </c>
      <c r="M153">
        <v>0</v>
      </c>
      <c r="N153" t="str">
        <f t="shared" si="9"/>
        <v>No</v>
      </c>
      <c r="O153">
        <v>0.1</v>
      </c>
      <c r="P153" t="str" cm="1">
        <f t="array" ref="P153">_xlfn.IFS(O153&lt;=0.3,"Low Risk",O153&lt;=0.4,"medium Risk",O153&lt;=0.5,"High Risk",O153&gt;0.5,"Very High Risk")</f>
        <v>Low Risk</v>
      </c>
      <c r="Q153">
        <v>11236</v>
      </c>
      <c r="R153">
        <v>8775</v>
      </c>
      <c r="S153" t="str">
        <f t="shared" si="10"/>
        <v>Yes</v>
      </c>
      <c r="T153">
        <v>8273</v>
      </c>
      <c r="U153" t="str" cm="1">
        <f t="array" ref="U153">_xlfn.IFS(T153&lt;5000,"Small",T153&lt;20000,"Medium",T153&lt;35000,"Large",T153&gt;35000,"Very Large")</f>
        <v>Medium</v>
      </c>
      <c r="V153">
        <v>60</v>
      </c>
      <c r="W153">
        <f t="shared" si="11"/>
        <v>5</v>
      </c>
      <c r="X153" t="s">
        <v>37</v>
      </c>
      <c r="Y153" t="s">
        <v>45</v>
      </c>
      <c r="Z153" t="s">
        <v>33</v>
      </c>
      <c r="AA153" t="s">
        <v>34</v>
      </c>
      <c r="AB153" t="s">
        <v>35</v>
      </c>
      <c r="AC153" t="s">
        <v>36</v>
      </c>
    </row>
    <row r="154" spans="1:29" x14ac:dyDescent="0.25">
      <c r="A154">
        <v>161</v>
      </c>
      <c r="B154">
        <v>10004</v>
      </c>
      <c r="C154">
        <v>8230</v>
      </c>
      <c r="D154">
        <f t="shared" si="8"/>
        <v>18234</v>
      </c>
      <c r="E154" t="s">
        <v>49</v>
      </c>
      <c r="F154">
        <v>44</v>
      </c>
      <c r="G154" t="str" cm="1">
        <f t="array" ref="G154">_xlfn.IFS(F154&lt;25,"18-24",F154&lt;35,"25-35",F154&lt;45,"35-44",F154&lt;55,"44-54",F154&gt;=55,"55+")</f>
        <v>35-44</v>
      </c>
      <c r="H154" t="s">
        <v>30</v>
      </c>
      <c r="I154">
        <v>3</v>
      </c>
      <c r="J154" t="str" cm="1">
        <f t="array" ref="J154">_xlfn.IFS(I154&lt;=0,"No Dependents",I154&lt;=1,"One",I154&lt;=2,"Two",I154&gt;=3,"Third")</f>
        <v>Third</v>
      </c>
      <c r="K154">
        <v>627</v>
      </c>
      <c r="L154" t="str" cm="1">
        <f t="array" ref="L154">_xlfn.IFS(K154&lt;=580,"Poor",K154&lt;=670,"fair",K154&lt;=740,"Good",K154&lt;=800,"Very Good",K154&gt;=800,"Excellent")</f>
        <v>fair</v>
      </c>
      <c r="M154">
        <v>4</v>
      </c>
      <c r="N154" t="str">
        <f t="shared" si="9"/>
        <v>Yes</v>
      </c>
      <c r="O154">
        <v>0.14000000000000001</v>
      </c>
      <c r="P154" t="str" cm="1">
        <f t="array" ref="P154">_xlfn.IFS(O154&lt;=0.3,"Low Risk",O154&lt;=0.4,"medium Risk",O154&lt;=0.5,"High Risk",O154&gt;0.5,"Very High Risk")</f>
        <v>Low Risk</v>
      </c>
      <c r="Q154">
        <v>14104</v>
      </c>
      <c r="R154">
        <v>29655</v>
      </c>
      <c r="S154" t="str">
        <f t="shared" si="10"/>
        <v>Yes</v>
      </c>
      <c r="T154">
        <v>11033</v>
      </c>
      <c r="U154" t="str" cm="1">
        <f t="array" ref="U154">_xlfn.IFS(T154&lt;5000,"Small",T154&lt;20000,"Medium",T154&lt;35000,"Large",T154&gt;35000,"Very Large")</f>
        <v>Medium</v>
      </c>
      <c r="V154">
        <v>72</v>
      </c>
      <c r="W154">
        <f t="shared" si="11"/>
        <v>6</v>
      </c>
      <c r="X154" t="s">
        <v>50</v>
      </c>
      <c r="Y154" t="s">
        <v>32</v>
      </c>
      <c r="Z154" t="s">
        <v>39</v>
      </c>
      <c r="AA154" t="s">
        <v>40</v>
      </c>
      <c r="AB154" t="s">
        <v>35</v>
      </c>
      <c r="AC154" t="s">
        <v>36</v>
      </c>
    </row>
    <row r="155" spans="1:29" x14ac:dyDescent="0.25">
      <c r="A155">
        <v>162</v>
      </c>
      <c r="B155">
        <v>9777</v>
      </c>
      <c r="C155">
        <v>7694</v>
      </c>
      <c r="D155">
        <f t="shared" si="8"/>
        <v>17471</v>
      </c>
      <c r="E155" t="s">
        <v>29</v>
      </c>
      <c r="F155">
        <v>47</v>
      </c>
      <c r="G155" t="str" cm="1">
        <f t="array" ref="G155">_xlfn.IFS(F155&lt;25,"18-24",F155&lt;35,"25-35",F155&lt;45,"35-44",F155&lt;55,"44-54",F155&gt;=55,"55+")</f>
        <v>44-54</v>
      </c>
      <c r="H155" t="s">
        <v>30</v>
      </c>
      <c r="I155">
        <v>3</v>
      </c>
      <c r="J155" t="str" cm="1">
        <f t="array" ref="J155">_xlfn.IFS(I155&lt;=0,"No Dependents",I155&lt;=1,"One",I155&lt;=2,"Two",I155&gt;=3,"Third")</f>
        <v>Third</v>
      </c>
      <c r="K155">
        <v>624</v>
      </c>
      <c r="L155" t="str" cm="1">
        <f t="array" ref="L155">_xlfn.IFS(K155&lt;=580,"Poor",K155&lt;=670,"fair",K155&lt;=740,"Good",K155&lt;=800,"Very Good",K155&gt;=800,"Excellent")</f>
        <v>fair</v>
      </c>
      <c r="M155">
        <v>1</v>
      </c>
      <c r="N155" t="str">
        <f t="shared" si="9"/>
        <v>Yes</v>
      </c>
      <c r="O155">
        <v>0.54</v>
      </c>
      <c r="P155" t="str" cm="1">
        <f t="array" ref="P155">_xlfn.IFS(O155&lt;=0.3,"Low Risk",O155&lt;=0.4,"medium Risk",O155&lt;=0.5,"High Risk",O155&gt;0.5,"Very High Risk")</f>
        <v>Very High Risk</v>
      </c>
      <c r="Q155">
        <v>6616</v>
      </c>
      <c r="R155">
        <v>47632</v>
      </c>
      <c r="S155" t="str">
        <f t="shared" si="10"/>
        <v>Yes</v>
      </c>
      <c r="T155">
        <v>4535</v>
      </c>
      <c r="U155" t="str" cm="1">
        <f t="array" ref="U155">_xlfn.IFS(T155&lt;5000,"Small",T155&lt;20000,"Medium",T155&lt;35000,"Large",T155&gt;35000,"Very Large")</f>
        <v>Small</v>
      </c>
      <c r="V155">
        <v>72</v>
      </c>
      <c r="W155">
        <f t="shared" si="11"/>
        <v>6</v>
      </c>
      <c r="X155" t="s">
        <v>37</v>
      </c>
      <c r="Y155" t="s">
        <v>32</v>
      </c>
      <c r="Z155" t="s">
        <v>39</v>
      </c>
      <c r="AA155" t="s">
        <v>40</v>
      </c>
      <c r="AB155" t="s">
        <v>48</v>
      </c>
      <c r="AC155" t="s">
        <v>36</v>
      </c>
    </row>
    <row r="156" spans="1:29" x14ac:dyDescent="0.25">
      <c r="A156">
        <v>163</v>
      </c>
      <c r="B156">
        <v>2197</v>
      </c>
      <c r="C156">
        <v>6640</v>
      </c>
      <c r="D156">
        <f t="shared" si="8"/>
        <v>8837</v>
      </c>
      <c r="E156" t="s">
        <v>29</v>
      </c>
      <c r="F156">
        <v>56</v>
      </c>
      <c r="G156" t="str" cm="1">
        <f t="array" ref="G156">_xlfn.IFS(F156&lt;25,"18-24",F156&lt;35,"25-35",F156&lt;45,"35-44",F156&lt;55,"44-54",F156&gt;=55,"55+")</f>
        <v>55+</v>
      </c>
      <c r="H156" t="s">
        <v>30</v>
      </c>
      <c r="I156">
        <v>3</v>
      </c>
      <c r="J156" t="str" cm="1">
        <f t="array" ref="J156">_xlfn.IFS(I156&lt;=0,"No Dependents",I156&lt;=1,"One",I156&lt;=2,"Two",I156&gt;=3,"Third")</f>
        <v>Third</v>
      </c>
      <c r="K156">
        <v>550</v>
      </c>
      <c r="L156" t="str" cm="1">
        <f t="array" ref="L156">_xlfn.IFS(K156&lt;=580,"Poor",K156&lt;=670,"fair",K156&lt;=740,"Good",K156&lt;=800,"Very Good",K156&gt;=800,"Excellent")</f>
        <v>Poor</v>
      </c>
      <c r="M156">
        <v>0</v>
      </c>
      <c r="N156" t="str">
        <f t="shared" si="9"/>
        <v>No</v>
      </c>
      <c r="O156">
        <v>0.14000000000000001</v>
      </c>
      <c r="P156" t="str" cm="1">
        <f t="array" ref="P156">_xlfn.IFS(O156&lt;=0.3,"Low Risk",O156&lt;=0.4,"medium Risk",O156&lt;=0.5,"High Risk",O156&gt;0.5,"Very High Risk")</f>
        <v>Low Risk</v>
      </c>
      <c r="Q156">
        <v>17376</v>
      </c>
      <c r="R156">
        <v>14193</v>
      </c>
      <c r="S156" t="str">
        <f t="shared" si="10"/>
        <v>Yes</v>
      </c>
      <c r="T156">
        <v>19677</v>
      </c>
      <c r="U156" t="str" cm="1">
        <f t="array" ref="U156">_xlfn.IFS(T156&lt;5000,"Small",T156&lt;20000,"Medium",T156&lt;35000,"Large",T156&gt;35000,"Very Large")</f>
        <v>Medium</v>
      </c>
      <c r="V156">
        <v>84</v>
      </c>
      <c r="W156">
        <f t="shared" si="11"/>
        <v>7</v>
      </c>
      <c r="X156" t="s">
        <v>50</v>
      </c>
      <c r="Y156" t="s">
        <v>45</v>
      </c>
      <c r="Z156" t="s">
        <v>33</v>
      </c>
      <c r="AA156" t="s">
        <v>40</v>
      </c>
      <c r="AB156" t="s">
        <v>35</v>
      </c>
      <c r="AC156" t="s">
        <v>36</v>
      </c>
    </row>
    <row r="157" spans="1:29" x14ac:dyDescent="0.25">
      <c r="A157">
        <v>164</v>
      </c>
      <c r="B157">
        <v>3930</v>
      </c>
      <c r="C157">
        <v>5468</v>
      </c>
      <c r="D157">
        <f t="shared" si="8"/>
        <v>9398</v>
      </c>
      <c r="E157" t="s">
        <v>46</v>
      </c>
      <c r="F157">
        <v>54</v>
      </c>
      <c r="G157" t="str" cm="1">
        <f t="array" ref="G157">_xlfn.IFS(F157&lt;25,"18-24",F157&lt;35,"25-35",F157&lt;45,"35-44",F157&lt;55,"44-54",F157&gt;=55,"55+")</f>
        <v>44-54</v>
      </c>
      <c r="H157" t="s">
        <v>30</v>
      </c>
      <c r="I157">
        <v>0</v>
      </c>
      <c r="J157" t="str" cm="1">
        <f t="array" ref="J157">_xlfn.IFS(I157&lt;=0,"No Dependents",I157&lt;=1,"One",I157&lt;=2,"Two",I157&gt;=3,"Third")</f>
        <v>No Dependents</v>
      </c>
      <c r="K157">
        <v>715</v>
      </c>
      <c r="L157" t="str" cm="1">
        <f t="array" ref="L157">_xlfn.IFS(K157&lt;=580,"Poor",K157&lt;=670,"fair",K157&lt;=740,"Good",K157&lt;=800,"Very Good",K157&gt;=800,"Excellent")</f>
        <v>Good</v>
      </c>
      <c r="M157">
        <v>2</v>
      </c>
      <c r="N157" t="str">
        <f t="shared" si="9"/>
        <v>Yes</v>
      </c>
      <c r="O157">
        <v>0.45</v>
      </c>
      <c r="P157" t="str" cm="1">
        <f t="array" ref="P157">_xlfn.IFS(O157&lt;=0.3,"Low Risk",O157&lt;=0.4,"medium Risk",O157&lt;=0.5,"High Risk",O157&gt;0.5,"Very High Risk")</f>
        <v>High Risk</v>
      </c>
      <c r="Q157">
        <v>4370</v>
      </c>
      <c r="R157">
        <v>14676</v>
      </c>
      <c r="S157" t="str">
        <f t="shared" si="10"/>
        <v>Yes</v>
      </c>
      <c r="T157">
        <v>18488</v>
      </c>
      <c r="U157" t="str" cm="1">
        <f t="array" ref="U157">_xlfn.IFS(T157&lt;5000,"Small",T157&lt;20000,"Medium",T157&lt;35000,"Large",T157&gt;35000,"Very Large")</f>
        <v>Medium</v>
      </c>
      <c r="V157">
        <v>36</v>
      </c>
      <c r="W157">
        <f t="shared" si="11"/>
        <v>3</v>
      </c>
      <c r="X157" t="s">
        <v>50</v>
      </c>
      <c r="Y157" t="s">
        <v>38</v>
      </c>
      <c r="Z157" t="s">
        <v>39</v>
      </c>
      <c r="AA157" t="s">
        <v>40</v>
      </c>
      <c r="AB157" t="s">
        <v>35</v>
      </c>
      <c r="AC157" t="s">
        <v>36</v>
      </c>
    </row>
    <row r="158" spans="1:29" x14ac:dyDescent="0.25">
      <c r="A158">
        <v>165</v>
      </c>
      <c r="B158">
        <v>13774</v>
      </c>
      <c r="C158">
        <v>920</v>
      </c>
      <c r="D158">
        <f t="shared" si="8"/>
        <v>14694</v>
      </c>
      <c r="E158" t="s">
        <v>29</v>
      </c>
      <c r="F158">
        <v>49</v>
      </c>
      <c r="G158" t="str" cm="1">
        <f t="array" ref="G158">_xlfn.IFS(F158&lt;25,"18-24",F158&lt;35,"25-35",F158&lt;45,"35-44",F158&lt;55,"44-54",F158&gt;=55,"55+")</f>
        <v>44-54</v>
      </c>
      <c r="H158" t="s">
        <v>30</v>
      </c>
      <c r="I158">
        <v>3</v>
      </c>
      <c r="J158" t="str" cm="1">
        <f t="array" ref="J158">_xlfn.IFS(I158&lt;=0,"No Dependents",I158&lt;=1,"One",I158&lt;=2,"Two",I158&gt;=3,"Third")</f>
        <v>Third</v>
      </c>
      <c r="K158">
        <v>617</v>
      </c>
      <c r="L158" t="str" cm="1">
        <f t="array" ref="L158">_xlfn.IFS(K158&lt;=580,"Poor",K158&lt;=670,"fair",K158&lt;=740,"Good",K158&lt;=800,"Very Good",K158&gt;=800,"Excellent")</f>
        <v>fair</v>
      </c>
      <c r="M158">
        <v>0</v>
      </c>
      <c r="N158" t="str">
        <f t="shared" si="9"/>
        <v>No</v>
      </c>
      <c r="O158">
        <v>0.56000000000000005</v>
      </c>
      <c r="P158" t="str" cm="1">
        <f t="array" ref="P158">_xlfn.IFS(O158&lt;=0.3,"Low Risk",O158&lt;=0.4,"medium Risk",O158&lt;=0.5,"High Risk",O158&gt;0.5,"Very High Risk")</f>
        <v>Very High Risk</v>
      </c>
      <c r="Q158">
        <v>18157</v>
      </c>
      <c r="R158">
        <v>30776</v>
      </c>
      <c r="S158" t="str">
        <f t="shared" si="10"/>
        <v>Yes</v>
      </c>
      <c r="T158">
        <v>1908</v>
      </c>
      <c r="U158" t="str" cm="1">
        <f t="array" ref="U158">_xlfn.IFS(T158&lt;5000,"Small",T158&lt;20000,"Medium",T158&lt;35000,"Large",T158&gt;35000,"Very Large")</f>
        <v>Small</v>
      </c>
      <c r="V158">
        <v>60</v>
      </c>
      <c r="W158">
        <f t="shared" si="11"/>
        <v>5</v>
      </c>
      <c r="X158" t="s">
        <v>47</v>
      </c>
      <c r="Y158" t="s">
        <v>45</v>
      </c>
      <c r="Z158" t="s">
        <v>33</v>
      </c>
      <c r="AA158" t="s">
        <v>34</v>
      </c>
      <c r="AB158" t="s">
        <v>43</v>
      </c>
      <c r="AC158" t="s">
        <v>36</v>
      </c>
    </row>
    <row r="159" spans="1:29" x14ac:dyDescent="0.25">
      <c r="A159">
        <v>166</v>
      </c>
      <c r="B159">
        <v>17087</v>
      </c>
      <c r="C159">
        <v>7564</v>
      </c>
      <c r="D159">
        <f t="shared" si="8"/>
        <v>24651</v>
      </c>
      <c r="E159" t="s">
        <v>29</v>
      </c>
      <c r="F159">
        <v>44</v>
      </c>
      <c r="G159" t="str" cm="1">
        <f t="array" ref="G159">_xlfn.IFS(F159&lt;25,"18-24",F159&lt;35,"25-35",F159&lt;45,"35-44",F159&lt;55,"44-54",F159&gt;=55,"55+")</f>
        <v>35-44</v>
      </c>
      <c r="H159" t="s">
        <v>30</v>
      </c>
      <c r="I159">
        <v>3</v>
      </c>
      <c r="J159" t="str" cm="1">
        <f t="array" ref="J159">_xlfn.IFS(I159&lt;=0,"No Dependents",I159&lt;=1,"One",I159&lt;=2,"Two",I159&gt;=3,"Third")</f>
        <v>Third</v>
      </c>
      <c r="K159">
        <v>550</v>
      </c>
      <c r="L159" t="str" cm="1">
        <f t="array" ref="L159">_xlfn.IFS(K159&lt;=580,"Poor",K159&lt;=670,"fair",K159&lt;=740,"Good",K159&lt;=800,"Very Good",K159&gt;=800,"Excellent")</f>
        <v>Poor</v>
      </c>
      <c r="M159">
        <v>2</v>
      </c>
      <c r="N159" t="str">
        <f t="shared" si="9"/>
        <v>Yes</v>
      </c>
      <c r="O159">
        <v>0.24</v>
      </c>
      <c r="P159" t="str" cm="1">
        <f t="array" ref="P159">_xlfn.IFS(O159&lt;=0.3,"Low Risk",O159&lt;=0.4,"medium Risk",O159&lt;=0.5,"High Risk",O159&gt;0.5,"Very High Risk")</f>
        <v>Low Risk</v>
      </c>
      <c r="Q159">
        <v>19945</v>
      </c>
      <c r="R159">
        <v>43225</v>
      </c>
      <c r="S159" t="str">
        <f t="shared" si="10"/>
        <v>Yes</v>
      </c>
      <c r="T159">
        <v>5617</v>
      </c>
      <c r="U159" t="str" cm="1">
        <f t="array" ref="U159">_xlfn.IFS(T159&lt;5000,"Small",T159&lt;20000,"Medium",T159&lt;35000,"Large",T159&gt;35000,"Very Large")</f>
        <v>Medium</v>
      </c>
      <c r="V159">
        <v>48</v>
      </c>
      <c r="W159">
        <f t="shared" si="11"/>
        <v>4</v>
      </c>
      <c r="X159" t="s">
        <v>47</v>
      </c>
      <c r="Y159" t="s">
        <v>32</v>
      </c>
      <c r="Z159" t="s">
        <v>39</v>
      </c>
      <c r="AA159" t="s">
        <v>34</v>
      </c>
      <c r="AB159" t="s">
        <v>42</v>
      </c>
      <c r="AC159" t="s">
        <v>44</v>
      </c>
    </row>
    <row r="160" spans="1:29" x14ac:dyDescent="0.25">
      <c r="A160">
        <v>168</v>
      </c>
      <c r="B160">
        <v>13589</v>
      </c>
      <c r="C160">
        <v>9323</v>
      </c>
      <c r="D160">
        <f t="shared" si="8"/>
        <v>22912</v>
      </c>
      <c r="E160" t="s">
        <v>29</v>
      </c>
      <c r="F160">
        <v>24</v>
      </c>
      <c r="G160" t="str" cm="1">
        <f t="array" ref="G160">_xlfn.IFS(F160&lt;25,"18-24",F160&lt;35,"25-35",F160&lt;45,"35-44",F160&lt;55,"44-54",F160&gt;=55,"55+")</f>
        <v>18-24</v>
      </c>
      <c r="H160" t="s">
        <v>41</v>
      </c>
      <c r="I160">
        <v>3</v>
      </c>
      <c r="J160" t="str" cm="1">
        <f t="array" ref="J160">_xlfn.IFS(I160&lt;=0,"No Dependents",I160&lt;=1,"One",I160&lt;=2,"Two",I160&gt;=3,"Third")</f>
        <v>Third</v>
      </c>
      <c r="K160">
        <v>620</v>
      </c>
      <c r="L160" t="str" cm="1">
        <f t="array" ref="L160">_xlfn.IFS(K160&lt;=580,"Poor",K160&lt;=670,"fair",K160&lt;=740,"Good",K160&lt;=800,"Very Good",K160&gt;=800,"Excellent")</f>
        <v>fair</v>
      </c>
      <c r="M160">
        <v>1</v>
      </c>
      <c r="N160" t="str">
        <f t="shared" si="9"/>
        <v>Yes</v>
      </c>
      <c r="O160">
        <v>0.38</v>
      </c>
      <c r="P160" t="str" cm="1">
        <f t="array" ref="P160">_xlfn.IFS(O160&lt;=0.3,"Low Risk",O160&lt;=0.4,"medium Risk",O160&lt;=0.5,"High Risk",O160&gt;0.5,"Very High Risk")</f>
        <v>medium Risk</v>
      </c>
      <c r="Q160">
        <v>1756</v>
      </c>
      <c r="R160">
        <v>48812</v>
      </c>
      <c r="S160" t="str">
        <f t="shared" si="10"/>
        <v>Yes</v>
      </c>
      <c r="T160">
        <v>24453</v>
      </c>
      <c r="U160" t="str" cm="1">
        <f t="array" ref="U160">_xlfn.IFS(T160&lt;5000,"Small",T160&lt;20000,"Medium",T160&lt;35000,"Large",T160&gt;35000,"Very Large")</f>
        <v>Large</v>
      </c>
      <c r="V160">
        <v>24</v>
      </c>
      <c r="W160">
        <f t="shared" si="11"/>
        <v>2</v>
      </c>
      <c r="X160" t="s">
        <v>37</v>
      </c>
      <c r="Y160" t="s">
        <v>45</v>
      </c>
      <c r="Z160" t="s">
        <v>33</v>
      </c>
      <c r="AA160" t="s">
        <v>40</v>
      </c>
      <c r="AB160" t="s">
        <v>35</v>
      </c>
      <c r="AC160" t="s">
        <v>36</v>
      </c>
    </row>
    <row r="161" spans="1:29" x14ac:dyDescent="0.25">
      <c r="A161">
        <v>169</v>
      </c>
      <c r="B161">
        <v>17708</v>
      </c>
      <c r="C161">
        <v>8502</v>
      </c>
      <c r="D161">
        <f t="shared" si="8"/>
        <v>26210</v>
      </c>
      <c r="E161" t="s">
        <v>29</v>
      </c>
      <c r="F161">
        <v>23</v>
      </c>
      <c r="G161" t="str" cm="1">
        <f t="array" ref="G161">_xlfn.IFS(F161&lt;25,"18-24",F161&lt;35,"25-35",F161&lt;45,"35-44",F161&lt;55,"44-54",F161&gt;=55,"55+")</f>
        <v>18-24</v>
      </c>
      <c r="H161" t="s">
        <v>30</v>
      </c>
      <c r="I161">
        <v>0</v>
      </c>
      <c r="J161" t="str" cm="1">
        <f t="array" ref="J161">_xlfn.IFS(I161&lt;=0,"No Dependents",I161&lt;=1,"One",I161&lt;=2,"Two",I161&gt;=3,"Third")</f>
        <v>No Dependents</v>
      </c>
      <c r="K161">
        <v>605</v>
      </c>
      <c r="L161" t="str" cm="1">
        <f t="array" ref="L161">_xlfn.IFS(K161&lt;=580,"Poor",K161&lt;=670,"fair",K161&lt;=740,"Good",K161&lt;=800,"Very Good",K161&gt;=800,"Excellent")</f>
        <v>fair</v>
      </c>
      <c r="M161">
        <v>2</v>
      </c>
      <c r="N161" t="str">
        <f t="shared" si="9"/>
        <v>Yes</v>
      </c>
      <c r="O161">
        <v>0.54</v>
      </c>
      <c r="P161" t="str" cm="1">
        <f t="array" ref="P161">_xlfn.IFS(O161&lt;=0.3,"Low Risk",O161&lt;=0.4,"medium Risk",O161&lt;=0.5,"High Risk",O161&gt;0.5,"Very High Risk")</f>
        <v>Very High Risk</v>
      </c>
      <c r="Q161">
        <v>2373</v>
      </c>
      <c r="R161">
        <v>15066</v>
      </c>
      <c r="S161" t="str">
        <f t="shared" si="10"/>
        <v>Yes</v>
      </c>
      <c r="T161">
        <v>36079</v>
      </c>
      <c r="U161" t="str" cm="1">
        <f t="array" ref="U161">_xlfn.IFS(T161&lt;5000,"Small",T161&lt;20000,"Medium",T161&lt;35000,"Large",T161&gt;35000,"Very Large")</f>
        <v>Very Large</v>
      </c>
      <c r="V161">
        <v>24</v>
      </c>
      <c r="W161">
        <f t="shared" si="11"/>
        <v>2</v>
      </c>
      <c r="X161" t="s">
        <v>42</v>
      </c>
      <c r="Y161" t="s">
        <v>32</v>
      </c>
      <c r="Z161" t="s">
        <v>39</v>
      </c>
      <c r="AA161" t="s">
        <v>40</v>
      </c>
      <c r="AB161" t="s">
        <v>48</v>
      </c>
      <c r="AC161" t="s">
        <v>36</v>
      </c>
    </row>
    <row r="162" spans="1:29" x14ac:dyDescent="0.25">
      <c r="A162">
        <v>170</v>
      </c>
      <c r="B162">
        <v>19043</v>
      </c>
      <c r="C162">
        <v>8930</v>
      </c>
      <c r="D162">
        <f t="shared" si="8"/>
        <v>27973</v>
      </c>
      <c r="E162" t="s">
        <v>29</v>
      </c>
      <c r="F162">
        <v>54</v>
      </c>
      <c r="G162" t="str" cm="1">
        <f t="array" ref="G162">_xlfn.IFS(F162&lt;25,"18-24",F162&lt;35,"25-35",F162&lt;45,"35-44",F162&lt;55,"44-54",F162&gt;=55,"55+")</f>
        <v>44-54</v>
      </c>
      <c r="H162" t="s">
        <v>41</v>
      </c>
      <c r="I162">
        <v>0</v>
      </c>
      <c r="J162" t="str" cm="1">
        <f t="array" ref="J162">_xlfn.IFS(I162&lt;=0,"No Dependents",I162&lt;=1,"One",I162&lt;=2,"Two",I162&gt;=3,"Third")</f>
        <v>No Dependents</v>
      </c>
      <c r="K162">
        <v>654</v>
      </c>
      <c r="L162" t="str" cm="1">
        <f t="array" ref="L162">_xlfn.IFS(K162&lt;=580,"Poor",K162&lt;=670,"fair",K162&lt;=740,"Good",K162&lt;=800,"Very Good",K162&gt;=800,"Excellent")</f>
        <v>fair</v>
      </c>
      <c r="M162">
        <v>3</v>
      </c>
      <c r="N162" t="str">
        <f t="shared" si="9"/>
        <v>Yes</v>
      </c>
      <c r="O162">
        <v>0.35</v>
      </c>
      <c r="P162" t="str" cm="1">
        <f t="array" ref="P162">_xlfn.IFS(O162&lt;=0.3,"Low Risk",O162&lt;=0.4,"medium Risk",O162&lt;=0.5,"High Risk",O162&gt;0.5,"Very High Risk")</f>
        <v>medium Risk</v>
      </c>
      <c r="Q162">
        <v>2576</v>
      </c>
      <c r="R162">
        <v>18895</v>
      </c>
      <c r="S162" t="str">
        <f t="shared" si="10"/>
        <v>Yes</v>
      </c>
      <c r="T162">
        <v>17020</v>
      </c>
      <c r="U162" t="str" cm="1">
        <f t="array" ref="U162">_xlfn.IFS(T162&lt;5000,"Small",T162&lt;20000,"Medium",T162&lt;35000,"Large",T162&gt;35000,"Very Large")</f>
        <v>Medium</v>
      </c>
      <c r="V162">
        <v>48</v>
      </c>
      <c r="W162">
        <f t="shared" si="11"/>
        <v>4</v>
      </c>
      <c r="X162" t="s">
        <v>50</v>
      </c>
      <c r="Y162" t="s">
        <v>45</v>
      </c>
      <c r="Z162" t="s">
        <v>39</v>
      </c>
      <c r="AA162" t="s">
        <v>34</v>
      </c>
      <c r="AB162" t="s">
        <v>42</v>
      </c>
      <c r="AC162" t="s">
        <v>36</v>
      </c>
    </row>
    <row r="163" spans="1:29" x14ac:dyDescent="0.25">
      <c r="A163">
        <v>171</v>
      </c>
      <c r="B163">
        <v>4811</v>
      </c>
      <c r="C163">
        <v>3241</v>
      </c>
      <c r="D163">
        <f t="shared" si="8"/>
        <v>8052</v>
      </c>
      <c r="E163" t="s">
        <v>29</v>
      </c>
      <c r="F163">
        <v>43</v>
      </c>
      <c r="G163" t="str" cm="1">
        <f t="array" ref="G163">_xlfn.IFS(F163&lt;25,"18-24",F163&lt;35,"25-35",F163&lt;45,"35-44",F163&lt;55,"44-54",F163&gt;=55,"55+")</f>
        <v>35-44</v>
      </c>
      <c r="H163" t="s">
        <v>41</v>
      </c>
      <c r="I163">
        <v>0</v>
      </c>
      <c r="J163" t="str" cm="1">
        <f t="array" ref="J163">_xlfn.IFS(I163&lt;=0,"No Dependents",I163&lt;=1,"One",I163&lt;=2,"Two",I163&gt;=3,"Third")</f>
        <v>No Dependents</v>
      </c>
      <c r="K163">
        <v>749</v>
      </c>
      <c r="L163" t="str" cm="1">
        <f t="array" ref="L163">_xlfn.IFS(K163&lt;=580,"Poor",K163&lt;=670,"fair",K163&lt;=740,"Good",K163&lt;=800,"Very Good",K163&gt;=800,"Excellent")</f>
        <v>Very Good</v>
      </c>
      <c r="M163">
        <v>1</v>
      </c>
      <c r="N163" t="str">
        <f t="shared" si="9"/>
        <v>Yes</v>
      </c>
      <c r="O163">
        <v>0.47</v>
      </c>
      <c r="P163" t="str" cm="1">
        <f t="array" ref="P163">_xlfn.IFS(O163&lt;=0.3,"Low Risk",O163&lt;=0.4,"medium Risk",O163&lt;=0.5,"High Risk",O163&gt;0.5,"Very High Risk")</f>
        <v>High Risk</v>
      </c>
      <c r="Q163">
        <v>4184</v>
      </c>
      <c r="R163">
        <v>246</v>
      </c>
      <c r="S163" t="str">
        <f t="shared" si="10"/>
        <v>Yes</v>
      </c>
      <c r="T163">
        <v>27562</v>
      </c>
      <c r="U163" t="str" cm="1">
        <f t="array" ref="U163">_xlfn.IFS(T163&lt;5000,"Small",T163&lt;20000,"Medium",T163&lt;35000,"Large",T163&gt;35000,"Very Large")</f>
        <v>Large</v>
      </c>
      <c r="V163">
        <v>12</v>
      </c>
      <c r="W163">
        <f t="shared" si="11"/>
        <v>1</v>
      </c>
      <c r="X163" t="s">
        <v>31</v>
      </c>
      <c r="Y163" t="s">
        <v>32</v>
      </c>
      <c r="Z163" t="s">
        <v>33</v>
      </c>
      <c r="AA163" t="s">
        <v>40</v>
      </c>
      <c r="AB163" t="s">
        <v>51</v>
      </c>
      <c r="AC163" t="s">
        <v>36</v>
      </c>
    </row>
    <row r="164" spans="1:29" x14ac:dyDescent="0.25">
      <c r="A164">
        <v>172</v>
      </c>
      <c r="B164">
        <v>16243</v>
      </c>
      <c r="C164">
        <v>545</v>
      </c>
      <c r="D164">
        <f t="shared" si="8"/>
        <v>16788</v>
      </c>
      <c r="E164" t="s">
        <v>49</v>
      </c>
      <c r="F164">
        <v>43</v>
      </c>
      <c r="G164" t="str" cm="1">
        <f t="array" ref="G164">_xlfn.IFS(F164&lt;25,"18-24",F164&lt;35,"25-35",F164&lt;45,"35-44",F164&lt;55,"44-54",F164&gt;=55,"55+")</f>
        <v>35-44</v>
      </c>
      <c r="H164" t="s">
        <v>30</v>
      </c>
      <c r="I164">
        <v>1</v>
      </c>
      <c r="J164" t="str" cm="1">
        <f t="array" ref="J164">_xlfn.IFS(I164&lt;=0,"No Dependents",I164&lt;=1,"One",I164&lt;=2,"Two",I164&gt;=3,"Third")</f>
        <v>One</v>
      </c>
      <c r="K164">
        <v>650</v>
      </c>
      <c r="L164" t="str" cm="1">
        <f t="array" ref="L164">_xlfn.IFS(K164&lt;=580,"Poor",K164&lt;=670,"fair",K164&lt;=740,"Good",K164&lt;=800,"Very Good",K164&gt;=800,"Excellent")</f>
        <v>fair</v>
      </c>
      <c r="M164">
        <v>2</v>
      </c>
      <c r="N164" t="str">
        <f t="shared" si="9"/>
        <v>Yes</v>
      </c>
      <c r="O164">
        <v>0.14000000000000001</v>
      </c>
      <c r="P164" t="str" cm="1">
        <f t="array" ref="P164">_xlfn.IFS(O164&lt;=0.3,"Low Risk",O164&lt;=0.4,"medium Risk",O164&lt;=0.5,"High Risk",O164&gt;0.5,"Very High Risk")</f>
        <v>Low Risk</v>
      </c>
      <c r="Q164">
        <v>2397</v>
      </c>
      <c r="R164">
        <v>21209</v>
      </c>
      <c r="S164" t="str">
        <f t="shared" si="10"/>
        <v>Yes</v>
      </c>
      <c r="T164">
        <v>25373</v>
      </c>
      <c r="U164" t="str" cm="1">
        <f t="array" ref="U164">_xlfn.IFS(T164&lt;5000,"Small",T164&lt;20000,"Medium",T164&lt;35000,"Large",T164&gt;35000,"Very Large")</f>
        <v>Large</v>
      </c>
      <c r="V164">
        <v>12</v>
      </c>
      <c r="W164">
        <f t="shared" si="11"/>
        <v>1</v>
      </c>
      <c r="X164" t="s">
        <v>47</v>
      </c>
      <c r="Y164" t="s">
        <v>38</v>
      </c>
      <c r="Z164" t="s">
        <v>39</v>
      </c>
      <c r="AA164" t="s">
        <v>34</v>
      </c>
      <c r="AB164" t="s">
        <v>35</v>
      </c>
      <c r="AC164" t="s">
        <v>36</v>
      </c>
    </row>
    <row r="165" spans="1:29" x14ac:dyDescent="0.25">
      <c r="A165">
        <v>173</v>
      </c>
      <c r="B165">
        <v>8546</v>
      </c>
      <c r="C165">
        <v>4346</v>
      </c>
      <c r="D165">
        <f t="shared" si="8"/>
        <v>12892</v>
      </c>
      <c r="E165" t="s">
        <v>46</v>
      </c>
      <c r="F165">
        <v>25</v>
      </c>
      <c r="G165" t="str" cm="1">
        <f t="array" ref="G165">_xlfn.IFS(F165&lt;25,"18-24",F165&lt;35,"25-35",F165&lt;45,"35-44",F165&lt;55,"44-54",F165&gt;=55,"55+")</f>
        <v>25-35</v>
      </c>
      <c r="H165" t="s">
        <v>41</v>
      </c>
      <c r="I165">
        <v>0</v>
      </c>
      <c r="J165" t="str" cm="1">
        <f t="array" ref="J165">_xlfn.IFS(I165&lt;=0,"No Dependents",I165&lt;=1,"One",I165&lt;=2,"Two",I165&gt;=3,"Third")</f>
        <v>No Dependents</v>
      </c>
      <c r="K165">
        <v>600</v>
      </c>
      <c r="L165" t="str" cm="1">
        <f t="array" ref="L165">_xlfn.IFS(K165&lt;=580,"Poor",K165&lt;=670,"fair",K165&lt;=740,"Good",K165&lt;=800,"Very Good",K165&gt;=800,"Excellent")</f>
        <v>fair</v>
      </c>
      <c r="M165">
        <v>0</v>
      </c>
      <c r="N165" t="str">
        <f t="shared" si="9"/>
        <v>No</v>
      </c>
      <c r="O165">
        <v>0.43</v>
      </c>
      <c r="P165" t="str" cm="1">
        <f t="array" ref="P165">_xlfn.IFS(O165&lt;=0.3,"Low Risk",O165&lt;=0.4,"medium Risk",O165&lt;=0.5,"High Risk",O165&gt;0.5,"Very High Risk")</f>
        <v>High Risk</v>
      </c>
      <c r="Q165">
        <v>12674</v>
      </c>
      <c r="R165">
        <v>39284</v>
      </c>
      <c r="S165" t="str">
        <f t="shared" si="10"/>
        <v>Yes</v>
      </c>
      <c r="T165">
        <v>31164</v>
      </c>
      <c r="U165" t="str" cm="1">
        <f t="array" ref="U165">_xlfn.IFS(T165&lt;5000,"Small",T165&lt;20000,"Medium",T165&lt;35000,"Large",T165&gt;35000,"Very Large")</f>
        <v>Large</v>
      </c>
      <c r="V165">
        <v>24</v>
      </c>
      <c r="W165">
        <f t="shared" si="11"/>
        <v>2</v>
      </c>
      <c r="X165" t="s">
        <v>37</v>
      </c>
      <c r="Y165" t="s">
        <v>32</v>
      </c>
      <c r="Z165" t="s">
        <v>39</v>
      </c>
      <c r="AA165" t="s">
        <v>34</v>
      </c>
      <c r="AB165" t="s">
        <v>35</v>
      </c>
      <c r="AC165" t="s">
        <v>36</v>
      </c>
    </row>
    <row r="166" spans="1:29" x14ac:dyDescent="0.25">
      <c r="A166">
        <v>174</v>
      </c>
      <c r="B166">
        <v>3986</v>
      </c>
      <c r="C166">
        <v>9996</v>
      </c>
      <c r="D166">
        <f t="shared" si="8"/>
        <v>13982</v>
      </c>
      <c r="E166" t="s">
        <v>49</v>
      </c>
      <c r="F166">
        <v>51</v>
      </c>
      <c r="G166" t="str" cm="1">
        <f t="array" ref="G166">_xlfn.IFS(F166&lt;25,"18-24",F166&lt;35,"25-35",F166&lt;45,"35-44",F166&lt;55,"44-54",F166&gt;=55,"55+")</f>
        <v>44-54</v>
      </c>
      <c r="H166" t="s">
        <v>30</v>
      </c>
      <c r="I166">
        <v>2</v>
      </c>
      <c r="J166" t="str" cm="1">
        <f t="array" ref="J166">_xlfn.IFS(I166&lt;=0,"No Dependents",I166&lt;=1,"One",I166&lt;=2,"Two",I166&gt;=3,"Third")</f>
        <v>Two</v>
      </c>
      <c r="K166">
        <v>623</v>
      </c>
      <c r="L166" t="str" cm="1">
        <f t="array" ref="L166">_xlfn.IFS(K166&lt;=580,"Poor",K166&lt;=670,"fair",K166&lt;=740,"Good",K166&lt;=800,"Very Good",K166&gt;=800,"Excellent")</f>
        <v>fair</v>
      </c>
      <c r="M166">
        <v>2</v>
      </c>
      <c r="N166" t="str">
        <f t="shared" si="9"/>
        <v>Yes</v>
      </c>
      <c r="O166">
        <v>0.31</v>
      </c>
      <c r="P166" t="str" cm="1">
        <f t="array" ref="P166">_xlfn.IFS(O166&lt;=0.3,"Low Risk",O166&lt;=0.4,"medium Risk",O166&lt;=0.5,"High Risk",O166&gt;0.5,"Very High Risk")</f>
        <v>medium Risk</v>
      </c>
      <c r="Q166">
        <v>10326</v>
      </c>
      <c r="R166">
        <v>16800</v>
      </c>
      <c r="S166" t="str">
        <f t="shared" si="10"/>
        <v>Yes</v>
      </c>
      <c r="T166">
        <v>2885</v>
      </c>
      <c r="U166" t="str" cm="1">
        <f t="array" ref="U166">_xlfn.IFS(T166&lt;5000,"Small",T166&lt;20000,"Medium",T166&lt;35000,"Large",T166&gt;35000,"Very Large")</f>
        <v>Small</v>
      </c>
      <c r="V166">
        <v>84</v>
      </c>
      <c r="W166">
        <f t="shared" si="11"/>
        <v>7</v>
      </c>
      <c r="X166" t="s">
        <v>37</v>
      </c>
      <c r="Y166" t="s">
        <v>32</v>
      </c>
      <c r="Z166" t="s">
        <v>33</v>
      </c>
      <c r="AA166" t="s">
        <v>34</v>
      </c>
      <c r="AB166" t="s">
        <v>35</v>
      </c>
      <c r="AC166" t="s">
        <v>36</v>
      </c>
    </row>
    <row r="167" spans="1:29" x14ac:dyDescent="0.25">
      <c r="A167">
        <v>175</v>
      </c>
      <c r="B167">
        <v>10338</v>
      </c>
      <c r="C167">
        <v>3810</v>
      </c>
      <c r="D167">
        <f t="shared" si="8"/>
        <v>14148</v>
      </c>
      <c r="E167" t="s">
        <v>29</v>
      </c>
      <c r="F167">
        <v>26</v>
      </c>
      <c r="G167" t="str" cm="1">
        <f t="array" ref="G167">_xlfn.IFS(F167&lt;25,"18-24",F167&lt;35,"25-35",F167&lt;45,"35-44",F167&lt;55,"44-54",F167&gt;=55,"55+")</f>
        <v>25-35</v>
      </c>
      <c r="H167" t="s">
        <v>41</v>
      </c>
      <c r="I167">
        <v>3</v>
      </c>
      <c r="J167" t="str" cm="1">
        <f t="array" ref="J167">_xlfn.IFS(I167&lt;=0,"No Dependents",I167&lt;=1,"One",I167&lt;=2,"Two",I167&gt;=3,"Third")</f>
        <v>Third</v>
      </c>
      <c r="K167">
        <v>720</v>
      </c>
      <c r="L167" t="str" cm="1">
        <f t="array" ref="L167">_xlfn.IFS(K167&lt;=580,"Poor",K167&lt;=670,"fair",K167&lt;=740,"Good",K167&lt;=800,"Very Good",K167&gt;=800,"Excellent")</f>
        <v>Good</v>
      </c>
      <c r="M167">
        <v>2</v>
      </c>
      <c r="N167" t="str">
        <f t="shared" si="9"/>
        <v>Yes</v>
      </c>
      <c r="O167">
        <v>0.34</v>
      </c>
      <c r="P167" t="str" cm="1">
        <f t="array" ref="P167">_xlfn.IFS(O167&lt;=0.3,"Low Risk",O167&lt;=0.4,"medium Risk",O167&lt;=0.5,"High Risk",O167&gt;0.5,"Very High Risk")</f>
        <v>medium Risk</v>
      </c>
      <c r="Q167">
        <v>10546</v>
      </c>
      <c r="R167">
        <v>46110</v>
      </c>
      <c r="S167" t="str">
        <f t="shared" si="10"/>
        <v>Yes</v>
      </c>
      <c r="T167">
        <v>2049</v>
      </c>
      <c r="U167" t="str" cm="1">
        <f t="array" ref="U167">_xlfn.IFS(T167&lt;5000,"Small",T167&lt;20000,"Medium",T167&lt;35000,"Large",T167&gt;35000,"Very Large")</f>
        <v>Small</v>
      </c>
      <c r="V167">
        <v>84</v>
      </c>
      <c r="W167">
        <f t="shared" si="11"/>
        <v>7</v>
      </c>
      <c r="X167" t="s">
        <v>37</v>
      </c>
      <c r="Y167" t="s">
        <v>38</v>
      </c>
      <c r="Z167" t="s">
        <v>39</v>
      </c>
      <c r="AA167" t="s">
        <v>40</v>
      </c>
      <c r="AB167" t="s">
        <v>35</v>
      </c>
      <c r="AC167" t="s">
        <v>44</v>
      </c>
    </row>
    <row r="168" spans="1:29" x14ac:dyDescent="0.25">
      <c r="A168">
        <v>176</v>
      </c>
      <c r="B168">
        <v>13411</v>
      </c>
      <c r="C168">
        <v>7206</v>
      </c>
      <c r="D168">
        <f t="shared" si="8"/>
        <v>20617</v>
      </c>
      <c r="E168" t="s">
        <v>29</v>
      </c>
      <c r="F168">
        <v>57</v>
      </c>
      <c r="G168" t="str" cm="1">
        <f t="array" ref="G168">_xlfn.IFS(F168&lt;25,"18-24",F168&lt;35,"25-35",F168&lt;45,"35-44",F168&lt;55,"44-54",F168&gt;=55,"55+")</f>
        <v>55+</v>
      </c>
      <c r="H168" t="s">
        <v>41</v>
      </c>
      <c r="I168">
        <v>1</v>
      </c>
      <c r="J168" t="str" cm="1">
        <f t="array" ref="J168">_xlfn.IFS(I168&lt;=0,"No Dependents",I168&lt;=1,"One",I168&lt;=2,"Two",I168&gt;=3,"Third")</f>
        <v>One</v>
      </c>
      <c r="K168">
        <v>670</v>
      </c>
      <c r="L168" t="str" cm="1">
        <f t="array" ref="L168">_xlfn.IFS(K168&lt;=580,"Poor",K168&lt;=670,"fair",K168&lt;=740,"Good",K168&lt;=800,"Very Good",K168&gt;=800,"Excellent")</f>
        <v>fair</v>
      </c>
      <c r="M168">
        <v>4</v>
      </c>
      <c r="N168" t="str">
        <f t="shared" si="9"/>
        <v>Yes</v>
      </c>
      <c r="O168">
        <v>0.12</v>
      </c>
      <c r="P168" t="str" cm="1">
        <f t="array" ref="P168">_xlfn.IFS(O168&lt;=0.3,"Low Risk",O168&lt;=0.4,"medium Risk",O168&lt;=0.5,"High Risk",O168&gt;0.5,"Very High Risk")</f>
        <v>Low Risk</v>
      </c>
      <c r="Q168">
        <v>4535</v>
      </c>
      <c r="R168">
        <v>0</v>
      </c>
      <c r="S168" t="str">
        <f t="shared" si="10"/>
        <v>No</v>
      </c>
      <c r="T168">
        <v>2161</v>
      </c>
      <c r="U168" t="str" cm="1">
        <f t="array" ref="U168">_xlfn.IFS(T168&lt;5000,"Small",T168&lt;20000,"Medium",T168&lt;35000,"Large",T168&gt;35000,"Very Large")</f>
        <v>Small</v>
      </c>
      <c r="V168">
        <v>48</v>
      </c>
      <c r="W168">
        <f t="shared" si="11"/>
        <v>4</v>
      </c>
      <c r="X168" t="s">
        <v>31</v>
      </c>
      <c r="Y168" t="s">
        <v>32</v>
      </c>
      <c r="Z168" t="s">
        <v>33</v>
      </c>
      <c r="AA168" t="s">
        <v>34</v>
      </c>
      <c r="AB168" t="s">
        <v>35</v>
      </c>
      <c r="AC168" t="s">
        <v>44</v>
      </c>
    </row>
    <row r="169" spans="1:29" x14ac:dyDescent="0.25">
      <c r="A169">
        <v>177</v>
      </c>
      <c r="B169">
        <v>4911</v>
      </c>
      <c r="C169">
        <v>9005</v>
      </c>
      <c r="D169">
        <f t="shared" si="8"/>
        <v>13916</v>
      </c>
      <c r="E169" t="s">
        <v>49</v>
      </c>
      <c r="F169">
        <v>30</v>
      </c>
      <c r="G169" t="str" cm="1">
        <f t="array" ref="G169">_xlfn.IFS(F169&lt;25,"18-24",F169&lt;35,"25-35",F169&lt;45,"35-44",F169&lt;55,"44-54",F169&gt;=55,"55+")</f>
        <v>25-35</v>
      </c>
      <c r="H169" t="s">
        <v>30</v>
      </c>
      <c r="I169">
        <v>0</v>
      </c>
      <c r="J169" t="str" cm="1">
        <f t="array" ref="J169">_xlfn.IFS(I169&lt;=0,"No Dependents",I169&lt;=1,"One",I169&lt;=2,"Two",I169&gt;=3,"Third")</f>
        <v>No Dependents</v>
      </c>
      <c r="K169">
        <v>692</v>
      </c>
      <c r="L169" t="str" cm="1">
        <f t="array" ref="L169">_xlfn.IFS(K169&lt;=580,"Poor",K169&lt;=670,"fair",K169&lt;=740,"Good",K169&lt;=800,"Very Good",K169&gt;=800,"Excellent")</f>
        <v>Good</v>
      </c>
      <c r="M169">
        <v>1</v>
      </c>
      <c r="N169" t="str">
        <f t="shared" si="9"/>
        <v>Yes</v>
      </c>
      <c r="O169">
        <v>0.2</v>
      </c>
      <c r="P169" t="str" cm="1">
        <f t="array" ref="P169">_xlfn.IFS(O169&lt;=0.3,"Low Risk",O169&lt;=0.4,"medium Risk",O169&lt;=0.5,"High Risk",O169&gt;0.5,"Very High Risk")</f>
        <v>Low Risk</v>
      </c>
      <c r="Q169">
        <v>14599</v>
      </c>
      <c r="R169">
        <v>20101</v>
      </c>
      <c r="S169" t="str">
        <f t="shared" si="10"/>
        <v>Yes</v>
      </c>
      <c r="T169">
        <v>1815</v>
      </c>
      <c r="U169" t="str" cm="1">
        <f t="array" ref="U169">_xlfn.IFS(T169&lt;5000,"Small",T169&lt;20000,"Medium",T169&lt;35000,"Large",T169&gt;35000,"Very Large")</f>
        <v>Small</v>
      </c>
      <c r="V169">
        <v>12</v>
      </c>
      <c r="W169">
        <f t="shared" si="11"/>
        <v>1</v>
      </c>
      <c r="X169" t="s">
        <v>31</v>
      </c>
      <c r="Y169" t="s">
        <v>32</v>
      </c>
      <c r="Z169" t="s">
        <v>33</v>
      </c>
      <c r="AA169" t="s">
        <v>34</v>
      </c>
      <c r="AB169" t="s">
        <v>35</v>
      </c>
      <c r="AC169" t="s">
        <v>44</v>
      </c>
    </row>
    <row r="170" spans="1:29" x14ac:dyDescent="0.25">
      <c r="A170">
        <v>178</v>
      </c>
      <c r="B170">
        <v>3734</v>
      </c>
      <c r="C170">
        <v>0</v>
      </c>
      <c r="D170">
        <f t="shared" si="8"/>
        <v>3734</v>
      </c>
      <c r="E170" t="s">
        <v>29</v>
      </c>
      <c r="F170">
        <v>27</v>
      </c>
      <c r="G170" t="str" cm="1">
        <f t="array" ref="G170">_xlfn.IFS(F170&lt;25,"18-24",F170&lt;35,"25-35",F170&lt;45,"35-44",F170&lt;55,"44-54",F170&gt;=55,"55+")</f>
        <v>25-35</v>
      </c>
      <c r="H170" t="s">
        <v>30</v>
      </c>
      <c r="I170">
        <v>0</v>
      </c>
      <c r="J170" t="str" cm="1">
        <f t="array" ref="J170">_xlfn.IFS(I170&lt;=0,"No Dependents",I170&lt;=1,"One",I170&lt;=2,"Two",I170&gt;=3,"Third")</f>
        <v>No Dependents</v>
      </c>
      <c r="K170">
        <v>715</v>
      </c>
      <c r="L170" t="str" cm="1">
        <f t="array" ref="L170">_xlfn.IFS(K170&lt;=580,"Poor",K170&lt;=670,"fair",K170&lt;=740,"Good",K170&lt;=800,"Very Good",K170&gt;=800,"Excellent")</f>
        <v>Good</v>
      </c>
      <c r="M170">
        <v>3</v>
      </c>
      <c r="N170" t="str">
        <f t="shared" si="9"/>
        <v>Yes</v>
      </c>
      <c r="O170">
        <v>0.5</v>
      </c>
      <c r="P170" t="str" cm="1">
        <f t="array" ref="P170">_xlfn.IFS(O170&lt;=0.3,"Low Risk",O170&lt;=0.4,"medium Risk",O170&lt;=0.5,"High Risk",O170&gt;0.5,"Very High Risk")</f>
        <v>High Risk</v>
      </c>
      <c r="Q170">
        <v>0</v>
      </c>
      <c r="R170">
        <v>16491</v>
      </c>
      <c r="S170" t="str">
        <f t="shared" si="10"/>
        <v>Yes</v>
      </c>
      <c r="T170">
        <v>37534</v>
      </c>
      <c r="U170" t="str" cm="1">
        <f t="array" ref="U170">_xlfn.IFS(T170&lt;5000,"Small",T170&lt;20000,"Medium",T170&lt;35000,"Large",T170&gt;35000,"Very Large")</f>
        <v>Very Large</v>
      </c>
      <c r="V170">
        <v>60</v>
      </c>
      <c r="W170">
        <f t="shared" si="11"/>
        <v>5</v>
      </c>
      <c r="X170" t="s">
        <v>47</v>
      </c>
      <c r="Y170" t="s">
        <v>38</v>
      </c>
      <c r="Z170" t="s">
        <v>39</v>
      </c>
      <c r="AA170" t="s">
        <v>40</v>
      </c>
      <c r="AB170" t="s">
        <v>43</v>
      </c>
      <c r="AC170" t="s">
        <v>36</v>
      </c>
    </row>
    <row r="171" spans="1:29" x14ac:dyDescent="0.25">
      <c r="A171">
        <v>179</v>
      </c>
      <c r="B171">
        <v>10680</v>
      </c>
      <c r="C171">
        <v>0</v>
      </c>
      <c r="D171">
        <f t="shared" si="8"/>
        <v>10680</v>
      </c>
      <c r="E171" t="s">
        <v>29</v>
      </c>
      <c r="F171">
        <v>59</v>
      </c>
      <c r="G171" t="str" cm="1">
        <f t="array" ref="G171">_xlfn.IFS(F171&lt;25,"18-24",F171&lt;35,"25-35",F171&lt;45,"35-44",F171&lt;55,"44-54",F171&gt;=55,"55+")</f>
        <v>55+</v>
      </c>
      <c r="H171" t="s">
        <v>30</v>
      </c>
      <c r="I171">
        <v>1</v>
      </c>
      <c r="J171" t="str" cm="1">
        <f t="array" ref="J171">_xlfn.IFS(I171&lt;=0,"No Dependents",I171&lt;=1,"One",I171&lt;=2,"Two",I171&gt;=3,"Third")</f>
        <v>One</v>
      </c>
      <c r="K171">
        <v>692</v>
      </c>
      <c r="L171" t="str" cm="1">
        <f t="array" ref="L171">_xlfn.IFS(K171&lt;=580,"Poor",K171&lt;=670,"fair",K171&lt;=740,"Good",K171&lt;=800,"Very Good",K171&gt;=800,"Excellent")</f>
        <v>Good</v>
      </c>
      <c r="M171">
        <v>3</v>
      </c>
      <c r="N171" t="str">
        <f t="shared" si="9"/>
        <v>Yes</v>
      </c>
      <c r="O171">
        <v>0.35</v>
      </c>
      <c r="P171" t="str" cm="1">
        <f t="array" ref="P171">_xlfn.IFS(O171&lt;=0.3,"Low Risk",O171&lt;=0.4,"medium Risk",O171&lt;=0.5,"High Risk",O171&gt;0.5,"Very High Risk")</f>
        <v>medium Risk</v>
      </c>
      <c r="Q171">
        <v>17118</v>
      </c>
      <c r="R171">
        <v>27207</v>
      </c>
      <c r="S171" t="str">
        <f t="shared" si="10"/>
        <v>Yes</v>
      </c>
      <c r="T171">
        <v>28498</v>
      </c>
      <c r="U171" t="str" cm="1">
        <f t="array" ref="U171">_xlfn.IFS(T171&lt;5000,"Small",T171&lt;20000,"Medium",T171&lt;35000,"Large",T171&gt;35000,"Very Large")</f>
        <v>Large</v>
      </c>
      <c r="V171">
        <v>24</v>
      </c>
      <c r="W171">
        <f t="shared" si="11"/>
        <v>2</v>
      </c>
      <c r="X171" t="s">
        <v>31</v>
      </c>
      <c r="Y171" t="s">
        <v>32</v>
      </c>
      <c r="Z171" t="s">
        <v>39</v>
      </c>
      <c r="AA171" t="s">
        <v>34</v>
      </c>
      <c r="AB171" t="s">
        <v>42</v>
      </c>
      <c r="AC171" t="s">
        <v>44</v>
      </c>
    </row>
    <row r="172" spans="1:29" x14ac:dyDescent="0.25">
      <c r="A172">
        <v>180</v>
      </c>
      <c r="B172">
        <v>7759</v>
      </c>
      <c r="C172">
        <v>271</v>
      </c>
      <c r="D172">
        <f t="shared" si="8"/>
        <v>8030</v>
      </c>
      <c r="E172" t="s">
        <v>46</v>
      </c>
      <c r="F172">
        <v>58</v>
      </c>
      <c r="G172" t="str" cm="1">
        <f t="array" ref="G172">_xlfn.IFS(F172&lt;25,"18-24",F172&lt;35,"25-35",F172&lt;45,"35-44",F172&lt;55,"44-54",F172&gt;=55,"55+")</f>
        <v>55+</v>
      </c>
      <c r="H172" t="s">
        <v>41</v>
      </c>
      <c r="I172">
        <v>1</v>
      </c>
      <c r="J172" t="str" cm="1">
        <f t="array" ref="J172">_xlfn.IFS(I172&lt;=0,"No Dependents",I172&lt;=1,"One",I172&lt;=2,"Two",I172&gt;=3,"Third")</f>
        <v>One</v>
      </c>
      <c r="K172">
        <v>554</v>
      </c>
      <c r="L172" t="str" cm="1">
        <f t="array" ref="L172">_xlfn.IFS(K172&lt;=580,"Poor",K172&lt;=670,"fair",K172&lt;=740,"Good",K172&lt;=800,"Very Good",K172&gt;=800,"Excellent")</f>
        <v>Poor</v>
      </c>
      <c r="M172">
        <v>4</v>
      </c>
      <c r="N172" t="str">
        <f t="shared" si="9"/>
        <v>Yes</v>
      </c>
      <c r="O172">
        <v>0.25</v>
      </c>
      <c r="P172" t="str" cm="1">
        <f t="array" ref="P172">_xlfn.IFS(O172&lt;=0.3,"Low Risk",O172&lt;=0.4,"medium Risk",O172&lt;=0.5,"High Risk",O172&gt;0.5,"Very High Risk")</f>
        <v>Low Risk</v>
      </c>
      <c r="Q172">
        <v>632</v>
      </c>
      <c r="R172">
        <v>41798</v>
      </c>
      <c r="S172" t="str">
        <f t="shared" si="10"/>
        <v>Yes</v>
      </c>
      <c r="T172">
        <v>26037</v>
      </c>
      <c r="U172" t="str" cm="1">
        <f t="array" ref="U172">_xlfn.IFS(T172&lt;5000,"Small",T172&lt;20000,"Medium",T172&lt;35000,"Large",T172&gt;35000,"Very Large")</f>
        <v>Large</v>
      </c>
      <c r="V172">
        <v>72</v>
      </c>
      <c r="W172">
        <f t="shared" si="11"/>
        <v>6</v>
      </c>
      <c r="X172" t="s">
        <v>47</v>
      </c>
      <c r="Y172" t="s">
        <v>32</v>
      </c>
      <c r="Z172" t="s">
        <v>33</v>
      </c>
      <c r="AA172" t="s">
        <v>40</v>
      </c>
      <c r="AB172" t="s">
        <v>51</v>
      </c>
      <c r="AC172" t="s">
        <v>36</v>
      </c>
    </row>
    <row r="173" spans="1:29" x14ac:dyDescent="0.25">
      <c r="A173">
        <v>181</v>
      </c>
      <c r="B173">
        <v>4385</v>
      </c>
      <c r="C173">
        <v>3511</v>
      </c>
      <c r="D173">
        <f t="shared" si="8"/>
        <v>7896</v>
      </c>
      <c r="E173" t="s">
        <v>46</v>
      </c>
      <c r="F173">
        <v>41</v>
      </c>
      <c r="G173" t="str" cm="1">
        <f t="array" ref="G173">_xlfn.IFS(F173&lt;25,"18-24",F173&lt;35,"25-35",F173&lt;45,"35-44",F173&lt;55,"44-54",F173&gt;=55,"55+")</f>
        <v>35-44</v>
      </c>
      <c r="H173" t="s">
        <v>41</v>
      </c>
      <c r="I173">
        <v>1</v>
      </c>
      <c r="J173" t="str" cm="1">
        <f t="array" ref="J173">_xlfn.IFS(I173&lt;=0,"No Dependents",I173&lt;=1,"One",I173&lt;=2,"Two",I173&gt;=3,"Third")</f>
        <v>One</v>
      </c>
      <c r="K173">
        <v>770</v>
      </c>
      <c r="L173" t="str" cm="1">
        <f t="array" ref="L173">_xlfn.IFS(K173&lt;=580,"Poor",K173&lt;=670,"fair",K173&lt;=740,"Good",K173&lt;=800,"Very Good",K173&gt;=800,"Excellent")</f>
        <v>Very Good</v>
      </c>
      <c r="M173">
        <v>0</v>
      </c>
      <c r="N173" t="str">
        <f t="shared" si="9"/>
        <v>No</v>
      </c>
      <c r="O173">
        <v>0.28999999999999998</v>
      </c>
      <c r="P173" t="str" cm="1">
        <f t="array" ref="P173">_xlfn.IFS(O173&lt;=0.3,"Low Risk",O173&lt;=0.4,"medium Risk",O173&lt;=0.5,"High Risk",O173&gt;0.5,"Very High Risk")</f>
        <v>Low Risk</v>
      </c>
      <c r="Q173">
        <v>13280</v>
      </c>
      <c r="R173">
        <v>20897</v>
      </c>
      <c r="S173" t="str">
        <f t="shared" si="10"/>
        <v>Yes</v>
      </c>
      <c r="T173">
        <v>37007</v>
      </c>
      <c r="U173" t="str" cm="1">
        <f t="array" ref="U173">_xlfn.IFS(T173&lt;5000,"Small",T173&lt;20000,"Medium",T173&lt;35000,"Large",T173&gt;35000,"Very Large")</f>
        <v>Very Large</v>
      </c>
      <c r="V173">
        <v>60</v>
      </c>
      <c r="W173">
        <f t="shared" si="11"/>
        <v>5</v>
      </c>
      <c r="X173" t="s">
        <v>31</v>
      </c>
      <c r="Y173" t="s">
        <v>32</v>
      </c>
      <c r="Z173" t="s">
        <v>39</v>
      </c>
      <c r="AA173" t="s">
        <v>40</v>
      </c>
      <c r="AB173" t="s">
        <v>35</v>
      </c>
      <c r="AC173" t="s">
        <v>36</v>
      </c>
    </row>
    <row r="174" spans="1:29" x14ac:dyDescent="0.25">
      <c r="A174">
        <v>182</v>
      </c>
      <c r="B174">
        <v>13111</v>
      </c>
      <c r="C174">
        <v>1771</v>
      </c>
      <c r="D174">
        <f t="shared" si="8"/>
        <v>14882</v>
      </c>
      <c r="E174" t="s">
        <v>29</v>
      </c>
      <c r="F174">
        <v>40</v>
      </c>
      <c r="G174" t="str" cm="1">
        <f t="array" ref="G174">_xlfn.IFS(F174&lt;25,"18-24",F174&lt;35,"25-35",F174&lt;45,"35-44",F174&lt;55,"44-54",F174&gt;=55,"55+")</f>
        <v>35-44</v>
      </c>
      <c r="H174" t="s">
        <v>30</v>
      </c>
      <c r="I174">
        <v>0</v>
      </c>
      <c r="J174" t="str" cm="1">
        <f t="array" ref="J174">_xlfn.IFS(I174&lt;=0,"No Dependents",I174&lt;=1,"One",I174&lt;=2,"Two",I174&gt;=3,"Third")</f>
        <v>No Dependents</v>
      </c>
      <c r="K174">
        <v>632</v>
      </c>
      <c r="L174" t="str" cm="1">
        <f t="array" ref="L174">_xlfn.IFS(K174&lt;=580,"Poor",K174&lt;=670,"fair",K174&lt;=740,"Good",K174&lt;=800,"Very Good",K174&gt;=800,"Excellent")</f>
        <v>fair</v>
      </c>
      <c r="M174">
        <v>2</v>
      </c>
      <c r="N174" t="str">
        <f t="shared" si="9"/>
        <v>Yes</v>
      </c>
      <c r="O174">
        <v>0.53</v>
      </c>
      <c r="P174" t="str" cm="1">
        <f t="array" ref="P174">_xlfn.IFS(O174&lt;=0.3,"Low Risk",O174&lt;=0.4,"medium Risk",O174&lt;=0.5,"High Risk",O174&gt;0.5,"Very High Risk")</f>
        <v>Very High Risk</v>
      </c>
      <c r="Q174">
        <v>14746</v>
      </c>
      <c r="R174">
        <v>29492</v>
      </c>
      <c r="S174" t="str">
        <f t="shared" si="10"/>
        <v>Yes</v>
      </c>
      <c r="T174">
        <v>14942</v>
      </c>
      <c r="U174" t="str" cm="1">
        <f t="array" ref="U174">_xlfn.IFS(T174&lt;5000,"Small",T174&lt;20000,"Medium",T174&lt;35000,"Large",T174&gt;35000,"Very Large")</f>
        <v>Medium</v>
      </c>
      <c r="V174">
        <v>48</v>
      </c>
      <c r="W174">
        <f t="shared" si="11"/>
        <v>4</v>
      </c>
      <c r="X174" t="s">
        <v>31</v>
      </c>
      <c r="Y174" t="s">
        <v>32</v>
      </c>
      <c r="Z174" t="s">
        <v>39</v>
      </c>
      <c r="AA174" t="s">
        <v>34</v>
      </c>
      <c r="AB174" t="s">
        <v>43</v>
      </c>
      <c r="AC174" t="s">
        <v>36</v>
      </c>
    </row>
    <row r="175" spans="1:29" x14ac:dyDescent="0.25">
      <c r="A175">
        <v>183</v>
      </c>
      <c r="B175">
        <v>6736</v>
      </c>
      <c r="C175">
        <v>9454</v>
      </c>
      <c r="D175">
        <f t="shared" si="8"/>
        <v>16190</v>
      </c>
      <c r="E175" t="s">
        <v>29</v>
      </c>
      <c r="F175">
        <v>40</v>
      </c>
      <c r="G175" t="str" cm="1">
        <f t="array" ref="G175">_xlfn.IFS(F175&lt;25,"18-24",F175&lt;35,"25-35",F175&lt;45,"35-44",F175&lt;55,"44-54",F175&gt;=55,"55+")</f>
        <v>35-44</v>
      </c>
      <c r="H175" t="s">
        <v>30</v>
      </c>
      <c r="I175">
        <v>0</v>
      </c>
      <c r="J175" t="str" cm="1">
        <f t="array" ref="J175">_xlfn.IFS(I175&lt;=0,"No Dependents",I175&lt;=1,"One",I175&lt;=2,"Two",I175&gt;=3,"Third")</f>
        <v>No Dependents</v>
      </c>
      <c r="K175">
        <v>731</v>
      </c>
      <c r="L175" t="str" cm="1">
        <f t="array" ref="L175">_xlfn.IFS(K175&lt;=580,"Poor",K175&lt;=670,"fair",K175&lt;=740,"Good",K175&lt;=800,"Very Good",K175&gt;=800,"Excellent")</f>
        <v>Good</v>
      </c>
      <c r="M175">
        <v>4</v>
      </c>
      <c r="N175" t="str">
        <f t="shared" si="9"/>
        <v>Yes</v>
      </c>
      <c r="O175">
        <v>0.47</v>
      </c>
      <c r="P175" t="str" cm="1">
        <f t="array" ref="P175">_xlfn.IFS(O175&lt;=0.3,"Low Risk",O175&lt;=0.4,"medium Risk",O175&lt;=0.5,"High Risk",O175&gt;0.5,"Very High Risk")</f>
        <v>High Risk</v>
      </c>
      <c r="Q175">
        <v>4268</v>
      </c>
      <c r="R175">
        <v>1421</v>
      </c>
      <c r="S175" t="str">
        <f t="shared" si="10"/>
        <v>Yes</v>
      </c>
      <c r="T175">
        <v>28278</v>
      </c>
      <c r="U175" t="str" cm="1">
        <f t="array" ref="U175">_xlfn.IFS(T175&lt;5000,"Small",T175&lt;20000,"Medium",T175&lt;35000,"Large",T175&gt;35000,"Very Large")</f>
        <v>Large</v>
      </c>
      <c r="V175">
        <v>72</v>
      </c>
      <c r="W175">
        <f t="shared" si="11"/>
        <v>6</v>
      </c>
      <c r="X175" t="s">
        <v>31</v>
      </c>
      <c r="Y175" t="s">
        <v>32</v>
      </c>
      <c r="Z175" t="s">
        <v>39</v>
      </c>
      <c r="AA175" t="s">
        <v>34</v>
      </c>
      <c r="AB175" t="s">
        <v>35</v>
      </c>
      <c r="AC175" t="s">
        <v>36</v>
      </c>
    </row>
    <row r="176" spans="1:29" x14ac:dyDescent="0.25">
      <c r="A176">
        <v>184</v>
      </c>
      <c r="B176">
        <v>3802</v>
      </c>
      <c r="C176">
        <v>4361</v>
      </c>
      <c r="D176">
        <f t="shared" si="8"/>
        <v>8163</v>
      </c>
      <c r="E176" t="s">
        <v>52</v>
      </c>
      <c r="F176">
        <v>42</v>
      </c>
      <c r="G176" t="str" cm="1">
        <f t="array" ref="G176">_xlfn.IFS(F176&lt;25,"18-24",F176&lt;35,"25-35",F176&lt;45,"35-44",F176&lt;55,"44-54",F176&gt;=55,"55+")</f>
        <v>35-44</v>
      </c>
      <c r="H176" t="s">
        <v>30</v>
      </c>
      <c r="I176">
        <v>2</v>
      </c>
      <c r="J176" t="str" cm="1">
        <f t="array" ref="J176">_xlfn.IFS(I176&lt;=0,"No Dependents",I176&lt;=1,"One",I176&lt;=2,"Two",I176&gt;=3,"Third")</f>
        <v>Two</v>
      </c>
      <c r="K176">
        <v>600</v>
      </c>
      <c r="L176" t="str" cm="1">
        <f t="array" ref="L176">_xlfn.IFS(K176&lt;=580,"Poor",K176&lt;=670,"fair",K176&lt;=740,"Good",K176&lt;=800,"Very Good",K176&gt;=800,"Excellent")</f>
        <v>fair</v>
      </c>
      <c r="M176">
        <v>0</v>
      </c>
      <c r="N176" t="str">
        <f t="shared" si="9"/>
        <v>No</v>
      </c>
      <c r="O176">
        <v>0.24</v>
      </c>
      <c r="P176" t="str" cm="1">
        <f t="array" ref="P176">_xlfn.IFS(O176&lt;=0.3,"Low Risk",O176&lt;=0.4,"medium Risk",O176&lt;=0.5,"High Risk",O176&gt;0.5,"Very High Risk")</f>
        <v>Low Risk</v>
      </c>
      <c r="Q176">
        <v>19285</v>
      </c>
      <c r="R176">
        <v>32015</v>
      </c>
      <c r="S176" t="str">
        <f t="shared" si="10"/>
        <v>Yes</v>
      </c>
      <c r="T176">
        <v>9272</v>
      </c>
      <c r="U176" t="str" cm="1">
        <f t="array" ref="U176">_xlfn.IFS(T176&lt;5000,"Small",T176&lt;20000,"Medium",T176&lt;35000,"Large",T176&gt;35000,"Very Large")</f>
        <v>Medium</v>
      </c>
      <c r="V176">
        <v>60</v>
      </c>
      <c r="W176">
        <f t="shared" si="11"/>
        <v>5</v>
      </c>
      <c r="X176" t="s">
        <v>47</v>
      </c>
      <c r="Y176" t="s">
        <v>45</v>
      </c>
      <c r="Z176" t="s">
        <v>39</v>
      </c>
      <c r="AA176" t="s">
        <v>34</v>
      </c>
      <c r="AB176" t="s">
        <v>43</v>
      </c>
      <c r="AC176" t="s">
        <v>36</v>
      </c>
    </row>
    <row r="177" spans="1:29" x14ac:dyDescent="0.25">
      <c r="A177">
        <v>185</v>
      </c>
      <c r="B177">
        <v>10155</v>
      </c>
      <c r="C177">
        <v>7069</v>
      </c>
      <c r="D177">
        <f t="shared" si="8"/>
        <v>17224</v>
      </c>
      <c r="E177" t="s">
        <v>29</v>
      </c>
      <c r="F177">
        <v>40</v>
      </c>
      <c r="G177" t="str" cm="1">
        <f t="array" ref="G177">_xlfn.IFS(F177&lt;25,"18-24",F177&lt;35,"25-35",F177&lt;45,"35-44",F177&lt;55,"44-54",F177&gt;=55,"55+")</f>
        <v>35-44</v>
      </c>
      <c r="H177" t="s">
        <v>30</v>
      </c>
      <c r="I177">
        <v>2</v>
      </c>
      <c r="J177" t="str" cm="1">
        <f t="array" ref="J177">_xlfn.IFS(I177&lt;=0,"No Dependents",I177&lt;=1,"One",I177&lt;=2,"Two",I177&gt;=3,"Third")</f>
        <v>Two</v>
      </c>
      <c r="K177">
        <v>559</v>
      </c>
      <c r="L177" t="str" cm="1">
        <f t="array" ref="L177">_xlfn.IFS(K177&lt;=580,"Poor",K177&lt;=670,"fair",K177&lt;=740,"Good",K177&lt;=800,"Very Good",K177&gt;=800,"Excellent")</f>
        <v>Poor</v>
      </c>
      <c r="M177">
        <v>1</v>
      </c>
      <c r="N177" t="str">
        <f t="shared" si="9"/>
        <v>Yes</v>
      </c>
      <c r="O177">
        <v>0.16</v>
      </c>
      <c r="P177" t="str" cm="1">
        <f t="array" ref="P177">_xlfn.IFS(O177&lt;=0.3,"Low Risk",O177&lt;=0.4,"medium Risk",O177&lt;=0.5,"High Risk",O177&gt;0.5,"Very High Risk")</f>
        <v>Low Risk</v>
      </c>
      <c r="Q177">
        <v>18047</v>
      </c>
      <c r="R177">
        <v>12970</v>
      </c>
      <c r="S177" t="str">
        <f t="shared" si="10"/>
        <v>Yes</v>
      </c>
      <c r="T177">
        <v>34637</v>
      </c>
      <c r="U177" t="str" cm="1">
        <f t="array" ref="U177">_xlfn.IFS(T177&lt;5000,"Small",T177&lt;20000,"Medium",T177&lt;35000,"Large",T177&gt;35000,"Very Large")</f>
        <v>Large</v>
      </c>
      <c r="V177">
        <v>12</v>
      </c>
      <c r="W177">
        <f t="shared" si="11"/>
        <v>1</v>
      </c>
      <c r="X177" t="s">
        <v>50</v>
      </c>
      <c r="Y177" t="s">
        <v>45</v>
      </c>
      <c r="Z177" t="s">
        <v>39</v>
      </c>
      <c r="AA177" t="s">
        <v>40</v>
      </c>
      <c r="AB177" t="s">
        <v>43</v>
      </c>
      <c r="AC177" t="s">
        <v>36</v>
      </c>
    </row>
    <row r="178" spans="1:29" x14ac:dyDescent="0.25">
      <c r="A178">
        <v>186</v>
      </c>
      <c r="B178">
        <v>10120</v>
      </c>
      <c r="C178">
        <v>920</v>
      </c>
      <c r="D178">
        <f t="shared" si="8"/>
        <v>11040</v>
      </c>
      <c r="E178" t="s">
        <v>46</v>
      </c>
      <c r="F178">
        <v>48</v>
      </c>
      <c r="G178" t="str" cm="1">
        <f t="array" ref="G178">_xlfn.IFS(F178&lt;25,"18-24",F178&lt;35,"25-35",F178&lt;45,"35-44",F178&lt;55,"44-54",F178&gt;=55,"55+")</f>
        <v>44-54</v>
      </c>
      <c r="H178" t="s">
        <v>41</v>
      </c>
      <c r="I178">
        <v>3</v>
      </c>
      <c r="J178" t="str" cm="1">
        <f t="array" ref="J178">_xlfn.IFS(I178&lt;=0,"No Dependents",I178&lt;=1,"One",I178&lt;=2,"Two",I178&gt;=3,"Third")</f>
        <v>Third</v>
      </c>
      <c r="K178">
        <v>689</v>
      </c>
      <c r="L178" t="str" cm="1">
        <f t="array" ref="L178">_xlfn.IFS(K178&lt;=580,"Poor",K178&lt;=670,"fair",K178&lt;=740,"Good",K178&lt;=800,"Very Good",K178&gt;=800,"Excellent")</f>
        <v>Good</v>
      </c>
      <c r="M178">
        <v>1</v>
      </c>
      <c r="N178" t="str">
        <f t="shared" si="9"/>
        <v>Yes</v>
      </c>
      <c r="O178">
        <v>0.23</v>
      </c>
      <c r="P178" t="str" cm="1">
        <f t="array" ref="P178">_xlfn.IFS(O178&lt;=0.3,"Low Risk",O178&lt;=0.4,"medium Risk",O178&lt;=0.5,"High Risk",O178&gt;0.5,"Very High Risk")</f>
        <v>Low Risk</v>
      </c>
      <c r="Q178">
        <v>15321</v>
      </c>
      <c r="R178">
        <v>7283</v>
      </c>
      <c r="S178" t="str">
        <f t="shared" si="10"/>
        <v>Yes</v>
      </c>
      <c r="T178">
        <v>39294</v>
      </c>
      <c r="U178" t="str" cm="1">
        <f t="array" ref="U178">_xlfn.IFS(T178&lt;5000,"Small",T178&lt;20000,"Medium",T178&lt;35000,"Large",T178&gt;35000,"Very Large")</f>
        <v>Very Large</v>
      </c>
      <c r="V178">
        <v>84</v>
      </c>
      <c r="W178">
        <f t="shared" si="11"/>
        <v>7</v>
      </c>
      <c r="X178" t="s">
        <v>47</v>
      </c>
      <c r="Y178" t="s">
        <v>32</v>
      </c>
      <c r="Z178" t="s">
        <v>33</v>
      </c>
      <c r="AA178" t="s">
        <v>40</v>
      </c>
      <c r="AB178" t="s">
        <v>43</v>
      </c>
      <c r="AC178" t="s">
        <v>44</v>
      </c>
    </row>
    <row r="179" spans="1:29" x14ac:dyDescent="0.25">
      <c r="A179">
        <v>187</v>
      </c>
      <c r="B179">
        <v>8616</v>
      </c>
      <c r="C179">
        <v>8190</v>
      </c>
      <c r="D179">
        <f t="shared" si="8"/>
        <v>16806</v>
      </c>
      <c r="E179" t="s">
        <v>49</v>
      </c>
      <c r="F179">
        <v>32</v>
      </c>
      <c r="G179" t="str" cm="1">
        <f t="array" ref="G179">_xlfn.IFS(F179&lt;25,"18-24",F179&lt;35,"25-35",F179&lt;45,"35-44",F179&lt;55,"44-54",F179&gt;=55,"55+")</f>
        <v>25-35</v>
      </c>
      <c r="H179" t="s">
        <v>30</v>
      </c>
      <c r="I179">
        <v>0</v>
      </c>
      <c r="J179" t="str" cm="1">
        <f t="array" ref="J179">_xlfn.IFS(I179&lt;=0,"No Dependents",I179&lt;=1,"One",I179&lt;=2,"Two",I179&gt;=3,"Third")</f>
        <v>No Dependents</v>
      </c>
      <c r="K179">
        <v>795</v>
      </c>
      <c r="L179" t="str" cm="1">
        <f t="array" ref="L179">_xlfn.IFS(K179&lt;=580,"Poor",K179&lt;=670,"fair",K179&lt;=740,"Good",K179&lt;=800,"Very Good",K179&gt;=800,"Excellent")</f>
        <v>Very Good</v>
      </c>
      <c r="M179">
        <v>1</v>
      </c>
      <c r="N179" t="str">
        <f t="shared" si="9"/>
        <v>Yes</v>
      </c>
      <c r="O179">
        <v>0.56000000000000005</v>
      </c>
      <c r="P179" t="str" cm="1">
        <f t="array" ref="P179">_xlfn.IFS(O179&lt;=0.3,"Low Risk",O179&lt;=0.4,"medium Risk",O179&lt;=0.5,"High Risk",O179&gt;0.5,"Very High Risk")</f>
        <v>Very High Risk</v>
      </c>
      <c r="Q179">
        <v>10207</v>
      </c>
      <c r="R179">
        <v>28488</v>
      </c>
      <c r="S179" t="str">
        <f t="shared" si="10"/>
        <v>Yes</v>
      </c>
      <c r="T179">
        <v>8741</v>
      </c>
      <c r="U179" t="str" cm="1">
        <f t="array" ref="U179">_xlfn.IFS(T179&lt;5000,"Small",T179&lt;20000,"Medium",T179&lt;35000,"Large",T179&gt;35000,"Very Large")</f>
        <v>Medium</v>
      </c>
      <c r="V179">
        <v>12</v>
      </c>
      <c r="W179">
        <f t="shared" si="11"/>
        <v>1</v>
      </c>
      <c r="X179" t="s">
        <v>50</v>
      </c>
      <c r="Y179" t="s">
        <v>32</v>
      </c>
      <c r="Z179" t="s">
        <v>33</v>
      </c>
      <c r="AA179" t="s">
        <v>34</v>
      </c>
      <c r="AB179" t="s">
        <v>51</v>
      </c>
      <c r="AC179" t="s">
        <v>36</v>
      </c>
    </row>
    <row r="180" spans="1:29" x14ac:dyDescent="0.25">
      <c r="A180">
        <v>188</v>
      </c>
      <c r="B180">
        <v>16257</v>
      </c>
      <c r="C180">
        <v>3430</v>
      </c>
      <c r="D180">
        <f t="shared" si="8"/>
        <v>19687</v>
      </c>
      <c r="E180" t="s">
        <v>52</v>
      </c>
      <c r="F180">
        <v>58</v>
      </c>
      <c r="G180" t="str" cm="1">
        <f t="array" ref="G180">_xlfn.IFS(F180&lt;25,"18-24",F180&lt;35,"25-35",F180&lt;45,"35-44",F180&lt;55,"44-54",F180&gt;=55,"55+")</f>
        <v>55+</v>
      </c>
      <c r="H180" t="s">
        <v>30</v>
      </c>
      <c r="I180">
        <v>0</v>
      </c>
      <c r="J180" t="str" cm="1">
        <f t="array" ref="J180">_xlfn.IFS(I180&lt;=0,"No Dependents",I180&lt;=1,"One",I180&lt;=2,"Two",I180&gt;=3,"Third")</f>
        <v>No Dependents</v>
      </c>
      <c r="K180">
        <v>550</v>
      </c>
      <c r="L180" t="str" cm="1">
        <f t="array" ref="L180">_xlfn.IFS(K180&lt;=580,"Poor",K180&lt;=670,"fair",K180&lt;=740,"Good",K180&lt;=800,"Very Good",K180&gt;=800,"Excellent")</f>
        <v>Poor</v>
      </c>
      <c r="M180">
        <v>2</v>
      </c>
      <c r="N180" t="str">
        <f t="shared" si="9"/>
        <v>Yes</v>
      </c>
      <c r="O180">
        <v>0.39</v>
      </c>
      <c r="P180" t="str" cm="1">
        <f t="array" ref="P180">_xlfn.IFS(O180&lt;=0.3,"Low Risk",O180&lt;=0.4,"medium Risk",O180&lt;=0.5,"High Risk",O180&gt;0.5,"Very High Risk")</f>
        <v>medium Risk</v>
      </c>
      <c r="Q180">
        <v>5591</v>
      </c>
      <c r="R180">
        <v>15945</v>
      </c>
      <c r="S180" t="str">
        <f t="shared" si="10"/>
        <v>Yes</v>
      </c>
      <c r="T180">
        <v>5694</v>
      </c>
      <c r="U180" t="str" cm="1">
        <f t="array" ref="U180">_xlfn.IFS(T180&lt;5000,"Small",T180&lt;20000,"Medium",T180&lt;35000,"Large",T180&gt;35000,"Very Large")</f>
        <v>Medium</v>
      </c>
      <c r="V180">
        <v>72</v>
      </c>
      <c r="W180">
        <f t="shared" si="11"/>
        <v>6</v>
      </c>
      <c r="X180" t="s">
        <v>37</v>
      </c>
      <c r="Y180" t="s">
        <v>38</v>
      </c>
      <c r="Z180" t="s">
        <v>39</v>
      </c>
      <c r="AA180" t="s">
        <v>40</v>
      </c>
      <c r="AB180" t="s">
        <v>51</v>
      </c>
      <c r="AC180" t="s">
        <v>36</v>
      </c>
    </row>
    <row r="181" spans="1:29" x14ac:dyDescent="0.25">
      <c r="A181">
        <v>189</v>
      </c>
      <c r="B181">
        <v>16486</v>
      </c>
      <c r="C181">
        <v>4435</v>
      </c>
      <c r="D181">
        <f t="shared" si="8"/>
        <v>20921</v>
      </c>
      <c r="E181" t="s">
        <v>29</v>
      </c>
      <c r="F181">
        <v>56</v>
      </c>
      <c r="G181" t="str" cm="1">
        <f t="array" ref="G181">_xlfn.IFS(F181&lt;25,"18-24",F181&lt;35,"25-35",F181&lt;45,"35-44",F181&lt;55,"44-54",F181&gt;=55,"55+")</f>
        <v>55+</v>
      </c>
      <c r="H181" t="s">
        <v>30</v>
      </c>
      <c r="I181">
        <v>1</v>
      </c>
      <c r="J181" t="str" cm="1">
        <f t="array" ref="J181">_xlfn.IFS(I181&lt;=0,"No Dependents",I181&lt;=1,"One",I181&lt;=2,"Two",I181&gt;=3,"Third")</f>
        <v>One</v>
      </c>
      <c r="K181">
        <v>644</v>
      </c>
      <c r="L181" t="str" cm="1">
        <f t="array" ref="L181">_xlfn.IFS(K181&lt;=580,"Poor",K181&lt;=670,"fair",K181&lt;=740,"Good",K181&lt;=800,"Very Good",K181&gt;=800,"Excellent")</f>
        <v>fair</v>
      </c>
      <c r="M181">
        <v>0</v>
      </c>
      <c r="N181" t="str">
        <f t="shared" si="9"/>
        <v>No</v>
      </c>
      <c r="O181">
        <v>0.37</v>
      </c>
      <c r="P181" t="str" cm="1">
        <f t="array" ref="P181">_xlfn.IFS(O181&lt;=0.3,"Low Risk",O181&lt;=0.4,"medium Risk",O181&lt;=0.5,"High Risk",O181&gt;0.5,"Very High Risk")</f>
        <v>medium Risk</v>
      </c>
      <c r="Q181">
        <v>16226</v>
      </c>
      <c r="R181">
        <v>255</v>
      </c>
      <c r="S181" t="str">
        <f t="shared" si="10"/>
        <v>Yes</v>
      </c>
      <c r="T181">
        <v>31306</v>
      </c>
      <c r="U181" t="str" cm="1">
        <f t="array" ref="U181">_xlfn.IFS(T181&lt;5000,"Small",T181&lt;20000,"Medium",T181&lt;35000,"Large",T181&gt;35000,"Very Large")</f>
        <v>Large</v>
      </c>
      <c r="V181">
        <v>36</v>
      </c>
      <c r="W181">
        <f t="shared" si="11"/>
        <v>3</v>
      </c>
      <c r="X181" t="s">
        <v>37</v>
      </c>
      <c r="Y181" t="s">
        <v>38</v>
      </c>
      <c r="Z181" t="s">
        <v>39</v>
      </c>
      <c r="AA181" t="s">
        <v>40</v>
      </c>
      <c r="AB181" t="s">
        <v>42</v>
      </c>
      <c r="AC181" t="s">
        <v>36</v>
      </c>
    </row>
    <row r="182" spans="1:29" x14ac:dyDescent="0.25">
      <c r="A182">
        <v>190</v>
      </c>
      <c r="B182">
        <v>18646</v>
      </c>
      <c r="C182">
        <v>3760</v>
      </c>
      <c r="D182">
        <f t="shared" si="8"/>
        <v>22406</v>
      </c>
      <c r="E182" t="s">
        <v>49</v>
      </c>
      <c r="F182">
        <v>25</v>
      </c>
      <c r="G182" t="str" cm="1">
        <f t="array" ref="G182">_xlfn.IFS(F182&lt;25,"18-24",F182&lt;35,"25-35",F182&lt;45,"35-44",F182&lt;55,"44-54",F182&gt;=55,"55+")</f>
        <v>25-35</v>
      </c>
      <c r="H182" t="s">
        <v>41</v>
      </c>
      <c r="I182">
        <v>1</v>
      </c>
      <c r="J182" t="str" cm="1">
        <f t="array" ref="J182">_xlfn.IFS(I182&lt;=0,"No Dependents",I182&lt;=1,"One",I182&lt;=2,"Two",I182&gt;=3,"Third")</f>
        <v>One</v>
      </c>
      <c r="K182">
        <v>695</v>
      </c>
      <c r="L182" t="str" cm="1">
        <f t="array" ref="L182">_xlfn.IFS(K182&lt;=580,"Poor",K182&lt;=670,"fair",K182&lt;=740,"Good",K182&lt;=800,"Very Good",K182&gt;=800,"Excellent")</f>
        <v>Good</v>
      </c>
      <c r="M182">
        <v>4</v>
      </c>
      <c r="N182" t="str">
        <f t="shared" si="9"/>
        <v>Yes</v>
      </c>
      <c r="O182">
        <v>0.4</v>
      </c>
      <c r="P182" t="str" cm="1">
        <f t="array" ref="P182">_xlfn.IFS(O182&lt;=0.3,"Low Risk",O182&lt;=0.4,"medium Risk",O182&lt;=0.5,"High Risk",O182&gt;0.5,"Very High Risk")</f>
        <v>medium Risk</v>
      </c>
      <c r="Q182">
        <v>0</v>
      </c>
      <c r="R182">
        <v>11019</v>
      </c>
      <c r="S182" t="str">
        <f t="shared" si="10"/>
        <v>Yes</v>
      </c>
      <c r="T182">
        <v>2934</v>
      </c>
      <c r="U182" t="str" cm="1">
        <f t="array" ref="U182">_xlfn.IFS(T182&lt;5000,"Small",T182&lt;20000,"Medium",T182&lt;35000,"Large",T182&gt;35000,"Very Large")</f>
        <v>Small</v>
      </c>
      <c r="V182">
        <v>84</v>
      </c>
      <c r="W182">
        <f t="shared" si="11"/>
        <v>7</v>
      </c>
      <c r="X182" t="s">
        <v>42</v>
      </c>
      <c r="Y182" t="s">
        <v>32</v>
      </c>
      <c r="Z182" t="s">
        <v>39</v>
      </c>
      <c r="AA182" t="s">
        <v>40</v>
      </c>
      <c r="AB182" t="s">
        <v>51</v>
      </c>
      <c r="AC182" t="s">
        <v>36</v>
      </c>
    </row>
    <row r="183" spans="1:29" x14ac:dyDescent="0.25">
      <c r="A183">
        <v>191</v>
      </c>
      <c r="B183">
        <v>16075</v>
      </c>
      <c r="C183">
        <v>2050</v>
      </c>
      <c r="D183">
        <f t="shared" si="8"/>
        <v>18125</v>
      </c>
      <c r="E183" t="s">
        <v>46</v>
      </c>
      <c r="F183">
        <v>33</v>
      </c>
      <c r="G183" t="str" cm="1">
        <f t="array" ref="G183">_xlfn.IFS(F183&lt;25,"18-24",F183&lt;35,"25-35",F183&lt;45,"35-44",F183&lt;55,"44-54",F183&gt;=55,"55+")</f>
        <v>25-35</v>
      </c>
      <c r="H183" t="s">
        <v>30</v>
      </c>
      <c r="I183">
        <v>3</v>
      </c>
      <c r="J183" t="str" cm="1">
        <f t="array" ref="J183">_xlfn.IFS(I183&lt;=0,"No Dependents",I183&lt;=1,"One",I183&lt;=2,"Two",I183&gt;=3,"Third")</f>
        <v>Third</v>
      </c>
      <c r="K183">
        <v>629</v>
      </c>
      <c r="L183" t="str" cm="1">
        <f t="array" ref="L183">_xlfn.IFS(K183&lt;=580,"Poor",K183&lt;=670,"fair",K183&lt;=740,"Good",K183&lt;=800,"Very Good",K183&gt;=800,"Excellent")</f>
        <v>fair</v>
      </c>
      <c r="M183">
        <v>4</v>
      </c>
      <c r="N183" t="str">
        <f t="shared" si="9"/>
        <v>Yes</v>
      </c>
      <c r="O183">
        <v>0.28000000000000003</v>
      </c>
      <c r="P183" t="str" cm="1">
        <f t="array" ref="P183">_xlfn.IFS(O183&lt;=0.3,"Low Risk",O183&lt;=0.4,"medium Risk",O183&lt;=0.5,"High Risk",O183&gt;0.5,"Very High Risk")</f>
        <v>Low Risk</v>
      </c>
      <c r="Q183">
        <v>8572</v>
      </c>
      <c r="R183">
        <v>15487</v>
      </c>
      <c r="S183" t="str">
        <f t="shared" si="10"/>
        <v>Yes</v>
      </c>
      <c r="T183">
        <v>22556</v>
      </c>
      <c r="U183" t="str" cm="1">
        <f t="array" ref="U183">_xlfn.IFS(T183&lt;5000,"Small",T183&lt;20000,"Medium",T183&lt;35000,"Large",T183&gt;35000,"Very Large")</f>
        <v>Large</v>
      </c>
      <c r="V183">
        <v>24</v>
      </c>
      <c r="W183">
        <f t="shared" si="11"/>
        <v>2</v>
      </c>
      <c r="X183" t="s">
        <v>50</v>
      </c>
      <c r="Y183" t="s">
        <v>38</v>
      </c>
      <c r="Z183" t="s">
        <v>39</v>
      </c>
      <c r="AA183" t="s">
        <v>40</v>
      </c>
      <c r="AB183" t="s">
        <v>42</v>
      </c>
      <c r="AC183" t="s">
        <v>36</v>
      </c>
    </row>
    <row r="184" spans="1:29" x14ac:dyDescent="0.25">
      <c r="A184">
        <v>193</v>
      </c>
      <c r="B184">
        <v>18371</v>
      </c>
      <c r="C184">
        <v>8567</v>
      </c>
      <c r="D184">
        <f t="shared" si="8"/>
        <v>26938</v>
      </c>
      <c r="E184" t="s">
        <v>29</v>
      </c>
      <c r="F184">
        <v>50</v>
      </c>
      <c r="G184" t="str" cm="1">
        <f t="array" ref="G184">_xlfn.IFS(F184&lt;25,"18-24",F184&lt;35,"25-35",F184&lt;45,"35-44",F184&lt;55,"44-54",F184&gt;=55,"55+")</f>
        <v>44-54</v>
      </c>
      <c r="H184" t="s">
        <v>30</v>
      </c>
      <c r="I184">
        <v>1</v>
      </c>
      <c r="J184" t="str" cm="1">
        <f t="array" ref="J184">_xlfn.IFS(I184&lt;=0,"No Dependents",I184&lt;=1,"One",I184&lt;=2,"Two",I184&gt;=3,"Third")</f>
        <v>One</v>
      </c>
      <c r="K184">
        <v>585</v>
      </c>
      <c r="L184" t="str" cm="1">
        <f t="array" ref="L184">_xlfn.IFS(K184&lt;=580,"Poor",K184&lt;=670,"fair",K184&lt;=740,"Good",K184&lt;=800,"Very Good",K184&gt;=800,"Excellent")</f>
        <v>fair</v>
      </c>
      <c r="M184">
        <v>0</v>
      </c>
      <c r="N184" t="str">
        <f t="shared" si="9"/>
        <v>No</v>
      </c>
      <c r="O184">
        <v>0.36</v>
      </c>
      <c r="P184" t="str" cm="1">
        <f t="array" ref="P184">_xlfn.IFS(O184&lt;=0.3,"Low Risk",O184&lt;=0.4,"medium Risk",O184&lt;=0.5,"High Risk",O184&gt;0.5,"Very High Risk")</f>
        <v>medium Risk</v>
      </c>
      <c r="Q184">
        <v>19466</v>
      </c>
      <c r="R184">
        <v>19346</v>
      </c>
      <c r="S184" t="str">
        <f t="shared" si="10"/>
        <v>Yes</v>
      </c>
      <c r="T184">
        <v>0</v>
      </c>
      <c r="U184" t="str" cm="1">
        <f t="array" ref="U184">_xlfn.IFS(T184&lt;5000,"Small",T184&lt;20000,"Medium",T184&lt;35000,"Large",T184&gt;35000,"Very Large")</f>
        <v>Small</v>
      </c>
      <c r="V184">
        <v>48</v>
      </c>
      <c r="W184">
        <f t="shared" si="11"/>
        <v>4</v>
      </c>
      <c r="X184" t="s">
        <v>50</v>
      </c>
      <c r="Y184" t="s">
        <v>32</v>
      </c>
      <c r="Z184" t="s">
        <v>33</v>
      </c>
      <c r="AA184" t="s">
        <v>34</v>
      </c>
      <c r="AB184" t="s">
        <v>43</v>
      </c>
      <c r="AC184" t="s">
        <v>36</v>
      </c>
    </row>
    <row r="185" spans="1:29" x14ac:dyDescent="0.25">
      <c r="A185">
        <v>194</v>
      </c>
      <c r="B185">
        <v>13835</v>
      </c>
      <c r="C185">
        <v>2033</v>
      </c>
      <c r="D185">
        <f t="shared" si="8"/>
        <v>15868</v>
      </c>
      <c r="E185" t="s">
        <v>49</v>
      </c>
      <c r="F185">
        <v>57</v>
      </c>
      <c r="G185" t="str" cm="1">
        <f t="array" ref="G185">_xlfn.IFS(F185&lt;25,"18-24",F185&lt;35,"25-35",F185&lt;45,"35-44",F185&lt;55,"44-54",F185&gt;=55,"55+")</f>
        <v>55+</v>
      </c>
      <c r="H185" t="s">
        <v>30</v>
      </c>
      <c r="I185">
        <v>1</v>
      </c>
      <c r="J185" t="str" cm="1">
        <f t="array" ref="J185">_xlfn.IFS(I185&lt;=0,"No Dependents",I185&lt;=1,"One",I185&lt;=2,"Two",I185&gt;=3,"Third")</f>
        <v>One</v>
      </c>
      <c r="K185">
        <v>574</v>
      </c>
      <c r="L185" t="str" cm="1">
        <f t="array" ref="L185">_xlfn.IFS(K185&lt;=580,"Poor",K185&lt;=670,"fair",K185&lt;=740,"Good",K185&lt;=800,"Very Good",K185&gt;=800,"Excellent")</f>
        <v>Poor</v>
      </c>
      <c r="M185">
        <v>0</v>
      </c>
      <c r="N185" t="str">
        <f t="shared" si="9"/>
        <v>No</v>
      </c>
      <c r="O185">
        <v>0.16</v>
      </c>
      <c r="P185" t="str" cm="1">
        <f t="array" ref="P185">_xlfn.IFS(O185&lt;=0.3,"Low Risk",O185&lt;=0.4,"medium Risk",O185&lt;=0.5,"High Risk",O185&gt;0.5,"Very High Risk")</f>
        <v>Low Risk</v>
      </c>
      <c r="Q185">
        <v>0</v>
      </c>
      <c r="R185">
        <v>35050</v>
      </c>
      <c r="S185" t="str">
        <f t="shared" si="10"/>
        <v>Yes</v>
      </c>
      <c r="T185">
        <v>30158</v>
      </c>
      <c r="U185" t="str" cm="1">
        <f t="array" ref="U185">_xlfn.IFS(T185&lt;5000,"Small",T185&lt;20000,"Medium",T185&lt;35000,"Large",T185&gt;35000,"Very Large")</f>
        <v>Large</v>
      </c>
      <c r="V185">
        <v>24</v>
      </c>
      <c r="W185">
        <f t="shared" si="11"/>
        <v>2</v>
      </c>
      <c r="X185" t="s">
        <v>37</v>
      </c>
      <c r="Y185" t="s">
        <v>32</v>
      </c>
      <c r="Z185" t="s">
        <v>33</v>
      </c>
      <c r="AA185" t="s">
        <v>40</v>
      </c>
      <c r="AB185" t="s">
        <v>43</v>
      </c>
      <c r="AC185" t="s">
        <v>36</v>
      </c>
    </row>
    <row r="186" spans="1:29" x14ac:dyDescent="0.25">
      <c r="A186">
        <v>195</v>
      </c>
      <c r="B186">
        <v>0</v>
      </c>
      <c r="C186">
        <v>6467</v>
      </c>
      <c r="D186">
        <f t="shared" si="8"/>
        <v>6467</v>
      </c>
      <c r="E186" t="s">
        <v>29</v>
      </c>
      <c r="F186">
        <v>45</v>
      </c>
      <c r="G186" t="str" cm="1">
        <f t="array" ref="G186">_xlfn.IFS(F186&lt;25,"18-24",F186&lt;35,"25-35",F186&lt;45,"35-44",F186&lt;55,"44-54",F186&gt;=55,"55+")</f>
        <v>44-54</v>
      </c>
      <c r="H186" t="s">
        <v>30</v>
      </c>
      <c r="I186">
        <v>0</v>
      </c>
      <c r="J186" t="str" cm="1">
        <f t="array" ref="J186">_xlfn.IFS(I186&lt;=0,"No Dependents",I186&lt;=1,"One",I186&lt;=2,"Two",I186&gt;=3,"Third")</f>
        <v>No Dependents</v>
      </c>
      <c r="K186">
        <v>764</v>
      </c>
      <c r="L186" t="str" cm="1">
        <f t="array" ref="L186">_xlfn.IFS(K186&lt;=580,"Poor",K186&lt;=670,"fair",K186&lt;=740,"Good",K186&lt;=800,"Very Good",K186&gt;=800,"Excellent")</f>
        <v>Very Good</v>
      </c>
      <c r="M186">
        <v>0</v>
      </c>
      <c r="N186" t="str">
        <f t="shared" si="9"/>
        <v>No</v>
      </c>
      <c r="O186">
        <v>0.16</v>
      </c>
      <c r="P186" t="str" cm="1">
        <f t="array" ref="P186">_xlfn.IFS(O186&lt;=0.3,"Low Risk",O186&lt;=0.4,"medium Risk",O186&lt;=0.5,"High Risk",O186&gt;0.5,"Very High Risk")</f>
        <v>Low Risk</v>
      </c>
      <c r="Q186">
        <v>8007</v>
      </c>
      <c r="R186">
        <v>8744</v>
      </c>
      <c r="S186" t="str">
        <f t="shared" si="10"/>
        <v>Yes</v>
      </c>
      <c r="T186">
        <v>21293</v>
      </c>
      <c r="U186" t="str" cm="1">
        <f t="array" ref="U186">_xlfn.IFS(T186&lt;5000,"Small",T186&lt;20000,"Medium",T186&lt;35000,"Large",T186&gt;35000,"Very Large")</f>
        <v>Large</v>
      </c>
      <c r="V186">
        <v>48</v>
      </c>
      <c r="W186">
        <f t="shared" si="11"/>
        <v>4</v>
      </c>
      <c r="X186" t="s">
        <v>47</v>
      </c>
      <c r="Y186" t="s">
        <v>32</v>
      </c>
      <c r="Z186" t="s">
        <v>39</v>
      </c>
      <c r="AA186" t="s">
        <v>40</v>
      </c>
      <c r="AB186" t="s">
        <v>42</v>
      </c>
      <c r="AC186" t="s">
        <v>44</v>
      </c>
    </row>
    <row r="187" spans="1:29" x14ac:dyDescent="0.25">
      <c r="A187">
        <v>196</v>
      </c>
      <c r="B187">
        <v>4049</v>
      </c>
      <c r="C187">
        <v>145</v>
      </c>
      <c r="D187">
        <f t="shared" si="8"/>
        <v>4194</v>
      </c>
      <c r="E187" t="s">
        <v>29</v>
      </c>
      <c r="F187">
        <v>47</v>
      </c>
      <c r="G187" t="str" cm="1">
        <f t="array" ref="G187">_xlfn.IFS(F187&lt;25,"18-24",F187&lt;35,"25-35",F187&lt;45,"35-44",F187&lt;55,"44-54",F187&gt;=55,"55+")</f>
        <v>44-54</v>
      </c>
      <c r="H187" t="s">
        <v>30</v>
      </c>
      <c r="I187">
        <v>0</v>
      </c>
      <c r="J187" t="str" cm="1">
        <f t="array" ref="J187">_xlfn.IFS(I187&lt;=0,"No Dependents",I187&lt;=1,"One",I187&lt;=2,"Two",I187&gt;=3,"Third")</f>
        <v>No Dependents</v>
      </c>
      <c r="K187">
        <v>753</v>
      </c>
      <c r="L187" t="str" cm="1">
        <f t="array" ref="L187">_xlfn.IFS(K187&lt;=580,"Poor",K187&lt;=670,"fair",K187&lt;=740,"Good",K187&lt;=800,"Very Good",K187&gt;=800,"Excellent")</f>
        <v>Very Good</v>
      </c>
      <c r="M187">
        <v>3</v>
      </c>
      <c r="N187" t="str">
        <f t="shared" si="9"/>
        <v>Yes</v>
      </c>
      <c r="O187">
        <v>0.37</v>
      </c>
      <c r="P187" t="str" cm="1">
        <f t="array" ref="P187">_xlfn.IFS(O187&lt;=0.3,"Low Risk",O187&lt;=0.4,"medium Risk",O187&lt;=0.5,"High Risk",O187&gt;0.5,"Very High Risk")</f>
        <v>medium Risk</v>
      </c>
      <c r="Q187">
        <v>15903</v>
      </c>
      <c r="R187">
        <v>24756</v>
      </c>
      <c r="S187" t="str">
        <f t="shared" si="10"/>
        <v>Yes</v>
      </c>
      <c r="T187">
        <v>34932</v>
      </c>
      <c r="U187" t="str" cm="1">
        <f t="array" ref="U187">_xlfn.IFS(T187&lt;5000,"Small",T187&lt;20000,"Medium",T187&lt;35000,"Large",T187&gt;35000,"Very Large")</f>
        <v>Large</v>
      </c>
      <c r="V187">
        <v>84</v>
      </c>
      <c r="W187">
        <f t="shared" si="11"/>
        <v>7</v>
      </c>
      <c r="X187" t="s">
        <v>42</v>
      </c>
      <c r="Y187" t="s">
        <v>38</v>
      </c>
      <c r="Z187" t="s">
        <v>39</v>
      </c>
      <c r="AA187" t="s">
        <v>40</v>
      </c>
      <c r="AB187" t="s">
        <v>35</v>
      </c>
      <c r="AC187" t="s">
        <v>36</v>
      </c>
    </row>
    <row r="188" spans="1:29" x14ac:dyDescent="0.25">
      <c r="A188">
        <v>198</v>
      </c>
      <c r="B188">
        <v>16589</v>
      </c>
      <c r="C188">
        <v>7832</v>
      </c>
      <c r="D188">
        <f t="shared" si="8"/>
        <v>24421</v>
      </c>
      <c r="E188" t="s">
        <v>49</v>
      </c>
      <c r="F188">
        <v>56</v>
      </c>
      <c r="G188" t="str" cm="1">
        <f t="array" ref="G188">_xlfn.IFS(F188&lt;25,"18-24",F188&lt;35,"25-35",F188&lt;45,"35-44",F188&lt;55,"44-54",F188&gt;=55,"55+")</f>
        <v>55+</v>
      </c>
      <c r="H188" t="s">
        <v>41</v>
      </c>
      <c r="I188">
        <v>0</v>
      </c>
      <c r="J188" t="str" cm="1">
        <f t="array" ref="J188">_xlfn.IFS(I188&lt;=0,"No Dependents",I188&lt;=1,"One",I188&lt;=2,"Two",I188&gt;=3,"Third")</f>
        <v>No Dependents</v>
      </c>
      <c r="K188">
        <v>713</v>
      </c>
      <c r="L188" t="str" cm="1">
        <f t="array" ref="L188">_xlfn.IFS(K188&lt;=580,"Poor",K188&lt;=670,"fair",K188&lt;=740,"Good",K188&lt;=800,"Very Good",K188&gt;=800,"Excellent")</f>
        <v>Good</v>
      </c>
      <c r="M188">
        <v>1</v>
      </c>
      <c r="N188" t="str">
        <f t="shared" si="9"/>
        <v>Yes</v>
      </c>
      <c r="O188">
        <v>0.25</v>
      </c>
      <c r="P188" t="str" cm="1">
        <f t="array" ref="P188">_xlfn.IFS(O188&lt;=0.3,"Low Risk",O188&lt;=0.4,"medium Risk",O188&lt;=0.5,"High Risk",O188&gt;0.5,"Very High Risk")</f>
        <v>Low Risk</v>
      </c>
      <c r="Q188">
        <v>4261</v>
      </c>
      <c r="R188">
        <v>25146</v>
      </c>
      <c r="S188" t="str">
        <f t="shared" si="10"/>
        <v>Yes</v>
      </c>
      <c r="T188">
        <v>4066</v>
      </c>
      <c r="U188" t="str" cm="1">
        <f t="array" ref="U188">_xlfn.IFS(T188&lt;5000,"Small",T188&lt;20000,"Medium",T188&lt;35000,"Large",T188&gt;35000,"Very Large")</f>
        <v>Small</v>
      </c>
      <c r="V188">
        <v>48</v>
      </c>
      <c r="W188">
        <f t="shared" si="11"/>
        <v>4</v>
      </c>
      <c r="X188" t="s">
        <v>50</v>
      </c>
      <c r="Y188" t="s">
        <v>45</v>
      </c>
      <c r="Z188" t="s">
        <v>39</v>
      </c>
      <c r="AA188" t="s">
        <v>40</v>
      </c>
      <c r="AB188" t="s">
        <v>48</v>
      </c>
      <c r="AC188" t="s">
        <v>44</v>
      </c>
    </row>
    <row r="189" spans="1:29" x14ac:dyDescent="0.25">
      <c r="A189">
        <v>199</v>
      </c>
      <c r="B189">
        <v>9158</v>
      </c>
      <c r="C189">
        <v>8623</v>
      </c>
      <c r="D189">
        <f t="shared" si="8"/>
        <v>17781</v>
      </c>
      <c r="E189" t="s">
        <v>49</v>
      </c>
      <c r="F189">
        <v>59</v>
      </c>
      <c r="G189" t="str" cm="1">
        <f t="array" ref="G189">_xlfn.IFS(F189&lt;25,"18-24",F189&lt;35,"25-35",F189&lt;45,"35-44",F189&lt;55,"44-54",F189&gt;=55,"55+")</f>
        <v>55+</v>
      </c>
      <c r="H189" t="s">
        <v>41</v>
      </c>
      <c r="I189">
        <v>3</v>
      </c>
      <c r="J189" t="str" cm="1">
        <f t="array" ref="J189">_xlfn.IFS(I189&lt;=0,"No Dependents",I189&lt;=1,"One",I189&lt;=2,"Two",I189&gt;=3,"Third")</f>
        <v>Third</v>
      </c>
      <c r="K189">
        <v>650</v>
      </c>
      <c r="L189" t="str" cm="1">
        <f t="array" ref="L189">_xlfn.IFS(K189&lt;=580,"Poor",K189&lt;=670,"fair",K189&lt;=740,"Good",K189&lt;=800,"Very Good",K189&gt;=800,"Excellent")</f>
        <v>fair</v>
      </c>
      <c r="M189">
        <v>0</v>
      </c>
      <c r="N189" t="str">
        <f t="shared" si="9"/>
        <v>No</v>
      </c>
      <c r="O189">
        <v>0.53</v>
      </c>
      <c r="P189" t="str" cm="1">
        <f t="array" ref="P189">_xlfn.IFS(O189&lt;=0.3,"Low Risk",O189&lt;=0.4,"medium Risk",O189&lt;=0.5,"High Risk",O189&gt;0.5,"Very High Risk")</f>
        <v>Very High Risk</v>
      </c>
      <c r="Q189">
        <v>2389</v>
      </c>
      <c r="R189">
        <v>42687</v>
      </c>
      <c r="S189" t="str">
        <f t="shared" si="10"/>
        <v>Yes</v>
      </c>
      <c r="T189">
        <v>22256</v>
      </c>
      <c r="U189" t="str" cm="1">
        <f t="array" ref="U189">_xlfn.IFS(T189&lt;5000,"Small",T189&lt;20000,"Medium",T189&lt;35000,"Large",T189&gt;35000,"Very Large")</f>
        <v>Large</v>
      </c>
      <c r="V189">
        <v>12</v>
      </c>
      <c r="W189">
        <f t="shared" si="11"/>
        <v>1</v>
      </c>
      <c r="X189" t="s">
        <v>42</v>
      </c>
      <c r="Y189" t="s">
        <v>32</v>
      </c>
      <c r="Z189" t="s">
        <v>39</v>
      </c>
      <c r="AA189" t="s">
        <v>40</v>
      </c>
      <c r="AB189" t="s">
        <v>42</v>
      </c>
      <c r="AC189" t="s">
        <v>36</v>
      </c>
    </row>
    <row r="190" spans="1:29" x14ac:dyDescent="0.25">
      <c r="A190">
        <v>200</v>
      </c>
      <c r="B190">
        <v>12248</v>
      </c>
      <c r="C190">
        <v>8896</v>
      </c>
      <c r="D190">
        <f t="shared" si="8"/>
        <v>21144</v>
      </c>
      <c r="E190" t="s">
        <v>49</v>
      </c>
      <c r="F190">
        <v>36</v>
      </c>
      <c r="G190" t="str" cm="1">
        <f t="array" ref="G190">_xlfn.IFS(F190&lt;25,"18-24",F190&lt;35,"25-35",F190&lt;45,"35-44",F190&lt;55,"44-54",F190&gt;=55,"55+")</f>
        <v>35-44</v>
      </c>
      <c r="H190" t="s">
        <v>41</v>
      </c>
      <c r="I190">
        <v>1</v>
      </c>
      <c r="J190" t="str" cm="1">
        <f t="array" ref="J190">_xlfn.IFS(I190&lt;=0,"No Dependents",I190&lt;=1,"One",I190&lt;=2,"Two",I190&gt;=3,"Third")</f>
        <v>One</v>
      </c>
      <c r="K190">
        <v>744</v>
      </c>
      <c r="L190" t="str" cm="1">
        <f t="array" ref="L190">_xlfn.IFS(K190&lt;=580,"Poor",K190&lt;=670,"fair",K190&lt;=740,"Good",K190&lt;=800,"Very Good",K190&gt;=800,"Excellent")</f>
        <v>Very Good</v>
      </c>
      <c r="M190">
        <v>0</v>
      </c>
      <c r="N190" t="str">
        <f t="shared" si="9"/>
        <v>No</v>
      </c>
      <c r="O190">
        <v>0.48</v>
      </c>
      <c r="P190" t="str" cm="1">
        <f t="array" ref="P190">_xlfn.IFS(O190&lt;=0.3,"Low Risk",O190&lt;=0.4,"medium Risk",O190&lt;=0.5,"High Risk",O190&gt;0.5,"Very High Risk")</f>
        <v>High Risk</v>
      </c>
      <c r="Q190">
        <v>19937</v>
      </c>
      <c r="R190">
        <v>46103</v>
      </c>
      <c r="S190" t="str">
        <f t="shared" si="10"/>
        <v>Yes</v>
      </c>
      <c r="T190">
        <v>36105</v>
      </c>
      <c r="U190" t="str" cm="1">
        <f t="array" ref="U190">_xlfn.IFS(T190&lt;5000,"Small",T190&lt;20000,"Medium",T190&lt;35000,"Large",T190&gt;35000,"Very Large")</f>
        <v>Very Large</v>
      </c>
      <c r="V190">
        <v>60</v>
      </c>
      <c r="W190">
        <f t="shared" si="11"/>
        <v>5</v>
      </c>
      <c r="X190" t="s">
        <v>47</v>
      </c>
      <c r="Y190" t="s">
        <v>45</v>
      </c>
      <c r="Z190" t="s">
        <v>33</v>
      </c>
      <c r="AA190" t="s">
        <v>34</v>
      </c>
      <c r="AB190" t="s">
        <v>35</v>
      </c>
      <c r="AC190" t="s">
        <v>36</v>
      </c>
    </row>
    <row r="191" spans="1:29" x14ac:dyDescent="0.25">
      <c r="A191">
        <v>201</v>
      </c>
      <c r="B191">
        <v>9400</v>
      </c>
      <c r="C191">
        <v>8173</v>
      </c>
      <c r="D191">
        <f t="shared" si="8"/>
        <v>17573</v>
      </c>
      <c r="E191" t="s">
        <v>29</v>
      </c>
      <c r="F191">
        <v>42</v>
      </c>
      <c r="G191" t="str" cm="1">
        <f t="array" ref="G191">_xlfn.IFS(F191&lt;25,"18-24",F191&lt;35,"25-35",F191&lt;45,"35-44",F191&lt;55,"44-54",F191&gt;=55,"55+")</f>
        <v>35-44</v>
      </c>
      <c r="H191" t="s">
        <v>30</v>
      </c>
      <c r="I191">
        <v>0</v>
      </c>
      <c r="J191" t="str" cm="1">
        <f t="array" ref="J191">_xlfn.IFS(I191&lt;=0,"No Dependents",I191&lt;=1,"One",I191&lt;=2,"Two",I191&gt;=3,"Third")</f>
        <v>No Dependents</v>
      </c>
      <c r="K191">
        <v>558</v>
      </c>
      <c r="L191" t="str" cm="1">
        <f t="array" ref="L191">_xlfn.IFS(K191&lt;=580,"Poor",K191&lt;=670,"fair",K191&lt;=740,"Good",K191&lt;=800,"Very Good",K191&gt;=800,"Excellent")</f>
        <v>Poor</v>
      </c>
      <c r="M191">
        <v>4</v>
      </c>
      <c r="N191" t="str">
        <f t="shared" si="9"/>
        <v>Yes</v>
      </c>
      <c r="O191">
        <v>0.22</v>
      </c>
      <c r="P191" t="str" cm="1">
        <f t="array" ref="P191">_xlfn.IFS(O191&lt;=0.3,"Low Risk",O191&lt;=0.4,"medium Risk",O191&lt;=0.5,"High Risk",O191&gt;0.5,"Very High Risk")</f>
        <v>Low Risk</v>
      </c>
      <c r="Q191">
        <v>13939</v>
      </c>
      <c r="R191">
        <v>21976</v>
      </c>
      <c r="S191" t="str">
        <f t="shared" si="10"/>
        <v>Yes</v>
      </c>
      <c r="T191">
        <v>0</v>
      </c>
      <c r="U191" t="str" cm="1">
        <f t="array" ref="U191">_xlfn.IFS(T191&lt;5000,"Small",T191&lt;20000,"Medium",T191&lt;35000,"Large",T191&gt;35000,"Very Large")</f>
        <v>Small</v>
      </c>
      <c r="V191">
        <v>12</v>
      </c>
      <c r="W191">
        <f t="shared" si="11"/>
        <v>1</v>
      </c>
      <c r="X191" t="s">
        <v>50</v>
      </c>
      <c r="Y191" t="s">
        <v>45</v>
      </c>
      <c r="Z191" t="s">
        <v>33</v>
      </c>
      <c r="AA191" t="s">
        <v>34</v>
      </c>
      <c r="AB191" t="s">
        <v>35</v>
      </c>
      <c r="AC191" t="s">
        <v>36</v>
      </c>
    </row>
    <row r="192" spans="1:29" x14ac:dyDescent="0.25">
      <c r="A192">
        <v>202</v>
      </c>
      <c r="B192">
        <v>11874</v>
      </c>
      <c r="C192">
        <v>2632</v>
      </c>
      <c r="D192">
        <f t="shared" si="8"/>
        <v>14506</v>
      </c>
      <c r="E192" t="s">
        <v>29</v>
      </c>
      <c r="F192">
        <v>41</v>
      </c>
      <c r="G192" t="str" cm="1">
        <f t="array" ref="G192">_xlfn.IFS(F192&lt;25,"18-24",F192&lt;35,"25-35",F192&lt;45,"35-44",F192&lt;55,"44-54",F192&gt;=55,"55+")</f>
        <v>35-44</v>
      </c>
      <c r="H192" t="s">
        <v>41</v>
      </c>
      <c r="I192">
        <v>3</v>
      </c>
      <c r="J192" t="str" cm="1">
        <f t="array" ref="J192">_xlfn.IFS(I192&lt;=0,"No Dependents",I192&lt;=1,"One",I192&lt;=2,"Two",I192&gt;=3,"Third")</f>
        <v>Third</v>
      </c>
      <c r="K192">
        <v>550</v>
      </c>
      <c r="L192" t="str" cm="1">
        <f t="array" ref="L192">_xlfn.IFS(K192&lt;=580,"Poor",K192&lt;=670,"fair",K192&lt;=740,"Good",K192&lt;=800,"Very Good",K192&gt;=800,"Excellent")</f>
        <v>Poor</v>
      </c>
      <c r="M192">
        <v>4</v>
      </c>
      <c r="N192" t="str">
        <f t="shared" si="9"/>
        <v>Yes</v>
      </c>
      <c r="O192">
        <v>0.12</v>
      </c>
      <c r="P192" t="str" cm="1">
        <f t="array" ref="P192">_xlfn.IFS(O192&lt;=0.3,"Low Risk",O192&lt;=0.4,"medium Risk",O192&lt;=0.5,"High Risk",O192&gt;0.5,"Very High Risk")</f>
        <v>Low Risk</v>
      </c>
      <c r="Q192">
        <v>0</v>
      </c>
      <c r="R192">
        <v>591</v>
      </c>
      <c r="S192" t="str">
        <f t="shared" si="10"/>
        <v>Yes</v>
      </c>
      <c r="T192">
        <v>3460</v>
      </c>
      <c r="U192" t="str" cm="1">
        <f t="array" ref="U192">_xlfn.IFS(T192&lt;5000,"Small",T192&lt;20000,"Medium",T192&lt;35000,"Large",T192&gt;35000,"Very Large")</f>
        <v>Small</v>
      </c>
      <c r="V192">
        <v>12</v>
      </c>
      <c r="W192">
        <f t="shared" si="11"/>
        <v>1</v>
      </c>
      <c r="X192" t="s">
        <v>47</v>
      </c>
      <c r="Y192" t="s">
        <v>38</v>
      </c>
      <c r="Z192" t="s">
        <v>33</v>
      </c>
      <c r="AA192" t="s">
        <v>40</v>
      </c>
      <c r="AB192" t="s">
        <v>51</v>
      </c>
      <c r="AC192" t="s">
        <v>36</v>
      </c>
    </row>
    <row r="193" spans="1:29" x14ac:dyDescent="0.25">
      <c r="A193">
        <v>203</v>
      </c>
      <c r="B193">
        <v>17151</v>
      </c>
      <c r="C193">
        <v>4494</v>
      </c>
      <c r="D193">
        <f t="shared" si="8"/>
        <v>21645</v>
      </c>
      <c r="E193" t="s">
        <v>46</v>
      </c>
      <c r="F193">
        <v>41</v>
      </c>
      <c r="G193" t="str" cm="1">
        <f t="array" ref="G193">_xlfn.IFS(F193&lt;25,"18-24",F193&lt;35,"25-35",F193&lt;45,"35-44",F193&lt;55,"44-54",F193&gt;=55,"55+")</f>
        <v>35-44</v>
      </c>
      <c r="H193" t="s">
        <v>30</v>
      </c>
      <c r="I193">
        <v>0</v>
      </c>
      <c r="J193" t="str" cm="1">
        <f t="array" ref="J193">_xlfn.IFS(I193&lt;=0,"No Dependents",I193&lt;=1,"One",I193&lt;=2,"Two",I193&gt;=3,"Third")</f>
        <v>No Dependents</v>
      </c>
      <c r="K193">
        <v>602</v>
      </c>
      <c r="L193" t="str" cm="1">
        <f t="array" ref="L193">_xlfn.IFS(K193&lt;=580,"Poor",K193&lt;=670,"fair",K193&lt;=740,"Good",K193&lt;=800,"Very Good",K193&gt;=800,"Excellent")</f>
        <v>fair</v>
      </c>
      <c r="M193">
        <v>1</v>
      </c>
      <c r="N193" t="str">
        <f t="shared" si="9"/>
        <v>Yes</v>
      </c>
      <c r="O193">
        <v>0.15</v>
      </c>
      <c r="P193" t="str" cm="1">
        <f t="array" ref="P193">_xlfn.IFS(O193&lt;=0.3,"Low Risk",O193&lt;=0.4,"medium Risk",O193&lt;=0.5,"High Risk",O193&gt;0.5,"Very High Risk")</f>
        <v>Low Risk</v>
      </c>
      <c r="Q193">
        <v>9399</v>
      </c>
      <c r="R193">
        <v>6277</v>
      </c>
      <c r="S193" t="str">
        <f t="shared" si="10"/>
        <v>Yes</v>
      </c>
      <c r="T193">
        <v>7820</v>
      </c>
      <c r="U193" t="str" cm="1">
        <f t="array" ref="U193">_xlfn.IFS(T193&lt;5000,"Small",T193&lt;20000,"Medium",T193&lt;35000,"Large",T193&gt;35000,"Very Large")</f>
        <v>Medium</v>
      </c>
      <c r="V193">
        <v>84</v>
      </c>
      <c r="W193">
        <f t="shared" si="11"/>
        <v>7</v>
      </c>
      <c r="X193" t="s">
        <v>50</v>
      </c>
      <c r="Y193" t="s">
        <v>32</v>
      </c>
      <c r="Z193" t="s">
        <v>33</v>
      </c>
      <c r="AA193" t="s">
        <v>34</v>
      </c>
      <c r="AB193" t="s">
        <v>48</v>
      </c>
      <c r="AC193" t="s">
        <v>36</v>
      </c>
    </row>
    <row r="194" spans="1:29" x14ac:dyDescent="0.25">
      <c r="A194">
        <v>205</v>
      </c>
      <c r="B194">
        <v>6499</v>
      </c>
      <c r="C194">
        <v>7511</v>
      </c>
      <c r="D194">
        <f t="shared" si="8"/>
        <v>14010</v>
      </c>
      <c r="E194" t="s">
        <v>29</v>
      </c>
      <c r="F194">
        <v>36</v>
      </c>
      <c r="G194" t="str" cm="1">
        <f t="array" ref="G194">_xlfn.IFS(F194&lt;25,"18-24",F194&lt;35,"25-35",F194&lt;45,"35-44",F194&lt;55,"44-54",F194&gt;=55,"55+")</f>
        <v>35-44</v>
      </c>
      <c r="H194" t="s">
        <v>30</v>
      </c>
      <c r="I194">
        <v>0</v>
      </c>
      <c r="J194" t="str" cm="1">
        <f t="array" ref="J194">_xlfn.IFS(I194&lt;=0,"No Dependents",I194&lt;=1,"One",I194&lt;=2,"Two",I194&gt;=3,"Third")</f>
        <v>No Dependents</v>
      </c>
      <c r="K194">
        <v>550</v>
      </c>
      <c r="L194" t="str" cm="1">
        <f t="array" ref="L194">_xlfn.IFS(K194&lt;=580,"Poor",K194&lt;=670,"fair",K194&lt;=740,"Good",K194&lt;=800,"Very Good",K194&gt;=800,"Excellent")</f>
        <v>Poor</v>
      </c>
      <c r="M194">
        <v>1</v>
      </c>
      <c r="N194" t="str">
        <f t="shared" si="9"/>
        <v>Yes</v>
      </c>
      <c r="O194">
        <v>0.2</v>
      </c>
      <c r="P194" t="str" cm="1">
        <f t="array" ref="P194">_xlfn.IFS(O194&lt;=0.3,"Low Risk",O194&lt;=0.4,"medium Risk",O194&lt;=0.5,"High Risk",O194&gt;0.5,"Very High Risk")</f>
        <v>Low Risk</v>
      </c>
      <c r="Q194">
        <v>2239</v>
      </c>
      <c r="R194">
        <v>43907</v>
      </c>
      <c r="S194" t="str">
        <f t="shared" si="10"/>
        <v>Yes</v>
      </c>
      <c r="T194">
        <v>17191</v>
      </c>
      <c r="U194" t="str" cm="1">
        <f t="array" ref="U194">_xlfn.IFS(T194&lt;5000,"Small",T194&lt;20000,"Medium",T194&lt;35000,"Large",T194&gt;35000,"Very Large")</f>
        <v>Medium</v>
      </c>
      <c r="V194">
        <v>12</v>
      </c>
      <c r="W194">
        <f t="shared" si="11"/>
        <v>1</v>
      </c>
      <c r="X194" t="s">
        <v>50</v>
      </c>
      <c r="Y194" t="s">
        <v>32</v>
      </c>
      <c r="Z194" t="s">
        <v>39</v>
      </c>
      <c r="AA194" t="s">
        <v>40</v>
      </c>
      <c r="AB194" t="s">
        <v>51</v>
      </c>
      <c r="AC194" t="s">
        <v>44</v>
      </c>
    </row>
    <row r="195" spans="1:29" x14ac:dyDescent="0.25">
      <c r="A195">
        <v>206</v>
      </c>
      <c r="B195">
        <v>8295</v>
      </c>
      <c r="C195">
        <v>9155</v>
      </c>
      <c r="D195">
        <f t="shared" ref="D195:D258" si="12">B195+C195</f>
        <v>17450</v>
      </c>
      <c r="E195" t="s">
        <v>46</v>
      </c>
      <c r="F195">
        <v>51</v>
      </c>
      <c r="G195" t="str" cm="1">
        <f t="array" ref="G195">_xlfn.IFS(F195&lt;25,"18-24",F195&lt;35,"25-35",F195&lt;45,"35-44",F195&lt;55,"44-54",F195&gt;=55,"55+")</f>
        <v>44-54</v>
      </c>
      <c r="H195" t="s">
        <v>30</v>
      </c>
      <c r="I195">
        <v>1</v>
      </c>
      <c r="J195" t="str" cm="1">
        <f t="array" ref="J195">_xlfn.IFS(I195&lt;=0,"No Dependents",I195&lt;=1,"One",I195&lt;=2,"Two",I195&gt;=3,"Third")</f>
        <v>One</v>
      </c>
      <c r="K195">
        <v>712</v>
      </c>
      <c r="L195" t="str" cm="1">
        <f t="array" ref="L195">_xlfn.IFS(K195&lt;=580,"Poor",K195&lt;=670,"fair",K195&lt;=740,"Good",K195&lt;=800,"Very Good",K195&gt;=800,"Excellent")</f>
        <v>Good</v>
      </c>
      <c r="M195">
        <v>4</v>
      </c>
      <c r="N195" t="str">
        <f t="shared" ref="N195:N258" si="13">IF(M195&gt;0,"Yes","No")</f>
        <v>Yes</v>
      </c>
      <c r="O195">
        <v>0.28999999999999998</v>
      </c>
      <c r="P195" t="str" cm="1">
        <f t="array" ref="P195">_xlfn.IFS(O195&lt;=0.3,"Low Risk",O195&lt;=0.4,"medium Risk",O195&lt;=0.5,"High Risk",O195&gt;0.5,"Very High Risk")</f>
        <v>Low Risk</v>
      </c>
      <c r="Q195">
        <v>10559</v>
      </c>
      <c r="R195">
        <v>347</v>
      </c>
      <c r="S195" t="str">
        <f t="shared" ref="S195:S258" si="14">IF(R195&gt;100,"Yes","No")</f>
        <v>Yes</v>
      </c>
      <c r="T195">
        <v>20095</v>
      </c>
      <c r="U195" t="str" cm="1">
        <f t="array" ref="U195">_xlfn.IFS(T195&lt;5000,"Small",T195&lt;20000,"Medium",T195&lt;35000,"Large",T195&gt;35000,"Very Large")</f>
        <v>Large</v>
      </c>
      <c r="V195">
        <v>24</v>
      </c>
      <c r="W195">
        <f t="shared" ref="W195:W258" si="15">V195/12</f>
        <v>2</v>
      </c>
      <c r="X195" t="s">
        <v>31</v>
      </c>
      <c r="Y195" t="s">
        <v>45</v>
      </c>
      <c r="Z195" t="s">
        <v>39</v>
      </c>
      <c r="AA195" t="s">
        <v>40</v>
      </c>
      <c r="AB195" t="s">
        <v>51</v>
      </c>
      <c r="AC195" t="s">
        <v>44</v>
      </c>
    </row>
    <row r="196" spans="1:29" x14ac:dyDescent="0.25">
      <c r="A196">
        <v>207</v>
      </c>
      <c r="B196">
        <v>14183</v>
      </c>
      <c r="C196">
        <v>1828</v>
      </c>
      <c r="D196">
        <f t="shared" si="12"/>
        <v>16011</v>
      </c>
      <c r="E196" t="s">
        <v>48</v>
      </c>
      <c r="F196">
        <v>30</v>
      </c>
      <c r="G196" t="str" cm="1">
        <f t="array" ref="G196">_xlfn.IFS(F196&lt;25,"18-24",F196&lt;35,"25-35",F196&lt;45,"35-44",F196&lt;55,"44-54",F196&gt;=55,"55+")</f>
        <v>25-35</v>
      </c>
      <c r="H196" t="s">
        <v>41</v>
      </c>
      <c r="I196">
        <v>2</v>
      </c>
      <c r="J196" t="str" cm="1">
        <f t="array" ref="J196">_xlfn.IFS(I196&lt;=0,"No Dependents",I196&lt;=1,"One",I196&lt;=2,"Two",I196&gt;=3,"Third")</f>
        <v>Two</v>
      </c>
      <c r="K196">
        <v>612</v>
      </c>
      <c r="L196" t="str" cm="1">
        <f t="array" ref="L196">_xlfn.IFS(K196&lt;=580,"Poor",K196&lt;=670,"fair",K196&lt;=740,"Good",K196&lt;=800,"Very Good",K196&gt;=800,"Excellent")</f>
        <v>fair</v>
      </c>
      <c r="M196">
        <v>4</v>
      </c>
      <c r="N196" t="str">
        <f t="shared" si="13"/>
        <v>Yes</v>
      </c>
      <c r="O196">
        <v>0.35</v>
      </c>
      <c r="P196" t="str" cm="1">
        <f t="array" ref="P196">_xlfn.IFS(O196&lt;=0.3,"Low Risk",O196&lt;=0.4,"medium Risk",O196&lt;=0.5,"High Risk",O196&gt;0.5,"Very High Risk")</f>
        <v>medium Risk</v>
      </c>
      <c r="Q196">
        <v>2627</v>
      </c>
      <c r="R196">
        <v>24741</v>
      </c>
      <c r="S196" t="str">
        <f t="shared" si="14"/>
        <v>Yes</v>
      </c>
      <c r="T196">
        <v>11529</v>
      </c>
      <c r="U196" t="str" cm="1">
        <f t="array" ref="U196">_xlfn.IFS(T196&lt;5000,"Small",T196&lt;20000,"Medium",T196&lt;35000,"Large",T196&gt;35000,"Very Large")</f>
        <v>Medium</v>
      </c>
      <c r="V196">
        <v>48</v>
      </c>
      <c r="W196">
        <f t="shared" si="15"/>
        <v>4</v>
      </c>
      <c r="X196" t="s">
        <v>47</v>
      </c>
      <c r="Y196" t="s">
        <v>45</v>
      </c>
      <c r="Z196" t="s">
        <v>39</v>
      </c>
      <c r="AA196" t="s">
        <v>40</v>
      </c>
      <c r="AB196" t="s">
        <v>35</v>
      </c>
      <c r="AC196" t="s">
        <v>36</v>
      </c>
    </row>
    <row r="197" spans="1:29" x14ac:dyDescent="0.25">
      <c r="A197">
        <v>208</v>
      </c>
      <c r="B197">
        <v>14874</v>
      </c>
      <c r="C197">
        <v>9130</v>
      </c>
      <c r="D197">
        <f t="shared" si="12"/>
        <v>24004</v>
      </c>
      <c r="E197" t="s">
        <v>49</v>
      </c>
      <c r="F197">
        <v>40</v>
      </c>
      <c r="G197" t="str" cm="1">
        <f t="array" ref="G197">_xlfn.IFS(F197&lt;25,"18-24",F197&lt;35,"25-35",F197&lt;45,"35-44",F197&lt;55,"44-54",F197&gt;=55,"55+")</f>
        <v>35-44</v>
      </c>
      <c r="H197" t="s">
        <v>30</v>
      </c>
      <c r="I197">
        <v>0</v>
      </c>
      <c r="J197" t="str" cm="1">
        <f t="array" ref="J197">_xlfn.IFS(I197&lt;=0,"No Dependents",I197&lt;=1,"One",I197&lt;=2,"Two",I197&gt;=3,"Third")</f>
        <v>No Dependents</v>
      </c>
      <c r="K197">
        <v>670</v>
      </c>
      <c r="L197" t="str" cm="1">
        <f t="array" ref="L197">_xlfn.IFS(K197&lt;=580,"Poor",K197&lt;=670,"fair",K197&lt;=740,"Good",K197&lt;=800,"Very Good",K197&gt;=800,"Excellent")</f>
        <v>fair</v>
      </c>
      <c r="M197">
        <v>3</v>
      </c>
      <c r="N197" t="str">
        <f t="shared" si="13"/>
        <v>Yes</v>
      </c>
      <c r="O197">
        <v>0.46</v>
      </c>
      <c r="P197" t="str" cm="1">
        <f t="array" ref="P197">_xlfn.IFS(O197&lt;=0.3,"Low Risk",O197&lt;=0.4,"medium Risk",O197&lt;=0.5,"High Risk",O197&gt;0.5,"Very High Risk")</f>
        <v>High Risk</v>
      </c>
      <c r="Q197">
        <v>6618</v>
      </c>
      <c r="R197">
        <v>37211</v>
      </c>
      <c r="S197" t="str">
        <f t="shared" si="14"/>
        <v>Yes</v>
      </c>
      <c r="T197">
        <v>33175</v>
      </c>
      <c r="U197" t="str" cm="1">
        <f t="array" ref="U197">_xlfn.IFS(T197&lt;5000,"Small",T197&lt;20000,"Medium",T197&lt;35000,"Large",T197&gt;35000,"Very Large")</f>
        <v>Large</v>
      </c>
      <c r="V197">
        <v>84</v>
      </c>
      <c r="W197">
        <f t="shared" si="15"/>
        <v>7</v>
      </c>
      <c r="X197" t="s">
        <v>50</v>
      </c>
      <c r="Y197" t="s">
        <v>32</v>
      </c>
      <c r="Z197" t="s">
        <v>39</v>
      </c>
      <c r="AA197" t="s">
        <v>40</v>
      </c>
      <c r="AB197" t="s">
        <v>51</v>
      </c>
      <c r="AC197" t="s">
        <v>36</v>
      </c>
    </row>
    <row r="198" spans="1:29" x14ac:dyDescent="0.25">
      <c r="A198">
        <v>209</v>
      </c>
      <c r="B198">
        <v>7539</v>
      </c>
      <c r="C198">
        <v>4805</v>
      </c>
      <c r="D198">
        <f t="shared" si="12"/>
        <v>12344</v>
      </c>
      <c r="E198" t="s">
        <v>49</v>
      </c>
      <c r="F198">
        <v>54</v>
      </c>
      <c r="G198" t="str" cm="1">
        <f t="array" ref="G198">_xlfn.IFS(F198&lt;25,"18-24",F198&lt;35,"25-35",F198&lt;45,"35-44",F198&lt;55,"44-54",F198&gt;=55,"55+")</f>
        <v>44-54</v>
      </c>
      <c r="H198" t="s">
        <v>30</v>
      </c>
      <c r="I198">
        <v>3</v>
      </c>
      <c r="J198" t="str" cm="1">
        <f t="array" ref="J198">_xlfn.IFS(I198&lt;=0,"No Dependents",I198&lt;=1,"One",I198&lt;=2,"Two",I198&gt;=3,"Third")</f>
        <v>Third</v>
      </c>
      <c r="K198">
        <v>796</v>
      </c>
      <c r="L198" t="str" cm="1">
        <f t="array" ref="L198">_xlfn.IFS(K198&lt;=580,"Poor",K198&lt;=670,"fair",K198&lt;=740,"Good",K198&lt;=800,"Very Good",K198&gt;=800,"Excellent")</f>
        <v>Very Good</v>
      </c>
      <c r="M198">
        <v>1</v>
      </c>
      <c r="N198" t="str">
        <f t="shared" si="13"/>
        <v>Yes</v>
      </c>
      <c r="O198">
        <v>0.16</v>
      </c>
      <c r="P198" t="str" cm="1">
        <f t="array" ref="P198">_xlfn.IFS(O198&lt;=0.3,"Low Risk",O198&lt;=0.4,"medium Risk",O198&lt;=0.5,"High Risk",O198&gt;0.5,"Very High Risk")</f>
        <v>Low Risk</v>
      </c>
      <c r="Q198">
        <v>12123</v>
      </c>
      <c r="R198">
        <v>43856</v>
      </c>
      <c r="S198" t="str">
        <f t="shared" si="14"/>
        <v>Yes</v>
      </c>
      <c r="T198">
        <v>18675</v>
      </c>
      <c r="U198" t="str" cm="1">
        <f t="array" ref="U198">_xlfn.IFS(T198&lt;5000,"Small",T198&lt;20000,"Medium",T198&lt;35000,"Large",T198&gt;35000,"Very Large")</f>
        <v>Medium</v>
      </c>
      <c r="V198">
        <v>12</v>
      </c>
      <c r="W198">
        <f t="shared" si="15"/>
        <v>1</v>
      </c>
      <c r="X198" t="s">
        <v>37</v>
      </c>
      <c r="Y198" t="s">
        <v>45</v>
      </c>
      <c r="Z198" t="s">
        <v>39</v>
      </c>
      <c r="AA198" t="s">
        <v>34</v>
      </c>
      <c r="AB198" t="s">
        <v>35</v>
      </c>
      <c r="AC198" t="s">
        <v>44</v>
      </c>
    </row>
    <row r="199" spans="1:29" x14ac:dyDescent="0.25">
      <c r="A199">
        <v>210</v>
      </c>
      <c r="B199">
        <v>11637</v>
      </c>
      <c r="C199">
        <v>806</v>
      </c>
      <c r="D199">
        <f t="shared" si="12"/>
        <v>12443</v>
      </c>
      <c r="E199" t="s">
        <v>48</v>
      </c>
      <c r="F199">
        <v>29</v>
      </c>
      <c r="G199" t="str" cm="1">
        <f t="array" ref="G199">_xlfn.IFS(F199&lt;25,"18-24",F199&lt;35,"25-35",F199&lt;45,"35-44",F199&lt;55,"44-54",F199&gt;=55,"55+")</f>
        <v>25-35</v>
      </c>
      <c r="H199" t="s">
        <v>41</v>
      </c>
      <c r="I199">
        <v>1</v>
      </c>
      <c r="J199" t="str" cm="1">
        <f t="array" ref="J199">_xlfn.IFS(I199&lt;=0,"No Dependents",I199&lt;=1,"One",I199&lt;=2,"Two",I199&gt;=3,"Third")</f>
        <v>One</v>
      </c>
      <c r="K199">
        <v>775</v>
      </c>
      <c r="L199" t="str" cm="1">
        <f t="array" ref="L199">_xlfn.IFS(K199&lt;=580,"Poor",K199&lt;=670,"fair",K199&lt;=740,"Good",K199&lt;=800,"Very Good",K199&gt;=800,"Excellent")</f>
        <v>Very Good</v>
      </c>
      <c r="M199">
        <v>1</v>
      </c>
      <c r="N199" t="str">
        <f t="shared" si="13"/>
        <v>Yes</v>
      </c>
      <c r="O199">
        <v>0.3</v>
      </c>
      <c r="P199" t="str" cm="1">
        <f t="array" ref="P199">_xlfn.IFS(O199&lt;=0.3,"Low Risk",O199&lt;=0.4,"medium Risk",O199&lt;=0.5,"High Risk",O199&gt;0.5,"Very High Risk")</f>
        <v>Low Risk</v>
      </c>
      <c r="Q199">
        <v>0</v>
      </c>
      <c r="R199">
        <v>41542</v>
      </c>
      <c r="S199" t="str">
        <f t="shared" si="14"/>
        <v>Yes</v>
      </c>
      <c r="T199">
        <v>6374</v>
      </c>
      <c r="U199" t="str" cm="1">
        <f t="array" ref="U199">_xlfn.IFS(T199&lt;5000,"Small",T199&lt;20000,"Medium",T199&lt;35000,"Large",T199&gt;35000,"Very Large")</f>
        <v>Medium</v>
      </c>
      <c r="V199">
        <v>72</v>
      </c>
      <c r="W199">
        <f t="shared" si="15"/>
        <v>6</v>
      </c>
      <c r="X199" t="s">
        <v>37</v>
      </c>
      <c r="Y199" t="s">
        <v>32</v>
      </c>
      <c r="Z199" t="s">
        <v>39</v>
      </c>
      <c r="AA199" t="s">
        <v>34</v>
      </c>
      <c r="AB199" t="s">
        <v>43</v>
      </c>
      <c r="AC199" t="s">
        <v>44</v>
      </c>
    </row>
    <row r="200" spans="1:29" x14ac:dyDescent="0.25">
      <c r="A200">
        <v>211</v>
      </c>
      <c r="B200">
        <v>17586</v>
      </c>
      <c r="C200">
        <v>9655</v>
      </c>
      <c r="D200">
        <f t="shared" si="12"/>
        <v>27241</v>
      </c>
      <c r="E200" t="s">
        <v>29</v>
      </c>
      <c r="F200">
        <v>37</v>
      </c>
      <c r="G200" t="str" cm="1">
        <f t="array" ref="G200">_xlfn.IFS(F200&lt;25,"18-24",F200&lt;35,"25-35",F200&lt;45,"35-44",F200&lt;55,"44-54",F200&gt;=55,"55+")</f>
        <v>35-44</v>
      </c>
      <c r="H200" t="s">
        <v>30</v>
      </c>
      <c r="I200">
        <v>1</v>
      </c>
      <c r="J200" t="str" cm="1">
        <f t="array" ref="J200">_xlfn.IFS(I200&lt;=0,"No Dependents",I200&lt;=1,"One",I200&lt;=2,"Two",I200&gt;=3,"Third")</f>
        <v>One</v>
      </c>
      <c r="K200">
        <v>654</v>
      </c>
      <c r="L200" t="str" cm="1">
        <f t="array" ref="L200">_xlfn.IFS(K200&lt;=580,"Poor",K200&lt;=670,"fair",K200&lt;=740,"Good",K200&lt;=800,"Very Good",K200&gt;=800,"Excellent")</f>
        <v>fair</v>
      </c>
      <c r="M200">
        <v>0</v>
      </c>
      <c r="N200" t="str">
        <f t="shared" si="13"/>
        <v>No</v>
      </c>
      <c r="O200">
        <v>0.34</v>
      </c>
      <c r="P200" t="str" cm="1">
        <f t="array" ref="P200">_xlfn.IFS(O200&lt;=0.3,"Low Risk",O200&lt;=0.4,"medium Risk",O200&lt;=0.5,"High Risk",O200&gt;0.5,"Very High Risk")</f>
        <v>medium Risk</v>
      </c>
      <c r="Q200">
        <v>8015</v>
      </c>
      <c r="R200">
        <v>6869</v>
      </c>
      <c r="S200" t="str">
        <f t="shared" si="14"/>
        <v>Yes</v>
      </c>
      <c r="T200">
        <v>26976</v>
      </c>
      <c r="U200" t="str" cm="1">
        <f t="array" ref="U200">_xlfn.IFS(T200&lt;5000,"Small",T200&lt;20000,"Medium",T200&lt;35000,"Large",T200&gt;35000,"Very Large")</f>
        <v>Large</v>
      </c>
      <c r="V200">
        <v>48</v>
      </c>
      <c r="W200">
        <f t="shared" si="15"/>
        <v>4</v>
      </c>
      <c r="X200" t="s">
        <v>42</v>
      </c>
      <c r="Y200" t="s">
        <v>38</v>
      </c>
      <c r="Z200" t="s">
        <v>39</v>
      </c>
      <c r="AA200" t="s">
        <v>40</v>
      </c>
      <c r="AB200" t="s">
        <v>43</v>
      </c>
      <c r="AC200" t="s">
        <v>44</v>
      </c>
    </row>
    <row r="201" spans="1:29" x14ac:dyDescent="0.25">
      <c r="A201">
        <v>212</v>
      </c>
      <c r="B201">
        <v>4557</v>
      </c>
      <c r="C201">
        <v>7486</v>
      </c>
      <c r="D201">
        <f t="shared" si="12"/>
        <v>12043</v>
      </c>
      <c r="E201" t="s">
        <v>46</v>
      </c>
      <c r="F201">
        <v>31</v>
      </c>
      <c r="G201" t="str" cm="1">
        <f t="array" ref="G201">_xlfn.IFS(F201&lt;25,"18-24",F201&lt;35,"25-35",F201&lt;45,"35-44",F201&lt;55,"44-54",F201&gt;=55,"55+")</f>
        <v>25-35</v>
      </c>
      <c r="H201" t="s">
        <v>30</v>
      </c>
      <c r="I201">
        <v>3</v>
      </c>
      <c r="J201" t="str" cm="1">
        <f t="array" ref="J201">_xlfn.IFS(I201&lt;=0,"No Dependents",I201&lt;=1,"One",I201&lt;=2,"Two",I201&gt;=3,"Third")</f>
        <v>Third</v>
      </c>
      <c r="K201">
        <v>755</v>
      </c>
      <c r="L201" t="str" cm="1">
        <f t="array" ref="L201">_xlfn.IFS(K201&lt;=580,"Poor",K201&lt;=670,"fair",K201&lt;=740,"Good",K201&lt;=800,"Very Good",K201&gt;=800,"Excellent")</f>
        <v>Very Good</v>
      </c>
      <c r="M201">
        <v>0</v>
      </c>
      <c r="N201" t="str">
        <f t="shared" si="13"/>
        <v>No</v>
      </c>
      <c r="O201">
        <v>0.37</v>
      </c>
      <c r="P201" t="str" cm="1">
        <f t="array" ref="P201">_xlfn.IFS(O201&lt;=0.3,"Low Risk",O201&lt;=0.4,"medium Risk",O201&lt;=0.5,"High Risk",O201&gt;0.5,"Very High Risk")</f>
        <v>medium Risk</v>
      </c>
      <c r="Q201">
        <v>3130</v>
      </c>
      <c r="R201">
        <v>28082</v>
      </c>
      <c r="S201" t="str">
        <f t="shared" si="14"/>
        <v>Yes</v>
      </c>
      <c r="T201">
        <v>14142</v>
      </c>
      <c r="U201" t="str" cm="1">
        <f t="array" ref="U201">_xlfn.IFS(T201&lt;5000,"Small",T201&lt;20000,"Medium",T201&lt;35000,"Large",T201&gt;35000,"Very Large")</f>
        <v>Medium</v>
      </c>
      <c r="V201">
        <v>60</v>
      </c>
      <c r="W201">
        <f t="shared" si="15"/>
        <v>5</v>
      </c>
      <c r="X201" t="s">
        <v>37</v>
      </c>
      <c r="Y201" t="s">
        <v>32</v>
      </c>
      <c r="Z201" t="s">
        <v>39</v>
      </c>
      <c r="AA201" t="s">
        <v>34</v>
      </c>
      <c r="AB201" t="s">
        <v>42</v>
      </c>
      <c r="AC201" t="s">
        <v>44</v>
      </c>
    </row>
    <row r="202" spans="1:29" x14ac:dyDescent="0.25">
      <c r="A202">
        <v>213</v>
      </c>
      <c r="B202">
        <v>7592</v>
      </c>
      <c r="C202">
        <v>8202</v>
      </c>
      <c r="D202">
        <f t="shared" si="12"/>
        <v>15794</v>
      </c>
      <c r="E202" t="s">
        <v>48</v>
      </c>
      <c r="F202">
        <v>52</v>
      </c>
      <c r="G202" t="str" cm="1">
        <f t="array" ref="G202">_xlfn.IFS(F202&lt;25,"18-24",F202&lt;35,"25-35",F202&lt;45,"35-44",F202&lt;55,"44-54",F202&gt;=55,"55+")</f>
        <v>44-54</v>
      </c>
      <c r="H202" t="s">
        <v>30</v>
      </c>
      <c r="I202">
        <v>0</v>
      </c>
      <c r="J202" t="str" cm="1">
        <f t="array" ref="J202">_xlfn.IFS(I202&lt;=0,"No Dependents",I202&lt;=1,"One",I202&lt;=2,"Two",I202&gt;=3,"Third")</f>
        <v>No Dependents</v>
      </c>
      <c r="K202">
        <v>553</v>
      </c>
      <c r="L202" t="str" cm="1">
        <f t="array" ref="L202">_xlfn.IFS(K202&lt;=580,"Poor",K202&lt;=670,"fair",K202&lt;=740,"Good",K202&lt;=800,"Very Good",K202&gt;=800,"Excellent")</f>
        <v>Poor</v>
      </c>
      <c r="M202">
        <v>3</v>
      </c>
      <c r="N202" t="str">
        <f t="shared" si="13"/>
        <v>Yes</v>
      </c>
      <c r="O202">
        <v>0.51</v>
      </c>
      <c r="P202" t="str" cm="1">
        <f t="array" ref="P202">_xlfn.IFS(O202&lt;=0.3,"Low Risk",O202&lt;=0.4,"medium Risk",O202&lt;=0.5,"High Risk",O202&gt;0.5,"Very High Risk")</f>
        <v>Very High Risk</v>
      </c>
      <c r="Q202">
        <v>16480</v>
      </c>
      <c r="R202">
        <v>22080</v>
      </c>
      <c r="S202" t="str">
        <f t="shared" si="14"/>
        <v>Yes</v>
      </c>
      <c r="T202">
        <v>13204</v>
      </c>
      <c r="U202" t="str" cm="1">
        <f t="array" ref="U202">_xlfn.IFS(T202&lt;5000,"Small",T202&lt;20000,"Medium",T202&lt;35000,"Large",T202&gt;35000,"Very Large")</f>
        <v>Medium</v>
      </c>
      <c r="V202">
        <v>48</v>
      </c>
      <c r="W202">
        <f t="shared" si="15"/>
        <v>4</v>
      </c>
      <c r="X202" t="s">
        <v>31</v>
      </c>
      <c r="Y202" t="s">
        <v>45</v>
      </c>
      <c r="Z202" t="s">
        <v>39</v>
      </c>
      <c r="AA202" t="s">
        <v>34</v>
      </c>
      <c r="AB202" t="s">
        <v>35</v>
      </c>
      <c r="AC202" t="s">
        <v>36</v>
      </c>
    </row>
    <row r="203" spans="1:29" x14ac:dyDescent="0.25">
      <c r="A203">
        <v>214</v>
      </c>
      <c r="B203">
        <v>18482</v>
      </c>
      <c r="C203">
        <v>1868</v>
      </c>
      <c r="D203">
        <f t="shared" si="12"/>
        <v>20350</v>
      </c>
      <c r="E203" t="s">
        <v>29</v>
      </c>
      <c r="F203">
        <v>30</v>
      </c>
      <c r="G203" t="str" cm="1">
        <f t="array" ref="G203">_xlfn.IFS(F203&lt;25,"18-24",F203&lt;35,"25-35",F203&lt;45,"35-44",F203&lt;55,"44-54",F203&gt;=55,"55+")</f>
        <v>25-35</v>
      </c>
      <c r="H203" t="s">
        <v>41</v>
      </c>
      <c r="I203">
        <v>2</v>
      </c>
      <c r="J203" t="str" cm="1">
        <f t="array" ref="J203">_xlfn.IFS(I203&lt;=0,"No Dependents",I203&lt;=1,"One",I203&lt;=2,"Two",I203&gt;=3,"Third")</f>
        <v>Two</v>
      </c>
      <c r="K203">
        <v>642</v>
      </c>
      <c r="L203" t="str" cm="1">
        <f t="array" ref="L203">_xlfn.IFS(K203&lt;=580,"Poor",K203&lt;=670,"fair",K203&lt;=740,"Good",K203&lt;=800,"Very Good",K203&gt;=800,"Excellent")</f>
        <v>fair</v>
      </c>
      <c r="M203">
        <v>2</v>
      </c>
      <c r="N203" t="str">
        <f t="shared" si="13"/>
        <v>Yes</v>
      </c>
      <c r="O203">
        <v>0.19</v>
      </c>
      <c r="P203" t="str" cm="1">
        <f t="array" ref="P203">_xlfn.IFS(O203&lt;=0.3,"Low Risk",O203&lt;=0.4,"medium Risk",O203&lt;=0.5,"High Risk",O203&gt;0.5,"Very High Risk")</f>
        <v>Low Risk</v>
      </c>
      <c r="Q203">
        <v>14831</v>
      </c>
      <c r="R203">
        <v>28979</v>
      </c>
      <c r="S203" t="str">
        <f t="shared" si="14"/>
        <v>Yes</v>
      </c>
      <c r="T203">
        <v>8394</v>
      </c>
      <c r="U203" t="str" cm="1">
        <f t="array" ref="U203">_xlfn.IFS(T203&lt;5000,"Small",T203&lt;20000,"Medium",T203&lt;35000,"Large",T203&gt;35000,"Very Large")</f>
        <v>Medium</v>
      </c>
      <c r="V203">
        <v>84</v>
      </c>
      <c r="W203">
        <f t="shared" si="15"/>
        <v>7</v>
      </c>
      <c r="X203" t="s">
        <v>37</v>
      </c>
      <c r="Y203" t="s">
        <v>38</v>
      </c>
      <c r="Z203" t="s">
        <v>39</v>
      </c>
      <c r="AA203" t="s">
        <v>40</v>
      </c>
      <c r="AB203" t="s">
        <v>43</v>
      </c>
      <c r="AC203" t="s">
        <v>36</v>
      </c>
    </row>
    <row r="204" spans="1:29" x14ac:dyDescent="0.25">
      <c r="A204">
        <v>215</v>
      </c>
      <c r="B204">
        <v>4200</v>
      </c>
      <c r="C204">
        <v>7878</v>
      </c>
      <c r="D204">
        <f t="shared" si="12"/>
        <v>12078</v>
      </c>
      <c r="E204" t="s">
        <v>49</v>
      </c>
      <c r="F204">
        <v>40</v>
      </c>
      <c r="G204" t="str" cm="1">
        <f t="array" ref="G204">_xlfn.IFS(F204&lt;25,"18-24",F204&lt;35,"25-35",F204&lt;45,"35-44",F204&lt;55,"44-54",F204&gt;=55,"55+")</f>
        <v>35-44</v>
      </c>
      <c r="H204" t="s">
        <v>41</v>
      </c>
      <c r="I204">
        <v>0</v>
      </c>
      <c r="J204" t="str" cm="1">
        <f t="array" ref="J204">_xlfn.IFS(I204&lt;=0,"No Dependents",I204&lt;=1,"One",I204&lt;=2,"Two",I204&gt;=3,"Third")</f>
        <v>No Dependents</v>
      </c>
      <c r="K204">
        <v>718</v>
      </c>
      <c r="L204" t="str" cm="1">
        <f t="array" ref="L204">_xlfn.IFS(K204&lt;=580,"Poor",K204&lt;=670,"fair",K204&lt;=740,"Good",K204&lt;=800,"Very Good",K204&gt;=800,"Excellent")</f>
        <v>Good</v>
      </c>
      <c r="M204">
        <v>2</v>
      </c>
      <c r="N204" t="str">
        <f t="shared" si="13"/>
        <v>Yes</v>
      </c>
      <c r="O204">
        <v>0.5</v>
      </c>
      <c r="P204" t="str" cm="1">
        <f t="array" ref="P204">_xlfn.IFS(O204&lt;=0.3,"Low Risk",O204&lt;=0.4,"medium Risk",O204&lt;=0.5,"High Risk",O204&gt;0.5,"Very High Risk")</f>
        <v>High Risk</v>
      </c>
      <c r="Q204">
        <v>2708</v>
      </c>
      <c r="R204">
        <v>19422</v>
      </c>
      <c r="S204" t="str">
        <f t="shared" si="14"/>
        <v>Yes</v>
      </c>
      <c r="T204">
        <v>34593</v>
      </c>
      <c r="U204" t="str" cm="1">
        <f t="array" ref="U204">_xlfn.IFS(T204&lt;5000,"Small",T204&lt;20000,"Medium",T204&lt;35000,"Large",T204&gt;35000,"Very Large")</f>
        <v>Large</v>
      </c>
      <c r="V204">
        <v>72</v>
      </c>
      <c r="W204">
        <f t="shared" si="15"/>
        <v>6</v>
      </c>
      <c r="X204" t="s">
        <v>37</v>
      </c>
      <c r="Y204" t="s">
        <v>32</v>
      </c>
      <c r="Z204" t="s">
        <v>39</v>
      </c>
      <c r="AA204" t="s">
        <v>40</v>
      </c>
      <c r="AB204" t="s">
        <v>51</v>
      </c>
      <c r="AC204" t="s">
        <v>36</v>
      </c>
    </row>
    <row r="205" spans="1:29" x14ac:dyDescent="0.25">
      <c r="A205">
        <v>216</v>
      </c>
      <c r="B205">
        <v>16172</v>
      </c>
      <c r="C205">
        <v>5690</v>
      </c>
      <c r="D205">
        <f t="shared" si="12"/>
        <v>21862</v>
      </c>
      <c r="E205" t="s">
        <v>46</v>
      </c>
      <c r="F205">
        <v>37</v>
      </c>
      <c r="G205" t="str" cm="1">
        <f t="array" ref="G205">_xlfn.IFS(F205&lt;25,"18-24",F205&lt;35,"25-35",F205&lt;45,"35-44",F205&lt;55,"44-54",F205&gt;=55,"55+")</f>
        <v>35-44</v>
      </c>
      <c r="H205" t="s">
        <v>30</v>
      </c>
      <c r="I205">
        <v>3</v>
      </c>
      <c r="J205" t="str" cm="1">
        <f t="array" ref="J205">_xlfn.IFS(I205&lt;=0,"No Dependents",I205&lt;=1,"One",I205&lt;=2,"Two",I205&gt;=3,"Third")</f>
        <v>Third</v>
      </c>
      <c r="K205">
        <v>722</v>
      </c>
      <c r="L205" t="str" cm="1">
        <f t="array" ref="L205">_xlfn.IFS(K205&lt;=580,"Poor",K205&lt;=670,"fair",K205&lt;=740,"Good",K205&lt;=800,"Very Good",K205&gt;=800,"Excellent")</f>
        <v>Good</v>
      </c>
      <c r="M205">
        <v>2</v>
      </c>
      <c r="N205" t="str">
        <f t="shared" si="13"/>
        <v>Yes</v>
      </c>
      <c r="O205">
        <v>0.45</v>
      </c>
      <c r="P205" t="str" cm="1">
        <f t="array" ref="P205">_xlfn.IFS(O205&lt;=0.3,"Low Risk",O205&lt;=0.4,"medium Risk",O205&lt;=0.5,"High Risk",O205&gt;0.5,"Very High Risk")</f>
        <v>High Risk</v>
      </c>
      <c r="Q205">
        <v>5397</v>
      </c>
      <c r="R205">
        <v>35613</v>
      </c>
      <c r="S205" t="str">
        <f t="shared" si="14"/>
        <v>Yes</v>
      </c>
      <c r="T205">
        <v>12652</v>
      </c>
      <c r="U205" t="str" cm="1">
        <f t="array" ref="U205">_xlfn.IFS(T205&lt;5000,"Small",T205&lt;20000,"Medium",T205&lt;35000,"Large",T205&gt;35000,"Very Large")</f>
        <v>Medium</v>
      </c>
      <c r="V205">
        <v>84</v>
      </c>
      <c r="W205">
        <f t="shared" si="15"/>
        <v>7</v>
      </c>
      <c r="X205" t="s">
        <v>37</v>
      </c>
      <c r="Y205" t="s">
        <v>45</v>
      </c>
      <c r="Z205" t="s">
        <v>39</v>
      </c>
      <c r="AA205" t="s">
        <v>34</v>
      </c>
      <c r="AB205" t="s">
        <v>51</v>
      </c>
      <c r="AC205" t="s">
        <v>36</v>
      </c>
    </row>
    <row r="206" spans="1:29" x14ac:dyDescent="0.25">
      <c r="A206">
        <v>217</v>
      </c>
      <c r="B206">
        <v>4961</v>
      </c>
      <c r="C206">
        <v>7827</v>
      </c>
      <c r="D206">
        <f t="shared" si="12"/>
        <v>12788</v>
      </c>
      <c r="E206" t="s">
        <v>46</v>
      </c>
      <c r="F206">
        <v>24</v>
      </c>
      <c r="G206" t="str" cm="1">
        <f t="array" ref="G206">_xlfn.IFS(F206&lt;25,"18-24",F206&lt;35,"25-35",F206&lt;45,"35-44",F206&lt;55,"44-54",F206&gt;=55,"55+")</f>
        <v>18-24</v>
      </c>
      <c r="H206" t="s">
        <v>30</v>
      </c>
      <c r="I206">
        <v>1</v>
      </c>
      <c r="J206" t="str" cm="1">
        <f t="array" ref="J206">_xlfn.IFS(I206&lt;=0,"No Dependents",I206&lt;=1,"One",I206&lt;=2,"Two",I206&gt;=3,"Third")</f>
        <v>One</v>
      </c>
      <c r="K206">
        <v>727</v>
      </c>
      <c r="L206" t="str" cm="1">
        <f t="array" ref="L206">_xlfn.IFS(K206&lt;=580,"Poor",K206&lt;=670,"fair",K206&lt;=740,"Good",K206&lt;=800,"Very Good",K206&gt;=800,"Excellent")</f>
        <v>Good</v>
      </c>
      <c r="M206">
        <v>1</v>
      </c>
      <c r="N206" t="str">
        <f t="shared" si="13"/>
        <v>Yes</v>
      </c>
      <c r="O206">
        <v>0.38</v>
      </c>
      <c r="P206" t="str" cm="1">
        <f t="array" ref="P206">_xlfn.IFS(O206&lt;=0.3,"Low Risk",O206&lt;=0.4,"medium Risk",O206&lt;=0.5,"High Risk",O206&gt;0.5,"Very High Risk")</f>
        <v>medium Risk</v>
      </c>
      <c r="Q206">
        <v>11528</v>
      </c>
      <c r="R206">
        <v>22993</v>
      </c>
      <c r="S206" t="str">
        <f t="shared" si="14"/>
        <v>Yes</v>
      </c>
      <c r="T206">
        <v>34740</v>
      </c>
      <c r="U206" t="str" cm="1">
        <f t="array" ref="U206">_xlfn.IFS(T206&lt;5000,"Small",T206&lt;20000,"Medium",T206&lt;35000,"Large",T206&gt;35000,"Very Large")</f>
        <v>Large</v>
      </c>
      <c r="V206">
        <v>84</v>
      </c>
      <c r="W206">
        <f t="shared" si="15"/>
        <v>7</v>
      </c>
      <c r="X206" t="s">
        <v>50</v>
      </c>
      <c r="Y206" t="s">
        <v>32</v>
      </c>
      <c r="Z206" t="s">
        <v>33</v>
      </c>
      <c r="AA206" t="s">
        <v>34</v>
      </c>
      <c r="AB206" t="s">
        <v>35</v>
      </c>
      <c r="AC206" t="s">
        <v>36</v>
      </c>
    </row>
    <row r="207" spans="1:29" x14ac:dyDescent="0.25">
      <c r="A207">
        <v>218</v>
      </c>
      <c r="B207">
        <v>16207</v>
      </c>
      <c r="C207">
        <v>0</v>
      </c>
      <c r="D207">
        <f t="shared" si="12"/>
        <v>16207</v>
      </c>
      <c r="E207" t="s">
        <v>46</v>
      </c>
      <c r="F207">
        <v>45</v>
      </c>
      <c r="G207" t="str" cm="1">
        <f t="array" ref="G207">_xlfn.IFS(F207&lt;25,"18-24",F207&lt;35,"25-35",F207&lt;45,"35-44",F207&lt;55,"44-54",F207&gt;=55,"55+")</f>
        <v>44-54</v>
      </c>
      <c r="H207" t="s">
        <v>30</v>
      </c>
      <c r="I207">
        <v>2</v>
      </c>
      <c r="J207" t="str" cm="1">
        <f t="array" ref="J207">_xlfn.IFS(I207&lt;=0,"No Dependents",I207&lt;=1,"One",I207&lt;=2,"Two",I207&gt;=3,"Third")</f>
        <v>Two</v>
      </c>
      <c r="K207">
        <v>550</v>
      </c>
      <c r="L207" t="str" cm="1">
        <f t="array" ref="L207">_xlfn.IFS(K207&lt;=580,"Poor",K207&lt;=670,"fair",K207&lt;=740,"Good",K207&lt;=800,"Very Good",K207&gt;=800,"Excellent")</f>
        <v>Poor</v>
      </c>
      <c r="M207">
        <v>1</v>
      </c>
      <c r="N207" t="str">
        <f t="shared" si="13"/>
        <v>Yes</v>
      </c>
      <c r="O207">
        <v>0.45</v>
      </c>
      <c r="P207" t="str" cm="1">
        <f t="array" ref="P207">_xlfn.IFS(O207&lt;=0.3,"Low Risk",O207&lt;=0.4,"medium Risk",O207&lt;=0.5,"High Risk",O207&gt;0.5,"Very High Risk")</f>
        <v>High Risk</v>
      </c>
      <c r="Q207">
        <v>16840</v>
      </c>
      <c r="R207">
        <v>12386</v>
      </c>
      <c r="S207" t="str">
        <f t="shared" si="14"/>
        <v>Yes</v>
      </c>
      <c r="T207">
        <v>1443</v>
      </c>
      <c r="U207" t="str" cm="1">
        <f t="array" ref="U207">_xlfn.IFS(T207&lt;5000,"Small",T207&lt;20000,"Medium",T207&lt;35000,"Large",T207&gt;35000,"Very Large")</f>
        <v>Small</v>
      </c>
      <c r="V207">
        <v>72</v>
      </c>
      <c r="W207">
        <f t="shared" si="15"/>
        <v>6</v>
      </c>
      <c r="X207" t="s">
        <v>42</v>
      </c>
      <c r="Y207" t="s">
        <v>32</v>
      </c>
      <c r="Z207" t="s">
        <v>39</v>
      </c>
      <c r="AA207" t="s">
        <v>34</v>
      </c>
      <c r="AB207" t="s">
        <v>43</v>
      </c>
      <c r="AC207" t="s">
        <v>36</v>
      </c>
    </row>
    <row r="208" spans="1:29" x14ac:dyDescent="0.25">
      <c r="A208">
        <v>219</v>
      </c>
      <c r="B208">
        <v>13969</v>
      </c>
      <c r="C208">
        <v>9076</v>
      </c>
      <c r="D208">
        <f t="shared" si="12"/>
        <v>23045</v>
      </c>
      <c r="E208" t="s">
        <v>48</v>
      </c>
      <c r="F208">
        <v>41</v>
      </c>
      <c r="G208" t="str" cm="1">
        <f t="array" ref="G208">_xlfn.IFS(F208&lt;25,"18-24",F208&lt;35,"25-35",F208&lt;45,"35-44",F208&lt;55,"44-54",F208&gt;=55,"55+")</f>
        <v>35-44</v>
      </c>
      <c r="H208" t="s">
        <v>41</v>
      </c>
      <c r="I208">
        <v>1</v>
      </c>
      <c r="J208" t="str" cm="1">
        <f t="array" ref="J208">_xlfn.IFS(I208&lt;=0,"No Dependents",I208&lt;=1,"One",I208&lt;=2,"Two",I208&gt;=3,"Third")</f>
        <v>One</v>
      </c>
      <c r="K208">
        <v>577</v>
      </c>
      <c r="L208" t="str" cm="1">
        <f t="array" ref="L208">_xlfn.IFS(K208&lt;=580,"Poor",K208&lt;=670,"fair",K208&lt;=740,"Good",K208&lt;=800,"Very Good",K208&gt;=800,"Excellent")</f>
        <v>Poor</v>
      </c>
      <c r="M208">
        <v>4</v>
      </c>
      <c r="N208" t="str">
        <f t="shared" si="13"/>
        <v>Yes</v>
      </c>
      <c r="O208">
        <v>0.31</v>
      </c>
      <c r="P208" t="str" cm="1">
        <f t="array" ref="P208">_xlfn.IFS(O208&lt;=0.3,"Low Risk",O208&lt;=0.4,"medium Risk",O208&lt;=0.5,"High Risk",O208&gt;0.5,"Very High Risk")</f>
        <v>medium Risk</v>
      </c>
      <c r="Q208">
        <v>0</v>
      </c>
      <c r="R208">
        <v>34033</v>
      </c>
      <c r="S208" t="str">
        <f t="shared" si="14"/>
        <v>Yes</v>
      </c>
      <c r="T208">
        <v>24903</v>
      </c>
      <c r="U208" t="str" cm="1">
        <f t="array" ref="U208">_xlfn.IFS(T208&lt;5000,"Small",T208&lt;20000,"Medium",T208&lt;35000,"Large",T208&gt;35000,"Very Large")</f>
        <v>Large</v>
      </c>
      <c r="V208">
        <v>60</v>
      </c>
      <c r="W208">
        <f t="shared" si="15"/>
        <v>5</v>
      </c>
      <c r="X208" t="s">
        <v>47</v>
      </c>
      <c r="Y208" t="s">
        <v>45</v>
      </c>
      <c r="Z208" t="s">
        <v>39</v>
      </c>
      <c r="AA208" t="s">
        <v>34</v>
      </c>
      <c r="AB208" t="s">
        <v>35</v>
      </c>
      <c r="AC208" t="s">
        <v>36</v>
      </c>
    </row>
    <row r="209" spans="1:29" x14ac:dyDescent="0.25">
      <c r="A209">
        <v>220</v>
      </c>
      <c r="B209">
        <v>4869</v>
      </c>
      <c r="C209">
        <v>3564</v>
      </c>
      <c r="D209">
        <f t="shared" si="12"/>
        <v>8433</v>
      </c>
      <c r="E209" t="s">
        <v>49</v>
      </c>
      <c r="F209">
        <v>57</v>
      </c>
      <c r="G209" t="str" cm="1">
        <f t="array" ref="G209">_xlfn.IFS(F209&lt;25,"18-24",F209&lt;35,"25-35",F209&lt;45,"35-44",F209&lt;55,"44-54",F209&gt;=55,"55+")</f>
        <v>55+</v>
      </c>
      <c r="H209" t="s">
        <v>30</v>
      </c>
      <c r="I209">
        <v>3</v>
      </c>
      <c r="J209" t="str" cm="1">
        <f t="array" ref="J209">_xlfn.IFS(I209&lt;=0,"No Dependents",I209&lt;=1,"One",I209&lt;=2,"Two",I209&gt;=3,"Third")</f>
        <v>Third</v>
      </c>
      <c r="K209">
        <v>719</v>
      </c>
      <c r="L209" t="str" cm="1">
        <f t="array" ref="L209">_xlfn.IFS(K209&lt;=580,"Poor",K209&lt;=670,"fair",K209&lt;=740,"Good",K209&lt;=800,"Very Good",K209&gt;=800,"Excellent")</f>
        <v>Good</v>
      </c>
      <c r="M209">
        <v>1</v>
      </c>
      <c r="N209" t="str">
        <f t="shared" si="13"/>
        <v>Yes</v>
      </c>
      <c r="O209">
        <v>0.17</v>
      </c>
      <c r="P209" t="str" cm="1">
        <f t="array" ref="P209">_xlfn.IFS(O209&lt;=0.3,"Low Risk",O209&lt;=0.4,"medium Risk",O209&lt;=0.5,"High Risk",O209&gt;0.5,"Very High Risk")</f>
        <v>Low Risk</v>
      </c>
      <c r="Q209">
        <v>4368</v>
      </c>
      <c r="R209">
        <v>45213</v>
      </c>
      <c r="S209" t="str">
        <f t="shared" si="14"/>
        <v>Yes</v>
      </c>
      <c r="T209">
        <v>34522</v>
      </c>
      <c r="U209" t="str" cm="1">
        <f t="array" ref="U209">_xlfn.IFS(T209&lt;5000,"Small",T209&lt;20000,"Medium",T209&lt;35000,"Large",T209&gt;35000,"Very Large")</f>
        <v>Large</v>
      </c>
      <c r="V209">
        <v>72</v>
      </c>
      <c r="W209">
        <f t="shared" si="15"/>
        <v>6</v>
      </c>
      <c r="X209" t="s">
        <v>42</v>
      </c>
      <c r="Y209" t="s">
        <v>45</v>
      </c>
      <c r="Z209" t="s">
        <v>39</v>
      </c>
      <c r="AA209" t="s">
        <v>40</v>
      </c>
      <c r="AB209" t="s">
        <v>43</v>
      </c>
      <c r="AC209" t="s">
        <v>36</v>
      </c>
    </row>
    <row r="210" spans="1:29" x14ac:dyDescent="0.25">
      <c r="A210">
        <v>221</v>
      </c>
      <c r="B210">
        <v>19340</v>
      </c>
      <c r="C210">
        <v>1389</v>
      </c>
      <c r="D210">
        <f t="shared" si="12"/>
        <v>20729</v>
      </c>
      <c r="E210" t="s">
        <v>29</v>
      </c>
      <c r="F210">
        <v>58</v>
      </c>
      <c r="G210" t="str" cm="1">
        <f t="array" ref="G210">_xlfn.IFS(F210&lt;25,"18-24",F210&lt;35,"25-35",F210&lt;45,"35-44",F210&lt;55,"44-54",F210&gt;=55,"55+")</f>
        <v>55+</v>
      </c>
      <c r="H210" t="s">
        <v>30</v>
      </c>
      <c r="I210">
        <v>0</v>
      </c>
      <c r="J210" t="str" cm="1">
        <f t="array" ref="J210">_xlfn.IFS(I210&lt;=0,"No Dependents",I210&lt;=1,"One",I210&lt;=2,"Two",I210&gt;=3,"Third")</f>
        <v>No Dependents</v>
      </c>
      <c r="K210">
        <v>629</v>
      </c>
      <c r="L210" t="str" cm="1">
        <f t="array" ref="L210">_xlfn.IFS(K210&lt;=580,"Poor",K210&lt;=670,"fair",K210&lt;=740,"Good",K210&lt;=800,"Very Good",K210&gt;=800,"Excellent")</f>
        <v>fair</v>
      </c>
      <c r="M210">
        <v>1</v>
      </c>
      <c r="N210" t="str">
        <f t="shared" si="13"/>
        <v>Yes</v>
      </c>
      <c r="O210">
        <v>0.43</v>
      </c>
      <c r="P210" t="str" cm="1">
        <f t="array" ref="P210">_xlfn.IFS(O210&lt;=0.3,"Low Risk",O210&lt;=0.4,"medium Risk",O210&lt;=0.5,"High Risk",O210&gt;0.5,"Very High Risk")</f>
        <v>High Risk</v>
      </c>
      <c r="Q210">
        <v>11179</v>
      </c>
      <c r="R210">
        <v>12938</v>
      </c>
      <c r="S210" t="str">
        <f t="shared" si="14"/>
        <v>Yes</v>
      </c>
      <c r="T210">
        <v>29180</v>
      </c>
      <c r="U210" t="str" cm="1">
        <f t="array" ref="U210">_xlfn.IFS(T210&lt;5000,"Small",T210&lt;20000,"Medium",T210&lt;35000,"Large",T210&gt;35000,"Very Large")</f>
        <v>Large</v>
      </c>
      <c r="V210">
        <v>24</v>
      </c>
      <c r="W210">
        <f t="shared" si="15"/>
        <v>2</v>
      </c>
      <c r="X210" t="s">
        <v>31</v>
      </c>
      <c r="Y210" t="s">
        <v>38</v>
      </c>
      <c r="Z210" t="s">
        <v>33</v>
      </c>
      <c r="AA210" t="s">
        <v>40</v>
      </c>
      <c r="AB210" t="s">
        <v>51</v>
      </c>
      <c r="AC210" t="s">
        <v>36</v>
      </c>
    </row>
    <row r="211" spans="1:29" x14ac:dyDescent="0.25">
      <c r="A211">
        <v>222</v>
      </c>
      <c r="B211">
        <v>15992</v>
      </c>
      <c r="C211">
        <v>0</v>
      </c>
      <c r="D211">
        <f t="shared" si="12"/>
        <v>15992</v>
      </c>
      <c r="E211" t="s">
        <v>49</v>
      </c>
      <c r="F211">
        <v>21</v>
      </c>
      <c r="G211" t="str" cm="1">
        <f t="array" ref="G211">_xlfn.IFS(F211&lt;25,"18-24",F211&lt;35,"25-35",F211&lt;45,"35-44",F211&lt;55,"44-54",F211&gt;=55,"55+")</f>
        <v>18-24</v>
      </c>
      <c r="H211" t="s">
        <v>30</v>
      </c>
      <c r="I211">
        <v>2</v>
      </c>
      <c r="J211" t="str" cm="1">
        <f t="array" ref="J211">_xlfn.IFS(I211&lt;=0,"No Dependents",I211&lt;=1,"One",I211&lt;=2,"Two",I211&gt;=3,"Third")</f>
        <v>Two</v>
      </c>
      <c r="K211">
        <v>625</v>
      </c>
      <c r="L211" t="str" cm="1">
        <f t="array" ref="L211">_xlfn.IFS(K211&lt;=580,"Poor",K211&lt;=670,"fair",K211&lt;=740,"Good",K211&lt;=800,"Very Good",K211&gt;=800,"Excellent")</f>
        <v>fair</v>
      </c>
      <c r="M211">
        <v>1</v>
      </c>
      <c r="N211" t="str">
        <f t="shared" si="13"/>
        <v>Yes</v>
      </c>
      <c r="O211">
        <v>0.36</v>
      </c>
      <c r="P211" t="str" cm="1">
        <f t="array" ref="P211">_xlfn.IFS(O211&lt;=0.3,"Low Risk",O211&lt;=0.4,"medium Risk",O211&lt;=0.5,"High Risk",O211&gt;0.5,"Very High Risk")</f>
        <v>medium Risk</v>
      </c>
      <c r="Q211">
        <v>12076</v>
      </c>
      <c r="R211">
        <v>11159</v>
      </c>
      <c r="S211" t="str">
        <f t="shared" si="14"/>
        <v>Yes</v>
      </c>
      <c r="T211">
        <v>22119</v>
      </c>
      <c r="U211" t="str" cm="1">
        <f t="array" ref="U211">_xlfn.IFS(T211&lt;5000,"Small",T211&lt;20000,"Medium",T211&lt;35000,"Large",T211&gt;35000,"Very Large")</f>
        <v>Large</v>
      </c>
      <c r="V211">
        <v>84</v>
      </c>
      <c r="W211">
        <f t="shared" si="15"/>
        <v>7</v>
      </c>
      <c r="X211" t="s">
        <v>50</v>
      </c>
      <c r="Y211" t="s">
        <v>38</v>
      </c>
      <c r="Z211" t="s">
        <v>39</v>
      </c>
      <c r="AA211" t="s">
        <v>40</v>
      </c>
      <c r="AB211" t="s">
        <v>35</v>
      </c>
      <c r="AC211" t="s">
        <v>36</v>
      </c>
    </row>
    <row r="212" spans="1:29" x14ac:dyDescent="0.25">
      <c r="A212">
        <v>223</v>
      </c>
      <c r="B212">
        <v>7699</v>
      </c>
      <c r="C212">
        <v>824</v>
      </c>
      <c r="D212">
        <f t="shared" si="12"/>
        <v>8523</v>
      </c>
      <c r="E212" t="s">
        <v>29</v>
      </c>
      <c r="F212">
        <v>45</v>
      </c>
      <c r="G212" t="str" cm="1">
        <f t="array" ref="G212">_xlfn.IFS(F212&lt;25,"18-24",F212&lt;35,"25-35",F212&lt;45,"35-44",F212&lt;55,"44-54",F212&gt;=55,"55+")</f>
        <v>44-54</v>
      </c>
      <c r="H212" t="s">
        <v>30</v>
      </c>
      <c r="I212">
        <v>1</v>
      </c>
      <c r="J212" t="str" cm="1">
        <f t="array" ref="J212">_xlfn.IFS(I212&lt;=0,"No Dependents",I212&lt;=1,"One",I212&lt;=2,"Two",I212&gt;=3,"Third")</f>
        <v>One</v>
      </c>
      <c r="K212">
        <v>665</v>
      </c>
      <c r="L212" t="str" cm="1">
        <f t="array" ref="L212">_xlfn.IFS(K212&lt;=580,"Poor",K212&lt;=670,"fair",K212&lt;=740,"Good",K212&lt;=800,"Very Good",K212&gt;=800,"Excellent")</f>
        <v>fair</v>
      </c>
      <c r="M212">
        <v>3</v>
      </c>
      <c r="N212" t="str">
        <f t="shared" si="13"/>
        <v>Yes</v>
      </c>
      <c r="O212">
        <v>0.42</v>
      </c>
      <c r="P212" t="str" cm="1">
        <f t="array" ref="P212">_xlfn.IFS(O212&lt;=0.3,"Low Risk",O212&lt;=0.4,"medium Risk",O212&lt;=0.5,"High Risk",O212&gt;0.5,"Very High Risk")</f>
        <v>High Risk</v>
      </c>
      <c r="Q212">
        <v>18321</v>
      </c>
      <c r="R212">
        <v>2274</v>
      </c>
      <c r="S212" t="str">
        <f t="shared" si="14"/>
        <v>Yes</v>
      </c>
      <c r="T212">
        <v>11363</v>
      </c>
      <c r="U212" t="str" cm="1">
        <f t="array" ref="U212">_xlfn.IFS(T212&lt;5000,"Small",T212&lt;20000,"Medium",T212&lt;35000,"Large",T212&gt;35000,"Very Large")</f>
        <v>Medium</v>
      </c>
      <c r="V212">
        <v>48</v>
      </c>
      <c r="W212">
        <f t="shared" si="15"/>
        <v>4</v>
      </c>
      <c r="X212" t="s">
        <v>50</v>
      </c>
      <c r="Y212" t="s">
        <v>45</v>
      </c>
      <c r="Z212" t="s">
        <v>33</v>
      </c>
      <c r="AA212" t="s">
        <v>40</v>
      </c>
      <c r="AB212" t="s">
        <v>48</v>
      </c>
      <c r="AC212" t="s">
        <v>36</v>
      </c>
    </row>
    <row r="213" spans="1:29" x14ac:dyDescent="0.25">
      <c r="A213">
        <v>224</v>
      </c>
      <c r="B213">
        <v>5987</v>
      </c>
      <c r="C213">
        <v>0</v>
      </c>
      <c r="D213">
        <f t="shared" si="12"/>
        <v>5987</v>
      </c>
      <c r="E213" t="s">
        <v>29</v>
      </c>
      <c r="F213">
        <v>56</v>
      </c>
      <c r="G213" t="str" cm="1">
        <f t="array" ref="G213">_xlfn.IFS(F213&lt;25,"18-24",F213&lt;35,"25-35",F213&lt;45,"35-44",F213&lt;55,"44-54",F213&gt;=55,"55+")</f>
        <v>55+</v>
      </c>
      <c r="H213" t="s">
        <v>30</v>
      </c>
      <c r="I213">
        <v>1</v>
      </c>
      <c r="J213" t="str" cm="1">
        <f t="array" ref="J213">_xlfn.IFS(I213&lt;=0,"No Dependents",I213&lt;=1,"One",I213&lt;=2,"Two",I213&gt;=3,"Third")</f>
        <v>One</v>
      </c>
      <c r="K213">
        <v>618</v>
      </c>
      <c r="L213" t="str" cm="1">
        <f t="array" ref="L213">_xlfn.IFS(K213&lt;=580,"Poor",K213&lt;=670,"fair",K213&lt;=740,"Good",K213&lt;=800,"Very Good",K213&gt;=800,"Excellent")</f>
        <v>fair</v>
      </c>
      <c r="M213">
        <v>1</v>
      </c>
      <c r="N213" t="str">
        <f t="shared" si="13"/>
        <v>Yes</v>
      </c>
      <c r="O213">
        <v>0.27</v>
      </c>
      <c r="P213" t="str" cm="1">
        <f t="array" ref="P213">_xlfn.IFS(O213&lt;=0.3,"Low Risk",O213&lt;=0.4,"medium Risk",O213&lt;=0.5,"High Risk",O213&gt;0.5,"Very High Risk")</f>
        <v>Low Risk</v>
      </c>
      <c r="Q213">
        <v>13948</v>
      </c>
      <c r="R213">
        <v>18854</v>
      </c>
      <c r="S213" t="str">
        <f t="shared" si="14"/>
        <v>Yes</v>
      </c>
      <c r="T213">
        <v>39164</v>
      </c>
      <c r="U213" t="str" cm="1">
        <f t="array" ref="U213">_xlfn.IFS(T213&lt;5000,"Small",T213&lt;20000,"Medium",T213&lt;35000,"Large",T213&gt;35000,"Very Large")</f>
        <v>Very Large</v>
      </c>
      <c r="V213">
        <v>84</v>
      </c>
      <c r="W213">
        <f t="shared" si="15"/>
        <v>7</v>
      </c>
      <c r="X213" t="s">
        <v>37</v>
      </c>
      <c r="Y213" t="s">
        <v>45</v>
      </c>
      <c r="Z213" t="s">
        <v>33</v>
      </c>
      <c r="AA213" t="s">
        <v>34</v>
      </c>
      <c r="AB213" t="s">
        <v>51</v>
      </c>
      <c r="AC213" t="s">
        <v>36</v>
      </c>
    </row>
    <row r="214" spans="1:29" x14ac:dyDescent="0.25">
      <c r="A214">
        <v>225</v>
      </c>
      <c r="B214">
        <v>15446</v>
      </c>
      <c r="C214">
        <v>936</v>
      </c>
      <c r="D214">
        <f t="shared" si="12"/>
        <v>16382</v>
      </c>
      <c r="E214" t="s">
        <v>29</v>
      </c>
      <c r="F214">
        <v>37</v>
      </c>
      <c r="G214" t="str" cm="1">
        <f t="array" ref="G214">_xlfn.IFS(F214&lt;25,"18-24",F214&lt;35,"25-35",F214&lt;45,"35-44",F214&lt;55,"44-54",F214&gt;=55,"55+")</f>
        <v>35-44</v>
      </c>
      <c r="H214" t="s">
        <v>41</v>
      </c>
      <c r="I214">
        <v>1</v>
      </c>
      <c r="J214" t="str" cm="1">
        <f t="array" ref="J214">_xlfn.IFS(I214&lt;=0,"No Dependents",I214&lt;=1,"One",I214&lt;=2,"Two",I214&gt;=3,"Third")</f>
        <v>One</v>
      </c>
      <c r="K214">
        <v>647</v>
      </c>
      <c r="L214" t="str" cm="1">
        <f t="array" ref="L214">_xlfn.IFS(K214&lt;=580,"Poor",K214&lt;=670,"fair",K214&lt;=740,"Good",K214&lt;=800,"Very Good",K214&gt;=800,"Excellent")</f>
        <v>fair</v>
      </c>
      <c r="M214">
        <v>0</v>
      </c>
      <c r="N214" t="str">
        <f t="shared" si="13"/>
        <v>No</v>
      </c>
      <c r="O214">
        <v>0.55000000000000004</v>
      </c>
      <c r="P214" t="str" cm="1">
        <f t="array" ref="P214">_xlfn.IFS(O214&lt;=0.3,"Low Risk",O214&lt;=0.4,"medium Risk",O214&lt;=0.5,"High Risk",O214&gt;0.5,"Very High Risk")</f>
        <v>Very High Risk</v>
      </c>
      <c r="Q214">
        <v>17530</v>
      </c>
      <c r="R214">
        <v>31815</v>
      </c>
      <c r="S214" t="str">
        <f t="shared" si="14"/>
        <v>Yes</v>
      </c>
      <c r="T214">
        <v>32541</v>
      </c>
      <c r="U214" t="str" cm="1">
        <f t="array" ref="U214">_xlfn.IFS(T214&lt;5000,"Small",T214&lt;20000,"Medium",T214&lt;35000,"Large",T214&gt;35000,"Very Large")</f>
        <v>Large</v>
      </c>
      <c r="V214">
        <v>72</v>
      </c>
      <c r="W214">
        <f t="shared" si="15"/>
        <v>6</v>
      </c>
      <c r="X214" t="s">
        <v>37</v>
      </c>
      <c r="Y214" t="s">
        <v>38</v>
      </c>
      <c r="Z214" t="s">
        <v>33</v>
      </c>
      <c r="AA214" t="s">
        <v>34</v>
      </c>
      <c r="AB214" t="s">
        <v>42</v>
      </c>
      <c r="AC214" t="s">
        <v>36</v>
      </c>
    </row>
    <row r="215" spans="1:29" x14ac:dyDescent="0.25">
      <c r="A215">
        <v>226</v>
      </c>
      <c r="B215">
        <v>3218</v>
      </c>
      <c r="C215">
        <v>6402</v>
      </c>
      <c r="D215">
        <f t="shared" si="12"/>
        <v>9620</v>
      </c>
      <c r="E215" t="s">
        <v>29</v>
      </c>
      <c r="F215">
        <v>44</v>
      </c>
      <c r="G215" t="str" cm="1">
        <f t="array" ref="G215">_xlfn.IFS(F215&lt;25,"18-24",F215&lt;35,"25-35",F215&lt;45,"35-44",F215&lt;55,"44-54",F215&gt;=55,"55+")</f>
        <v>35-44</v>
      </c>
      <c r="H215" t="s">
        <v>30</v>
      </c>
      <c r="I215">
        <v>0</v>
      </c>
      <c r="J215" t="str" cm="1">
        <f t="array" ref="J215">_xlfn.IFS(I215&lt;=0,"No Dependents",I215&lt;=1,"One",I215&lt;=2,"Two",I215&gt;=3,"Third")</f>
        <v>No Dependents</v>
      </c>
      <c r="K215">
        <v>783</v>
      </c>
      <c r="L215" t="str" cm="1">
        <f t="array" ref="L215">_xlfn.IFS(K215&lt;=580,"Poor",K215&lt;=670,"fair",K215&lt;=740,"Good",K215&lt;=800,"Very Good",K215&gt;=800,"Excellent")</f>
        <v>Very Good</v>
      </c>
      <c r="M215">
        <v>0</v>
      </c>
      <c r="N215" t="str">
        <f t="shared" si="13"/>
        <v>No</v>
      </c>
      <c r="O215">
        <v>0.39</v>
      </c>
      <c r="P215" t="str" cm="1">
        <f t="array" ref="P215">_xlfn.IFS(O215&lt;=0.3,"Low Risk",O215&lt;=0.4,"medium Risk",O215&lt;=0.5,"High Risk",O215&gt;0.5,"Very High Risk")</f>
        <v>medium Risk</v>
      </c>
      <c r="Q215">
        <v>13824</v>
      </c>
      <c r="R215">
        <v>10482</v>
      </c>
      <c r="S215" t="str">
        <f t="shared" si="14"/>
        <v>Yes</v>
      </c>
      <c r="T215">
        <v>4465</v>
      </c>
      <c r="U215" t="str" cm="1">
        <f t="array" ref="U215">_xlfn.IFS(T215&lt;5000,"Small",T215&lt;20000,"Medium",T215&lt;35000,"Large",T215&gt;35000,"Very Large")</f>
        <v>Small</v>
      </c>
      <c r="V215">
        <v>60</v>
      </c>
      <c r="W215">
        <f t="shared" si="15"/>
        <v>5</v>
      </c>
      <c r="X215" t="s">
        <v>31</v>
      </c>
      <c r="Y215" t="s">
        <v>32</v>
      </c>
      <c r="Z215" t="s">
        <v>39</v>
      </c>
      <c r="AA215" t="s">
        <v>34</v>
      </c>
      <c r="AB215" t="s">
        <v>42</v>
      </c>
      <c r="AC215" t="s">
        <v>44</v>
      </c>
    </row>
    <row r="216" spans="1:29" x14ac:dyDescent="0.25">
      <c r="A216">
        <v>227</v>
      </c>
      <c r="B216">
        <v>0</v>
      </c>
      <c r="C216">
        <v>3845</v>
      </c>
      <c r="D216">
        <f t="shared" si="12"/>
        <v>3845</v>
      </c>
      <c r="E216" t="s">
        <v>29</v>
      </c>
      <c r="F216">
        <v>22</v>
      </c>
      <c r="G216" t="str" cm="1">
        <f t="array" ref="G216">_xlfn.IFS(F216&lt;25,"18-24",F216&lt;35,"25-35",F216&lt;45,"35-44",F216&lt;55,"44-54",F216&gt;=55,"55+")</f>
        <v>18-24</v>
      </c>
      <c r="H216" t="s">
        <v>30</v>
      </c>
      <c r="I216">
        <v>2</v>
      </c>
      <c r="J216" t="str" cm="1">
        <f t="array" ref="J216">_xlfn.IFS(I216&lt;=0,"No Dependents",I216&lt;=1,"One",I216&lt;=2,"Two",I216&gt;=3,"Third")</f>
        <v>Two</v>
      </c>
      <c r="K216">
        <v>550</v>
      </c>
      <c r="L216" t="str" cm="1">
        <f t="array" ref="L216">_xlfn.IFS(K216&lt;=580,"Poor",K216&lt;=670,"fair",K216&lt;=740,"Good",K216&lt;=800,"Very Good",K216&gt;=800,"Excellent")</f>
        <v>Poor</v>
      </c>
      <c r="M216">
        <v>4</v>
      </c>
      <c r="N216" t="str">
        <f t="shared" si="13"/>
        <v>Yes</v>
      </c>
      <c r="O216">
        <v>0.14000000000000001</v>
      </c>
      <c r="P216" t="str" cm="1">
        <f t="array" ref="P216">_xlfn.IFS(O216&lt;=0.3,"Low Risk",O216&lt;=0.4,"medium Risk",O216&lt;=0.5,"High Risk",O216&gt;0.5,"Very High Risk")</f>
        <v>Low Risk</v>
      </c>
      <c r="Q216">
        <v>4299</v>
      </c>
      <c r="R216">
        <v>18961</v>
      </c>
      <c r="S216" t="str">
        <f t="shared" si="14"/>
        <v>Yes</v>
      </c>
      <c r="T216">
        <v>3711</v>
      </c>
      <c r="U216" t="str" cm="1">
        <f t="array" ref="U216">_xlfn.IFS(T216&lt;5000,"Small",T216&lt;20000,"Medium",T216&lt;35000,"Large",T216&gt;35000,"Very Large")</f>
        <v>Small</v>
      </c>
      <c r="V216">
        <v>60</v>
      </c>
      <c r="W216">
        <f t="shared" si="15"/>
        <v>5</v>
      </c>
      <c r="X216" t="s">
        <v>50</v>
      </c>
      <c r="Y216" t="s">
        <v>32</v>
      </c>
      <c r="Z216" t="s">
        <v>39</v>
      </c>
      <c r="AA216" t="s">
        <v>40</v>
      </c>
      <c r="AB216" t="s">
        <v>43</v>
      </c>
      <c r="AC216" t="s">
        <v>36</v>
      </c>
    </row>
    <row r="217" spans="1:29" x14ac:dyDescent="0.25">
      <c r="A217">
        <v>228</v>
      </c>
      <c r="B217">
        <v>13296</v>
      </c>
      <c r="C217">
        <v>1796</v>
      </c>
      <c r="D217">
        <f t="shared" si="12"/>
        <v>15092</v>
      </c>
      <c r="E217" t="s">
        <v>48</v>
      </c>
      <c r="F217">
        <v>40</v>
      </c>
      <c r="G217" t="str" cm="1">
        <f t="array" ref="G217">_xlfn.IFS(F217&lt;25,"18-24",F217&lt;35,"25-35",F217&lt;45,"35-44",F217&lt;55,"44-54",F217&gt;=55,"55+")</f>
        <v>35-44</v>
      </c>
      <c r="H217" t="s">
        <v>41</v>
      </c>
      <c r="I217">
        <v>0</v>
      </c>
      <c r="J217" t="str" cm="1">
        <f t="array" ref="J217">_xlfn.IFS(I217&lt;=0,"No Dependents",I217&lt;=1,"One",I217&lt;=2,"Two",I217&gt;=3,"Third")</f>
        <v>No Dependents</v>
      </c>
      <c r="K217">
        <v>716</v>
      </c>
      <c r="L217" t="str" cm="1">
        <f t="array" ref="L217">_xlfn.IFS(K217&lt;=580,"Poor",K217&lt;=670,"fair",K217&lt;=740,"Good",K217&lt;=800,"Very Good",K217&gt;=800,"Excellent")</f>
        <v>Good</v>
      </c>
      <c r="M217">
        <v>3</v>
      </c>
      <c r="N217" t="str">
        <f t="shared" si="13"/>
        <v>Yes</v>
      </c>
      <c r="O217">
        <v>0.32</v>
      </c>
      <c r="P217" t="str" cm="1">
        <f t="array" ref="P217">_xlfn.IFS(O217&lt;=0.3,"Low Risk",O217&lt;=0.4,"medium Risk",O217&lt;=0.5,"High Risk",O217&gt;0.5,"Very High Risk")</f>
        <v>medium Risk</v>
      </c>
      <c r="Q217">
        <v>14120</v>
      </c>
      <c r="R217">
        <v>20044</v>
      </c>
      <c r="S217" t="str">
        <f t="shared" si="14"/>
        <v>Yes</v>
      </c>
      <c r="T217">
        <v>26198</v>
      </c>
      <c r="U217" t="str" cm="1">
        <f t="array" ref="U217">_xlfn.IFS(T217&lt;5000,"Small",T217&lt;20000,"Medium",T217&lt;35000,"Large",T217&gt;35000,"Very Large")</f>
        <v>Large</v>
      </c>
      <c r="V217">
        <v>12</v>
      </c>
      <c r="W217">
        <f t="shared" si="15"/>
        <v>1</v>
      </c>
      <c r="X217" t="s">
        <v>47</v>
      </c>
      <c r="Y217" t="s">
        <v>32</v>
      </c>
      <c r="Z217" t="s">
        <v>39</v>
      </c>
      <c r="AA217" t="s">
        <v>40</v>
      </c>
      <c r="AB217" t="s">
        <v>42</v>
      </c>
      <c r="AC217" t="s">
        <v>44</v>
      </c>
    </row>
    <row r="218" spans="1:29" x14ac:dyDescent="0.25">
      <c r="A218">
        <v>229</v>
      </c>
      <c r="B218">
        <v>6555</v>
      </c>
      <c r="C218">
        <v>0</v>
      </c>
      <c r="D218">
        <f t="shared" si="12"/>
        <v>6555</v>
      </c>
      <c r="E218" t="s">
        <v>49</v>
      </c>
      <c r="F218">
        <v>52</v>
      </c>
      <c r="G218" t="str" cm="1">
        <f t="array" ref="G218">_xlfn.IFS(F218&lt;25,"18-24",F218&lt;35,"25-35",F218&lt;45,"35-44",F218&lt;55,"44-54",F218&gt;=55,"55+")</f>
        <v>44-54</v>
      </c>
      <c r="H218" t="s">
        <v>41</v>
      </c>
      <c r="I218">
        <v>0</v>
      </c>
      <c r="J218" t="str" cm="1">
        <f t="array" ref="J218">_xlfn.IFS(I218&lt;=0,"No Dependents",I218&lt;=1,"One",I218&lt;=2,"Two",I218&gt;=3,"Third")</f>
        <v>No Dependents</v>
      </c>
      <c r="K218">
        <v>645</v>
      </c>
      <c r="L218" t="str" cm="1">
        <f t="array" ref="L218">_xlfn.IFS(K218&lt;=580,"Poor",K218&lt;=670,"fair",K218&lt;=740,"Good",K218&lt;=800,"Very Good",K218&gt;=800,"Excellent")</f>
        <v>fair</v>
      </c>
      <c r="M218">
        <v>0</v>
      </c>
      <c r="N218" t="str">
        <f t="shared" si="13"/>
        <v>No</v>
      </c>
      <c r="O218">
        <v>0.48</v>
      </c>
      <c r="P218" t="str" cm="1">
        <f t="array" ref="P218">_xlfn.IFS(O218&lt;=0.3,"Low Risk",O218&lt;=0.4,"medium Risk",O218&lt;=0.5,"High Risk",O218&gt;0.5,"Very High Risk")</f>
        <v>High Risk</v>
      </c>
      <c r="Q218">
        <v>8118</v>
      </c>
      <c r="R218">
        <v>33836</v>
      </c>
      <c r="S218" t="str">
        <f t="shared" si="14"/>
        <v>Yes</v>
      </c>
      <c r="T218">
        <v>23488</v>
      </c>
      <c r="U218" t="str" cm="1">
        <f t="array" ref="U218">_xlfn.IFS(T218&lt;5000,"Small",T218&lt;20000,"Medium",T218&lt;35000,"Large",T218&gt;35000,"Very Large")</f>
        <v>Large</v>
      </c>
      <c r="V218">
        <v>12</v>
      </c>
      <c r="W218">
        <f t="shared" si="15"/>
        <v>1</v>
      </c>
      <c r="X218" t="s">
        <v>42</v>
      </c>
      <c r="Y218" t="s">
        <v>38</v>
      </c>
      <c r="Z218" t="s">
        <v>39</v>
      </c>
      <c r="AA218" t="s">
        <v>40</v>
      </c>
      <c r="AB218" t="s">
        <v>43</v>
      </c>
      <c r="AC218" t="s">
        <v>36</v>
      </c>
    </row>
    <row r="219" spans="1:29" x14ac:dyDescent="0.25">
      <c r="A219">
        <v>230</v>
      </c>
      <c r="B219">
        <v>11146</v>
      </c>
      <c r="C219">
        <v>7214</v>
      </c>
      <c r="D219">
        <f t="shared" si="12"/>
        <v>18360</v>
      </c>
      <c r="E219" t="s">
        <v>46</v>
      </c>
      <c r="F219">
        <v>59</v>
      </c>
      <c r="G219" t="str" cm="1">
        <f t="array" ref="G219">_xlfn.IFS(F219&lt;25,"18-24",F219&lt;35,"25-35",F219&lt;45,"35-44",F219&lt;55,"44-54",F219&gt;=55,"55+")</f>
        <v>55+</v>
      </c>
      <c r="H219" t="s">
        <v>30</v>
      </c>
      <c r="I219">
        <v>0</v>
      </c>
      <c r="J219" t="str" cm="1">
        <f t="array" ref="J219">_xlfn.IFS(I219&lt;=0,"No Dependents",I219&lt;=1,"One",I219&lt;=2,"Two",I219&gt;=3,"Third")</f>
        <v>No Dependents</v>
      </c>
      <c r="K219">
        <v>767</v>
      </c>
      <c r="L219" t="str" cm="1">
        <f t="array" ref="L219">_xlfn.IFS(K219&lt;=580,"Poor",K219&lt;=670,"fair",K219&lt;=740,"Good",K219&lt;=800,"Very Good",K219&gt;=800,"Excellent")</f>
        <v>Very Good</v>
      </c>
      <c r="M219">
        <v>3</v>
      </c>
      <c r="N219" t="str">
        <f t="shared" si="13"/>
        <v>Yes</v>
      </c>
      <c r="O219">
        <v>0.5</v>
      </c>
      <c r="P219" t="str" cm="1">
        <f t="array" ref="P219">_xlfn.IFS(O219&lt;=0.3,"Low Risk",O219&lt;=0.4,"medium Risk",O219&lt;=0.5,"High Risk",O219&gt;0.5,"Very High Risk")</f>
        <v>High Risk</v>
      </c>
      <c r="Q219">
        <v>10756</v>
      </c>
      <c r="R219">
        <v>21975</v>
      </c>
      <c r="S219" t="str">
        <f t="shared" si="14"/>
        <v>Yes</v>
      </c>
      <c r="T219">
        <v>39515</v>
      </c>
      <c r="U219" t="str" cm="1">
        <f t="array" ref="U219">_xlfn.IFS(T219&lt;5000,"Small",T219&lt;20000,"Medium",T219&lt;35000,"Large",T219&gt;35000,"Very Large")</f>
        <v>Very Large</v>
      </c>
      <c r="V219">
        <v>12</v>
      </c>
      <c r="W219">
        <f t="shared" si="15"/>
        <v>1</v>
      </c>
      <c r="X219" t="s">
        <v>50</v>
      </c>
      <c r="Y219" t="s">
        <v>45</v>
      </c>
      <c r="Z219" t="s">
        <v>39</v>
      </c>
      <c r="AA219" t="s">
        <v>40</v>
      </c>
      <c r="AB219" t="s">
        <v>51</v>
      </c>
      <c r="AC219" t="s">
        <v>36</v>
      </c>
    </row>
    <row r="220" spans="1:29" x14ac:dyDescent="0.25">
      <c r="A220">
        <v>231</v>
      </c>
      <c r="B220">
        <v>10050</v>
      </c>
      <c r="C220">
        <v>726</v>
      </c>
      <c r="D220">
        <f t="shared" si="12"/>
        <v>10776</v>
      </c>
      <c r="E220" t="s">
        <v>29</v>
      </c>
      <c r="F220">
        <v>40</v>
      </c>
      <c r="G220" t="str" cm="1">
        <f t="array" ref="G220">_xlfn.IFS(F220&lt;25,"18-24",F220&lt;35,"25-35",F220&lt;45,"35-44",F220&lt;55,"44-54",F220&gt;=55,"55+")</f>
        <v>35-44</v>
      </c>
      <c r="H220" t="s">
        <v>30</v>
      </c>
      <c r="I220">
        <v>0</v>
      </c>
      <c r="J220" t="str" cm="1">
        <f t="array" ref="J220">_xlfn.IFS(I220&lt;=0,"No Dependents",I220&lt;=1,"One",I220&lt;=2,"Two",I220&gt;=3,"Third")</f>
        <v>No Dependents</v>
      </c>
      <c r="K220">
        <v>566</v>
      </c>
      <c r="L220" t="str" cm="1">
        <f t="array" ref="L220">_xlfn.IFS(K220&lt;=580,"Poor",K220&lt;=670,"fair",K220&lt;=740,"Good",K220&lt;=800,"Very Good",K220&gt;=800,"Excellent")</f>
        <v>Poor</v>
      </c>
      <c r="M220">
        <v>3</v>
      </c>
      <c r="N220" t="str">
        <f t="shared" si="13"/>
        <v>Yes</v>
      </c>
      <c r="O220">
        <v>0.35</v>
      </c>
      <c r="P220" t="str" cm="1">
        <f t="array" ref="P220">_xlfn.IFS(O220&lt;=0.3,"Low Risk",O220&lt;=0.4,"medium Risk",O220&lt;=0.5,"High Risk",O220&gt;0.5,"Very High Risk")</f>
        <v>medium Risk</v>
      </c>
      <c r="Q220">
        <v>7953</v>
      </c>
      <c r="R220">
        <v>14706</v>
      </c>
      <c r="S220" t="str">
        <f t="shared" si="14"/>
        <v>Yes</v>
      </c>
      <c r="T220">
        <v>24608</v>
      </c>
      <c r="U220" t="str" cm="1">
        <f t="array" ref="U220">_xlfn.IFS(T220&lt;5000,"Small",T220&lt;20000,"Medium",T220&lt;35000,"Large",T220&gt;35000,"Very Large")</f>
        <v>Large</v>
      </c>
      <c r="V220">
        <v>72</v>
      </c>
      <c r="W220">
        <f t="shared" si="15"/>
        <v>6</v>
      </c>
      <c r="X220" t="s">
        <v>47</v>
      </c>
      <c r="Y220" t="s">
        <v>45</v>
      </c>
      <c r="Z220" t="s">
        <v>33</v>
      </c>
      <c r="AA220" t="s">
        <v>34</v>
      </c>
      <c r="AB220" t="s">
        <v>42</v>
      </c>
      <c r="AC220" t="s">
        <v>36</v>
      </c>
    </row>
    <row r="221" spans="1:29" x14ac:dyDescent="0.25">
      <c r="A221">
        <v>232</v>
      </c>
      <c r="B221">
        <v>14757</v>
      </c>
      <c r="C221">
        <v>2736</v>
      </c>
      <c r="D221">
        <f t="shared" si="12"/>
        <v>17493</v>
      </c>
      <c r="E221" t="s">
        <v>48</v>
      </c>
      <c r="F221">
        <v>21</v>
      </c>
      <c r="G221" t="str" cm="1">
        <f t="array" ref="G221">_xlfn.IFS(F221&lt;25,"18-24",F221&lt;35,"25-35",F221&lt;45,"35-44",F221&lt;55,"44-54",F221&gt;=55,"55+")</f>
        <v>18-24</v>
      </c>
      <c r="H221" t="s">
        <v>30</v>
      </c>
      <c r="I221">
        <v>3</v>
      </c>
      <c r="J221" t="str" cm="1">
        <f t="array" ref="J221">_xlfn.IFS(I221&lt;=0,"No Dependents",I221&lt;=1,"One",I221&lt;=2,"Two",I221&gt;=3,"Third")</f>
        <v>Third</v>
      </c>
      <c r="K221">
        <v>661</v>
      </c>
      <c r="L221" t="str" cm="1">
        <f t="array" ref="L221">_xlfn.IFS(K221&lt;=580,"Poor",K221&lt;=670,"fair",K221&lt;=740,"Good",K221&lt;=800,"Very Good",K221&gt;=800,"Excellent")</f>
        <v>fair</v>
      </c>
      <c r="M221">
        <v>4</v>
      </c>
      <c r="N221" t="str">
        <f t="shared" si="13"/>
        <v>Yes</v>
      </c>
      <c r="O221">
        <v>0.55000000000000004</v>
      </c>
      <c r="P221" t="str" cm="1">
        <f t="array" ref="P221">_xlfn.IFS(O221&lt;=0.3,"Low Risk",O221&lt;=0.4,"medium Risk",O221&lt;=0.5,"High Risk",O221&gt;0.5,"Very High Risk")</f>
        <v>Very High Risk</v>
      </c>
      <c r="Q221">
        <v>4784</v>
      </c>
      <c r="R221">
        <v>5974</v>
      </c>
      <c r="S221" t="str">
        <f t="shared" si="14"/>
        <v>Yes</v>
      </c>
      <c r="T221">
        <v>28898</v>
      </c>
      <c r="U221" t="str" cm="1">
        <f t="array" ref="U221">_xlfn.IFS(T221&lt;5000,"Small",T221&lt;20000,"Medium",T221&lt;35000,"Large",T221&gt;35000,"Very Large")</f>
        <v>Large</v>
      </c>
      <c r="V221">
        <v>48</v>
      </c>
      <c r="W221">
        <f t="shared" si="15"/>
        <v>4</v>
      </c>
      <c r="X221" t="s">
        <v>47</v>
      </c>
      <c r="Y221" t="s">
        <v>32</v>
      </c>
      <c r="Z221" t="s">
        <v>33</v>
      </c>
      <c r="AA221" t="s">
        <v>40</v>
      </c>
      <c r="AB221" t="s">
        <v>51</v>
      </c>
      <c r="AC221" t="s">
        <v>36</v>
      </c>
    </row>
    <row r="222" spans="1:29" x14ac:dyDescent="0.25">
      <c r="A222">
        <v>233</v>
      </c>
      <c r="B222">
        <v>19429</v>
      </c>
      <c r="C222">
        <v>1913</v>
      </c>
      <c r="D222">
        <f t="shared" si="12"/>
        <v>21342</v>
      </c>
      <c r="E222" t="s">
        <v>48</v>
      </c>
      <c r="F222">
        <v>43</v>
      </c>
      <c r="G222" t="str" cm="1">
        <f t="array" ref="G222">_xlfn.IFS(F222&lt;25,"18-24",F222&lt;35,"25-35",F222&lt;45,"35-44",F222&lt;55,"44-54",F222&gt;=55,"55+")</f>
        <v>35-44</v>
      </c>
      <c r="H222" t="s">
        <v>41</v>
      </c>
      <c r="I222">
        <v>3</v>
      </c>
      <c r="J222" t="str" cm="1">
        <f t="array" ref="J222">_xlfn.IFS(I222&lt;=0,"No Dependents",I222&lt;=1,"One",I222&lt;=2,"Two",I222&gt;=3,"Third")</f>
        <v>Third</v>
      </c>
      <c r="K222">
        <v>640</v>
      </c>
      <c r="L222" t="str" cm="1">
        <f t="array" ref="L222">_xlfn.IFS(K222&lt;=580,"Poor",K222&lt;=670,"fair",K222&lt;=740,"Good",K222&lt;=800,"Very Good",K222&gt;=800,"Excellent")</f>
        <v>fair</v>
      </c>
      <c r="M222">
        <v>3</v>
      </c>
      <c r="N222" t="str">
        <f t="shared" si="13"/>
        <v>Yes</v>
      </c>
      <c r="O222">
        <v>0.23</v>
      </c>
      <c r="P222" t="str" cm="1">
        <f t="array" ref="P222">_xlfn.IFS(O222&lt;=0.3,"Low Risk",O222&lt;=0.4,"medium Risk",O222&lt;=0.5,"High Risk",O222&gt;0.5,"Very High Risk")</f>
        <v>Low Risk</v>
      </c>
      <c r="Q222">
        <v>15185</v>
      </c>
      <c r="R222">
        <v>10928</v>
      </c>
      <c r="S222" t="str">
        <f t="shared" si="14"/>
        <v>Yes</v>
      </c>
      <c r="T222">
        <v>2919</v>
      </c>
      <c r="U222" t="str" cm="1">
        <f t="array" ref="U222">_xlfn.IFS(T222&lt;5000,"Small",T222&lt;20000,"Medium",T222&lt;35000,"Large",T222&gt;35000,"Very Large")</f>
        <v>Small</v>
      </c>
      <c r="V222">
        <v>24</v>
      </c>
      <c r="W222">
        <f t="shared" si="15"/>
        <v>2</v>
      </c>
      <c r="X222" t="s">
        <v>42</v>
      </c>
      <c r="Y222" t="s">
        <v>38</v>
      </c>
      <c r="Z222" t="s">
        <v>39</v>
      </c>
      <c r="AA222" t="s">
        <v>34</v>
      </c>
      <c r="AB222" t="s">
        <v>51</v>
      </c>
      <c r="AC222" t="s">
        <v>36</v>
      </c>
    </row>
    <row r="223" spans="1:29" x14ac:dyDescent="0.25">
      <c r="A223">
        <v>234</v>
      </c>
      <c r="B223">
        <v>8893</v>
      </c>
      <c r="C223">
        <v>9788</v>
      </c>
      <c r="D223">
        <f t="shared" si="12"/>
        <v>18681</v>
      </c>
      <c r="E223" t="s">
        <v>49</v>
      </c>
      <c r="F223">
        <v>59</v>
      </c>
      <c r="G223" t="str" cm="1">
        <f t="array" ref="G223">_xlfn.IFS(F223&lt;25,"18-24",F223&lt;35,"25-35",F223&lt;45,"35-44",F223&lt;55,"44-54",F223&gt;=55,"55+")</f>
        <v>55+</v>
      </c>
      <c r="H223" t="s">
        <v>30</v>
      </c>
      <c r="I223">
        <v>0</v>
      </c>
      <c r="J223" t="str" cm="1">
        <f t="array" ref="J223">_xlfn.IFS(I223&lt;=0,"No Dependents",I223&lt;=1,"One",I223&lt;=2,"Two",I223&gt;=3,"Third")</f>
        <v>No Dependents</v>
      </c>
      <c r="K223">
        <v>637</v>
      </c>
      <c r="L223" t="str" cm="1">
        <f t="array" ref="L223">_xlfn.IFS(K223&lt;=580,"Poor",K223&lt;=670,"fair",K223&lt;=740,"Good",K223&lt;=800,"Very Good",K223&gt;=800,"Excellent")</f>
        <v>fair</v>
      </c>
      <c r="M223">
        <v>1</v>
      </c>
      <c r="N223" t="str">
        <f t="shared" si="13"/>
        <v>Yes</v>
      </c>
      <c r="O223">
        <v>0.35</v>
      </c>
      <c r="P223" t="str" cm="1">
        <f t="array" ref="P223">_xlfn.IFS(O223&lt;=0.3,"Low Risk",O223&lt;=0.4,"medium Risk",O223&lt;=0.5,"High Risk",O223&gt;0.5,"Very High Risk")</f>
        <v>medium Risk</v>
      </c>
      <c r="Q223">
        <v>9024</v>
      </c>
      <c r="R223">
        <v>21213</v>
      </c>
      <c r="S223" t="str">
        <f t="shared" si="14"/>
        <v>Yes</v>
      </c>
      <c r="T223">
        <v>32171</v>
      </c>
      <c r="U223" t="str" cm="1">
        <f t="array" ref="U223">_xlfn.IFS(T223&lt;5000,"Small",T223&lt;20000,"Medium",T223&lt;35000,"Large",T223&gt;35000,"Very Large")</f>
        <v>Large</v>
      </c>
      <c r="V223">
        <v>72</v>
      </c>
      <c r="W223">
        <f t="shared" si="15"/>
        <v>6</v>
      </c>
      <c r="X223" t="s">
        <v>47</v>
      </c>
      <c r="Y223" t="s">
        <v>32</v>
      </c>
      <c r="Z223" t="s">
        <v>39</v>
      </c>
      <c r="AA223" t="s">
        <v>34</v>
      </c>
      <c r="AB223" t="s">
        <v>35</v>
      </c>
      <c r="AC223" t="s">
        <v>36</v>
      </c>
    </row>
    <row r="224" spans="1:29" x14ac:dyDescent="0.25">
      <c r="A224">
        <v>235</v>
      </c>
      <c r="B224">
        <v>16373</v>
      </c>
      <c r="C224">
        <v>7657</v>
      </c>
      <c r="D224">
        <f t="shared" si="12"/>
        <v>24030</v>
      </c>
      <c r="E224" t="s">
        <v>29</v>
      </c>
      <c r="F224">
        <v>37</v>
      </c>
      <c r="G224" t="str" cm="1">
        <f t="array" ref="G224">_xlfn.IFS(F224&lt;25,"18-24",F224&lt;35,"25-35",F224&lt;45,"35-44",F224&lt;55,"44-54",F224&gt;=55,"55+")</f>
        <v>35-44</v>
      </c>
      <c r="H224" t="s">
        <v>41</v>
      </c>
      <c r="I224">
        <v>0</v>
      </c>
      <c r="J224" t="str" cm="1">
        <f t="array" ref="J224">_xlfn.IFS(I224&lt;=0,"No Dependents",I224&lt;=1,"One",I224&lt;=2,"Two",I224&gt;=3,"Third")</f>
        <v>No Dependents</v>
      </c>
      <c r="K224">
        <v>712</v>
      </c>
      <c r="L224" t="str" cm="1">
        <f t="array" ref="L224">_xlfn.IFS(K224&lt;=580,"Poor",K224&lt;=670,"fair",K224&lt;=740,"Good",K224&lt;=800,"Very Good",K224&gt;=800,"Excellent")</f>
        <v>Good</v>
      </c>
      <c r="M224">
        <v>3</v>
      </c>
      <c r="N224" t="str">
        <f t="shared" si="13"/>
        <v>Yes</v>
      </c>
      <c r="O224">
        <v>0.55000000000000004</v>
      </c>
      <c r="P224" t="str" cm="1">
        <f t="array" ref="P224">_xlfn.IFS(O224&lt;=0.3,"Low Risk",O224&lt;=0.4,"medium Risk",O224&lt;=0.5,"High Risk",O224&gt;0.5,"Very High Risk")</f>
        <v>Very High Risk</v>
      </c>
      <c r="Q224">
        <v>14674</v>
      </c>
      <c r="R224">
        <v>1950</v>
      </c>
      <c r="S224" t="str">
        <f t="shared" si="14"/>
        <v>Yes</v>
      </c>
      <c r="T224">
        <v>21599</v>
      </c>
      <c r="U224" t="str" cm="1">
        <f t="array" ref="U224">_xlfn.IFS(T224&lt;5000,"Small",T224&lt;20000,"Medium",T224&lt;35000,"Large",T224&gt;35000,"Very Large")</f>
        <v>Large</v>
      </c>
      <c r="V224">
        <v>84</v>
      </c>
      <c r="W224">
        <f t="shared" si="15"/>
        <v>7</v>
      </c>
      <c r="X224" t="s">
        <v>31</v>
      </c>
      <c r="Y224" t="s">
        <v>45</v>
      </c>
      <c r="Z224" t="s">
        <v>33</v>
      </c>
      <c r="AA224" t="s">
        <v>40</v>
      </c>
      <c r="AB224" t="s">
        <v>35</v>
      </c>
      <c r="AC224" t="s">
        <v>36</v>
      </c>
    </row>
    <row r="225" spans="1:29" x14ac:dyDescent="0.25">
      <c r="A225">
        <v>236</v>
      </c>
      <c r="B225">
        <v>16565</v>
      </c>
      <c r="C225">
        <v>2466</v>
      </c>
      <c r="D225">
        <f t="shared" si="12"/>
        <v>19031</v>
      </c>
      <c r="E225" t="s">
        <v>29</v>
      </c>
      <c r="F225">
        <v>54</v>
      </c>
      <c r="G225" t="str" cm="1">
        <f t="array" ref="G225">_xlfn.IFS(F225&lt;25,"18-24",F225&lt;35,"25-35",F225&lt;45,"35-44",F225&lt;55,"44-54",F225&gt;=55,"55+")</f>
        <v>44-54</v>
      </c>
      <c r="H225" t="s">
        <v>41</v>
      </c>
      <c r="I225">
        <v>0</v>
      </c>
      <c r="J225" t="str" cm="1">
        <f t="array" ref="J225">_xlfn.IFS(I225&lt;=0,"No Dependents",I225&lt;=1,"One",I225&lt;=2,"Two",I225&gt;=3,"Third")</f>
        <v>No Dependents</v>
      </c>
      <c r="K225">
        <v>723</v>
      </c>
      <c r="L225" t="str" cm="1">
        <f t="array" ref="L225">_xlfn.IFS(K225&lt;=580,"Poor",K225&lt;=670,"fair",K225&lt;=740,"Good",K225&lt;=800,"Very Good",K225&gt;=800,"Excellent")</f>
        <v>Good</v>
      </c>
      <c r="M225">
        <v>4</v>
      </c>
      <c r="N225" t="str">
        <f t="shared" si="13"/>
        <v>Yes</v>
      </c>
      <c r="O225">
        <v>0.55000000000000004</v>
      </c>
      <c r="P225" t="str" cm="1">
        <f t="array" ref="P225">_xlfn.IFS(O225&lt;=0.3,"Low Risk",O225&lt;=0.4,"medium Risk",O225&lt;=0.5,"High Risk",O225&gt;0.5,"Very High Risk")</f>
        <v>Very High Risk</v>
      </c>
      <c r="Q225">
        <v>17845</v>
      </c>
      <c r="R225">
        <v>19477</v>
      </c>
      <c r="S225" t="str">
        <f t="shared" si="14"/>
        <v>Yes</v>
      </c>
      <c r="T225">
        <v>17965</v>
      </c>
      <c r="U225" t="str" cm="1">
        <f t="array" ref="U225">_xlfn.IFS(T225&lt;5000,"Small",T225&lt;20000,"Medium",T225&lt;35000,"Large",T225&gt;35000,"Very Large")</f>
        <v>Medium</v>
      </c>
      <c r="V225">
        <v>12</v>
      </c>
      <c r="W225">
        <f t="shared" si="15"/>
        <v>1</v>
      </c>
      <c r="X225" t="s">
        <v>47</v>
      </c>
      <c r="Y225" t="s">
        <v>32</v>
      </c>
      <c r="Z225" t="s">
        <v>39</v>
      </c>
      <c r="AA225" t="s">
        <v>40</v>
      </c>
      <c r="AB225" t="s">
        <v>51</v>
      </c>
      <c r="AC225" t="s">
        <v>36</v>
      </c>
    </row>
    <row r="226" spans="1:29" x14ac:dyDescent="0.25">
      <c r="A226">
        <v>237</v>
      </c>
      <c r="B226">
        <v>5436</v>
      </c>
      <c r="C226">
        <v>9041</v>
      </c>
      <c r="D226">
        <f t="shared" si="12"/>
        <v>14477</v>
      </c>
      <c r="E226" t="s">
        <v>29</v>
      </c>
      <c r="F226">
        <v>49</v>
      </c>
      <c r="G226" t="str" cm="1">
        <f t="array" ref="G226">_xlfn.IFS(F226&lt;25,"18-24",F226&lt;35,"25-35",F226&lt;45,"35-44",F226&lt;55,"44-54",F226&gt;=55,"55+")</f>
        <v>44-54</v>
      </c>
      <c r="H226" t="s">
        <v>30</v>
      </c>
      <c r="I226">
        <v>3</v>
      </c>
      <c r="J226" t="str" cm="1">
        <f t="array" ref="J226">_xlfn.IFS(I226&lt;=0,"No Dependents",I226&lt;=1,"One",I226&lt;=2,"Two",I226&gt;=3,"Third")</f>
        <v>Third</v>
      </c>
      <c r="K226">
        <v>719</v>
      </c>
      <c r="L226" t="str" cm="1">
        <f t="array" ref="L226">_xlfn.IFS(K226&lt;=580,"Poor",K226&lt;=670,"fair",K226&lt;=740,"Good",K226&lt;=800,"Very Good",K226&gt;=800,"Excellent")</f>
        <v>Good</v>
      </c>
      <c r="M226">
        <v>4</v>
      </c>
      <c r="N226" t="str">
        <f t="shared" si="13"/>
        <v>Yes</v>
      </c>
      <c r="O226">
        <v>0.44</v>
      </c>
      <c r="P226" t="str" cm="1">
        <f t="array" ref="P226">_xlfn.IFS(O226&lt;=0.3,"Low Risk",O226&lt;=0.4,"medium Risk",O226&lt;=0.5,"High Risk",O226&gt;0.5,"Very High Risk")</f>
        <v>High Risk</v>
      </c>
      <c r="Q226">
        <v>11708</v>
      </c>
      <c r="R226">
        <v>10411</v>
      </c>
      <c r="S226" t="str">
        <f t="shared" si="14"/>
        <v>Yes</v>
      </c>
      <c r="T226">
        <v>15434</v>
      </c>
      <c r="U226" t="str" cm="1">
        <f t="array" ref="U226">_xlfn.IFS(T226&lt;5000,"Small",T226&lt;20000,"Medium",T226&lt;35000,"Large",T226&gt;35000,"Very Large")</f>
        <v>Medium</v>
      </c>
      <c r="V226">
        <v>60</v>
      </c>
      <c r="W226">
        <f t="shared" si="15"/>
        <v>5</v>
      </c>
      <c r="X226" t="s">
        <v>31</v>
      </c>
      <c r="Y226" t="s">
        <v>32</v>
      </c>
      <c r="Z226" t="s">
        <v>39</v>
      </c>
      <c r="AA226" t="s">
        <v>34</v>
      </c>
      <c r="AB226" t="s">
        <v>35</v>
      </c>
      <c r="AC226" t="s">
        <v>36</v>
      </c>
    </row>
    <row r="227" spans="1:29" x14ac:dyDescent="0.25">
      <c r="A227">
        <v>238</v>
      </c>
      <c r="B227">
        <v>10754</v>
      </c>
      <c r="C227">
        <v>7312</v>
      </c>
      <c r="D227">
        <f t="shared" si="12"/>
        <v>18066</v>
      </c>
      <c r="E227" t="s">
        <v>29</v>
      </c>
      <c r="F227">
        <v>29</v>
      </c>
      <c r="G227" t="str" cm="1">
        <f t="array" ref="G227">_xlfn.IFS(F227&lt;25,"18-24",F227&lt;35,"25-35",F227&lt;45,"35-44",F227&lt;55,"44-54",F227&gt;=55,"55+")</f>
        <v>25-35</v>
      </c>
      <c r="H227" t="s">
        <v>30</v>
      </c>
      <c r="I227">
        <v>0</v>
      </c>
      <c r="J227" t="str" cm="1">
        <f t="array" ref="J227">_xlfn.IFS(I227&lt;=0,"No Dependents",I227&lt;=1,"One",I227&lt;=2,"Two",I227&gt;=3,"Third")</f>
        <v>No Dependents</v>
      </c>
      <c r="K227">
        <v>795</v>
      </c>
      <c r="L227" t="str" cm="1">
        <f t="array" ref="L227">_xlfn.IFS(K227&lt;=580,"Poor",K227&lt;=670,"fair",K227&lt;=740,"Good",K227&lt;=800,"Very Good",K227&gt;=800,"Excellent")</f>
        <v>Very Good</v>
      </c>
      <c r="M227">
        <v>0</v>
      </c>
      <c r="N227" t="str">
        <f t="shared" si="13"/>
        <v>No</v>
      </c>
      <c r="O227">
        <v>0.53</v>
      </c>
      <c r="P227" t="str" cm="1">
        <f t="array" ref="P227">_xlfn.IFS(O227&lt;=0.3,"Low Risk",O227&lt;=0.4,"medium Risk",O227&lt;=0.5,"High Risk",O227&gt;0.5,"Very High Risk")</f>
        <v>Very High Risk</v>
      </c>
      <c r="Q227">
        <v>1159</v>
      </c>
      <c r="R227">
        <v>21695</v>
      </c>
      <c r="S227" t="str">
        <f t="shared" si="14"/>
        <v>Yes</v>
      </c>
      <c r="T227">
        <v>37649</v>
      </c>
      <c r="U227" t="str" cm="1">
        <f t="array" ref="U227">_xlfn.IFS(T227&lt;5000,"Small",T227&lt;20000,"Medium",T227&lt;35000,"Large",T227&gt;35000,"Very Large")</f>
        <v>Very Large</v>
      </c>
      <c r="V227">
        <v>72</v>
      </c>
      <c r="W227">
        <f t="shared" si="15"/>
        <v>6</v>
      </c>
      <c r="X227" t="s">
        <v>47</v>
      </c>
      <c r="Y227" t="s">
        <v>45</v>
      </c>
      <c r="Z227" t="s">
        <v>39</v>
      </c>
      <c r="AA227" t="s">
        <v>40</v>
      </c>
      <c r="AB227" t="s">
        <v>43</v>
      </c>
      <c r="AC227" t="s">
        <v>36</v>
      </c>
    </row>
    <row r="228" spans="1:29" x14ac:dyDescent="0.25">
      <c r="A228">
        <v>239</v>
      </c>
      <c r="B228">
        <v>12677</v>
      </c>
      <c r="C228">
        <v>8194</v>
      </c>
      <c r="D228">
        <f t="shared" si="12"/>
        <v>20871</v>
      </c>
      <c r="E228" t="s">
        <v>29</v>
      </c>
      <c r="F228">
        <v>33</v>
      </c>
      <c r="G228" t="str" cm="1">
        <f t="array" ref="G228">_xlfn.IFS(F228&lt;25,"18-24",F228&lt;35,"25-35",F228&lt;45,"35-44",F228&lt;55,"44-54",F228&gt;=55,"55+")</f>
        <v>25-35</v>
      </c>
      <c r="H228" t="s">
        <v>30</v>
      </c>
      <c r="I228">
        <v>0</v>
      </c>
      <c r="J228" t="str" cm="1">
        <f t="array" ref="J228">_xlfn.IFS(I228&lt;=0,"No Dependents",I228&lt;=1,"One",I228&lt;=2,"Two",I228&gt;=3,"Third")</f>
        <v>No Dependents</v>
      </c>
      <c r="K228">
        <v>716</v>
      </c>
      <c r="L228" t="str" cm="1">
        <f t="array" ref="L228">_xlfn.IFS(K228&lt;=580,"Poor",K228&lt;=670,"fair",K228&lt;=740,"Good",K228&lt;=800,"Very Good",K228&gt;=800,"Excellent")</f>
        <v>Good</v>
      </c>
      <c r="M228">
        <v>0</v>
      </c>
      <c r="N228" t="str">
        <f t="shared" si="13"/>
        <v>No</v>
      </c>
      <c r="O228">
        <v>0.14000000000000001</v>
      </c>
      <c r="P228" t="str" cm="1">
        <f t="array" ref="P228">_xlfn.IFS(O228&lt;=0.3,"Low Risk",O228&lt;=0.4,"medium Risk",O228&lt;=0.5,"High Risk",O228&gt;0.5,"Very High Risk")</f>
        <v>Low Risk</v>
      </c>
      <c r="Q228">
        <v>386</v>
      </c>
      <c r="R228">
        <v>46156</v>
      </c>
      <c r="S228" t="str">
        <f t="shared" si="14"/>
        <v>Yes</v>
      </c>
      <c r="T228">
        <v>2999</v>
      </c>
      <c r="U228" t="str" cm="1">
        <f t="array" ref="U228">_xlfn.IFS(T228&lt;5000,"Small",T228&lt;20000,"Medium",T228&lt;35000,"Large",T228&gt;35000,"Very Large")</f>
        <v>Small</v>
      </c>
      <c r="V228">
        <v>60</v>
      </c>
      <c r="W228">
        <f t="shared" si="15"/>
        <v>5</v>
      </c>
      <c r="X228" t="s">
        <v>37</v>
      </c>
      <c r="Y228" t="s">
        <v>38</v>
      </c>
      <c r="Z228" t="s">
        <v>33</v>
      </c>
      <c r="AA228" t="s">
        <v>34</v>
      </c>
      <c r="AB228" t="s">
        <v>43</v>
      </c>
      <c r="AC228" t="s">
        <v>44</v>
      </c>
    </row>
    <row r="229" spans="1:29" x14ac:dyDescent="0.25">
      <c r="A229">
        <v>240</v>
      </c>
      <c r="B229">
        <v>7895</v>
      </c>
      <c r="C229">
        <v>7906</v>
      </c>
      <c r="D229">
        <f t="shared" si="12"/>
        <v>15801</v>
      </c>
      <c r="E229" t="s">
        <v>48</v>
      </c>
      <c r="F229">
        <v>26</v>
      </c>
      <c r="G229" t="str" cm="1">
        <f t="array" ref="G229">_xlfn.IFS(F229&lt;25,"18-24",F229&lt;35,"25-35",F229&lt;45,"35-44",F229&lt;55,"44-54",F229&gt;=55,"55+")</f>
        <v>25-35</v>
      </c>
      <c r="H229" t="s">
        <v>30</v>
      </c>
      <c r="I229">
        <v>1</v>
      </c>
      <c r="J229" t="str" cm="1">
        <f t="array" ref="J229">_xlfn.IFS(I229&lt;=0,"No Dependents",I229&lt;=1,"One",I229&lt;=2,"Two",I229&gt;=3,"Third")</f>
        <v>One</v>
      </c>
      <c r="K229">
        <v>639</v>
      </c>
      <c r="L229" t="str" cm="1">
        <f t="array" ref="L229">_xlfn.IFS(K229&lt;=580,"Poor",K229&lt;=670,"fair",K229&lt;=740,"Good",K229&lt;=800,"Very Good",K229&gt;=800,"Excellent")</f>
        <v>fair</v>
      </c>
      <c r="M229">
        <v>1</v>
      </c>
      <c r="N229" t="str">
        <f t="shared" si="13"/>
        <v>Yes</v>
      </c>
      <c r="O229">
        <v>0.53</v>
      </c>
      <c r="P229" t="str" cm="1">
        <f t="array" ref="P229">_xlfn.IFS(O229&lt;=0.3,"Low Risk",O229&lt;=0.4,"medium Risk",O229&lt;=0.5,"High Risk",O229&gt;0.5,"Very High Risk")</f>
        <v>Very High Risk</v>
      </c>
      <c r="Q229">
        <v>7192</v>
      </c>
      <c r="R229">
        <v>17771</v>
      </c>
      <c r="S229" t="str">
        <f t="shared" si="14"/>
        <v>Yes</v>
      </c>
      <c r="T229">
        <v>15849</v>
      </c>
      <c r="U229" t="str" cm="1">
        <f t="array" ref="U229">_xlfn.IFS(T229&lt;5000,"Small",T229&lt;20000,"Medium",T229&lt;35000,"Large",T229&gt;35000,"Very Large")</f>
        <v>Medium</v>
      </c>
      <c r="V229">
        <v>84</v>
      </c>
      <c r="W229">
        <f t="shared" si="15"/>
        <v>7</v>
      </c>
      <c r="X229" t="s">
        <v>42</v>
      </c>
      <c r="Y229" t="s">
        <v>32</v>
      </c>
      <c r="Z229" t="s">
        <v>39</v>
      </c>
      <c r="AA229" t="s">
        <v>40</v>
      </c>
      <c r="AB229" t="s">
        <v>35</v>
      </c>
      <c r="AC229" t="s">
        <v>36</v>
      </c>
    </row>
    <row r="230" spans="1:29" x14ac:dyDescent="0.25">
      <c r="A230">
        <v>241</v>
      </c>
      <c r="B230">
        <v>18609</v>
      </c>
      <c r="C230">
        <v>4876</v>
      </c>
      <c r="D230">
        <f t="shared" si="12"/>
        <v>23485</v>
      </c>
      <c r="E230" t="s">
        <v>29</v>
      </c>
      <c r="F230">
        <v>26</v>
      </c>
      <c r="G230" t="str" cm="1">
        <f t="array" ref="G230">_xlfn.IFS(F230&lt;25,"18-24",F230&lt;35,"25-35",F230&lt;45,"35-44",F230&lt;55,"44-54",F230&gt;=55,"55+")</f>
        <v>25-35</v>
      </c>
      <c r="H230" t="s">
        <v>30</v>
      </c>
      <c r="I230">
        <v>0</v>
      </c>
      <c r="J230" t="str" cm="1">
        <f t="array" ref="J230">_xlfn.IFS(I230&lt;=0,"No Dependents",I230&lt;=1,"One",I230&lt;=2,"Two",I230&gt;=3,"Third")</f>
        <v>No Dependents</v>
      </c>
      <c r="K230">
        <v>598</v>
      </c>
      <c r="L230" t="str" cm="1">
        <f t="array" ref="L230">_xlfn.IFS(K230&lt;=580,"Poor",K230&lt;=670,"fair",K230&lt;=740,"Good",K230&lt;=800,"Very Good",K230&gt;=800,"Excellent")</f>
        <v>fair</v>
      </c>
      <c r="M230">
        <v>0</v>
      </c>
      <c r="N230" t="str">
        <f t="shared" si="13"/>
        <v>No</v>
      </c>
      <c r="O230">
        <v>0.26</v>
      </c>
      <c r="P230" t="str" cm="1">
        <f t="array" ref="P230">_xlfn.IFS(O230&lt;=0.3,"Low Risk",O230&lt;=0.4,"medium Risk",O230&lt;=0.5,"High Risk",O230&gt;0.5,"Very High Risk")</f>
        <v>Low Risk</v>
      </c>
      <c r="Q230">
        <v>10745</v>
      </c>
      <c r="R230">
        <v>4274</v>
      </c>
      <c r="S230" t="str">
        <f t="shared" si="14"/>
        <v>Yes</v>
      </c>
      <c r="T230">
        <v>11903</v>
      </c>
      <c r="U230" t="str" cm="1">
        <f t="array" ref="U230">_xlfn.IFS(T230&lt;5000,"Small",T230&lt;20000,"Medium",T230&lt;35000,"Large",T230&gt;35000,"Very Large")</f>
        <v>Medium</v>
      </c>
      <c r="V230">
        <v>60</v>
      </c>
      <c r="W230">
        <f t="shared" si="15"/>
        <v>5</v>
      </c>
      <c r="X230" t="s">
        <v>31</v>
      </c>
      <c r="Y230" t="s">
        <v>32</v>
      </c>
      <c r="Z230" t="s">
        <v>33</v>
      </c>
      <c r="AA230" t="s">
        <v>40</v>
      </c>
      <c r="AB230" t="s">
        <v>35</v>
      </c>
      <c r="AC230" t="s">
        <v>36</v>
      </c>
    </row>
    <row r="231" spans="1:29" x14ac:dyDescent="0.25">
      <c r="A231">
        <v>242</v>
      </c>
      <c r="B231">
        <v>17636</v>
      </c>
      <c r="C231">
        <v>7287</v>
      </c>
      <c r="D231">
        <f t="shared" si="12"/>
        <v>24923</v>
      </c>
      <c r="E231" t="s">
        <v>29</v>
      </c>
      <c r="F231">
        <v>40</v>
      </c>
      <c r="G231" t="str" cm="1">
        <f t="array" ref="G231">_xlfn.IFS(F231&lt;25,"18-24",F231&lt;35,"25-35",F231&lt;45,"35-44",F231&lt;55,"44-54",F231&gt;=55,"55+")</f>
        <v>35-44</v>
      </c>
      <c r="H231" t="s">
        <v>41</v>
      </c>
      <c r="I231">
        <v>1</v>
      </c>
      <c r="J231" t="str" cm="1">
        <f t="array" ref="J231">_xlfn.IFS(I231&lt;=0,"No Dependents",I231&lt;=1,"One",I231&lt;=2,"Two",I231&gt;=3,"Third")</f>
        <v>One</v>
      </c>
      <c r="K231">
        <v>739</v>
      </c>
      <c r="L231" t="str" cm="1">
        <f t="array" ref="L231">_xlfn.IFS(K231&lt;=580,"Poor",K231&lt;=670,"fair",K231&lt;=740,"Good",K231&lt;=800,"Very Good",K231&gt;=800,"Excellent")</f>
        <v>Good</v>
      </c>
      <c r="M231">
        <v>2</v>
      </c>
      <c r="N231" t="str">
        <f t="shared" si="13"/>
        <v>Yes</v>
      </c>
      <c r="O231">
        <v>0.19</v>
      </c>
      <c r="P231" t="str" cm="1">
        <f t="array" ref="P231">_xlfn.IFS(O231&lt;=0.3,"Low Risk",O231&lt;=0.4,"medium Risk",O231&lt;=0.5,"High Risk",O231&gt;0.5,"Very High Risk")</f>
        <v>Low Risk</v>
      </c>
      <c r="Q231">
        <v>9910</v>
      </c>
      <c r="R231">
        <v>35053</v>
      </c>
      <c r="S231" t="str">
        <f t="shared" si="14"/>
        <v>Yes</v>
      </c>
      <c r="T231">
        <v>6445</v>
      </c>
      <c r="U231" t="str" cm="1">
        <f t="array" ref="U231">_xlfn.IFS(T231&lt;5000,"Small",T231&lt;20000,"Medium",T231&lt;35000,"Large",T231&gt;35000,"Very Large")</f>
        <v>Medium</v>
      </c>
      <c r="V231">
        <v>60</v>
      </c>
      <c r="W231">
        <f t="shared" si="15"/>
        <v>5</v>
      </c>
      <c r="X231" t="s">
        <v>47</v>
      </c>
      <c r="Y231" t="s">
        <v>32</v>
      </c>
      <c r="Z231" t="s">
        <v>39</v>
      </c>
      <c r="AA231" t="s">
        <v>40</v>
      </c>
      <c r="AB231" t="s">
        <v>51</v>
      </c>
      <c r="AC231" t="s">
        <v>44</v>
      </c>
    </row>
    <row r="232" spans="1:29" x14ac:dyDescent="0.25">
      <c r="A232">
        <v>243</v>
      </c>
      <c r="B232">
        <v>0</v>
      </c>
      <c r="C232">
        <v>892</v>
      </c>
      <c r="D232">
        <f t="shared" si="12"/>
        <v>892</v>
      </c>
      <c r="E232" t="s">
        <v>29</v>
      </c>
      <c r="F232">
        <v>23</v>
      </c>
      <c r="G232" t="str" cm="1">
        <f t="array" ref="G232">_xlfn.IFS(F232&lt;25,"18-24",F232&lt;35,"25-35",F232&lt;45,"35-44",F232&lt;55,"44-54",F232&gt;=55,"55+")</f>
        <v>18-24</v>
      </c>
      <c r="H232" t="s">
        <v>41</v>
      </c>
      <c r="I232">
        <v>0</v>
      </c>
      <c r="J232" t="str" cm="1">
        <f t="array" ref="J232">_xlfn.IFS(I232&lt;=0,"No Dependents",I232&lt;=1,"One",I232&lt;=2,"Two",I232&gt;=3,"Third")</f>
        <v>No Dependents</v>
      </c>
      <c r="K232">
        <v>587</v>
      </c>
      <c r="L232" t="str" cm="1">
        <f t="array" ref="L232">_xlfn.IFS(K232&lt;=580,"Poor",K232&lt;=670,"fair",K232&lt;=740,"Good",K232&lt;=800,"Very Good",K232&gt;=800,"Excellent")</f>
        <v>fair</v>
      </c>
      <c r="M232">
        <v>0</v>
      </c>
      <c r="N232" t="str">
        <f t="shared" si="13"/>
        <v>No</v>
      </c>
      <c r="O232">
        <v>0.22</v>
      </c>
      <c r="P232" t="str" cm="1">
        <f t="array" ref="P232">_xlfn.IFS(O232&lt;=0.3,"Low Risk",O232&lt;=0.4,"medium Risk",O232&lt;=0.5,"High Risk",O232&gt;0.5,"Very High Risk")</f>
        <v>Low Risk</v>
      </c>
      <c r="Q232">
        <v>3409</v>
      </c>
      <c r="R232">
        <v>7045</v>
      </c>
      <c r="S232" t="str">
        <f t="shared" si="14"/>
        <v>Yes</v>
      </c>
      <c r="T232">
        <v>36396</v>
      </c>
      <c r="U232" t="str" cm="1">
        <f t="array" ref="U232">_xlfn.IFS(T232&lt;5000,"Small",T232&lt;20000,"Medium",T232&lt;35000,"Large",T232&gt;35000,"Very Large")</f>
        <v>Very Large</v>
      </c>
      <c r="V232">
        <v>36</v>
      </c>
      <c r="W232">
        <f t="shared" si="15"/>
        <v>3</v>
      </c>
      <c r="X232" t="s">
        <v>47</v>
      </c>
      <c r="Y232" t="s">
        <v>32</v>
      </c>
      <c r="Z232" t="s">
        <v>39</v>
      </c>
      <c r="AA232" t="s">
        <v>40</v>
      </c>
      <c r="AB232" t="s">
        <v>42</v>
      </c>
      <c r="AC232" t="s">
        <v>36</v>
      </c>
    </row>
    <row r="233" spans="1:29" x14ac:dyDescent="0.25">
      <c r="A233">
        <v>244</v>
      </c>
      <c r="B233">
        <v>11151</v>
      </c>
      <c r="C233">
        <v>0</v>
      </c>
      <c r="D233">
        <f t="shared" si="12"/>
        <v>11151</v>
      </c>
      <c r="E233" t="s">
        <v>52</v>
      </c>
      <c r="F233">
        <v>37</v>
      </c>
      <c r="G233" t="str" cm="1">
        <f t="array" ref="G233">_xlfn.IFS(F233&lt;25,"18-24",F233&lt;35,"25-35",F233&lt;45,"35-44",F233&lt;55,"44-54",F233&gt;=55,"55+")</f>
        <v>35-44</v>
      </c>
      <c r="H233" t="s">
        <v>30</v>
      </c>
      <c r="I233">
        <v>2</v>
      </c>
      <c r="J233" t="str" cm="1">
        <f t="array" ref="J233">_xlfn.IFS(I233&lt;=0,"No Dependents",I233&lt;=1,"One",I233&lt;=2,"Two",I233&gt;=3,"Third")</f>
        <v>Two</v>
      </c>
      <c r="K233">
        <v>700</v>
      </c>
      <c r="L233" t="str" cm="1">
        <f t="array" ref="L233">_xlfn.IFS(K233&lt;=580,"Poor",K233&lt;=670,"fair",K233&lt;=740,"Good",K233&lt;=800,"Very Good",K233&gt;=800,"Excellent")</f>
        <v>Good</v>
      </c>
      <c r="M233">
        <v>3</v>
      </c>
      <c r="N233" t="str">
        <f t="shared" si="13"/>
        <v>Yes</v>
      </c>
      <c r="O233">
        <v>0.31</v>
      </c>
      <c r="P233" t="str" cm="1">
        <f t="array" ref="P233">_xlfn.IFS(O233&lt;=0.3,"Low Risk",O233&lt;=0.4,"medium Risk",O233&lt;=0.5,"High Risk",O233&gt;0.5,"Very High Risk")</f>
        <v>medium Risk</v>
      </c>
      <c r="Q233">
        <v>17073</v>
      </c>
      <c r="R233">
        <v>29714</v>
      </c>
      <c r="S233" t="str">
        <f t="shared" si="14"/>
        <v>Yes</v>
      </c>
      <c r="T233">
        <v>19040</v>
      </c>
      <c r="U233" t="str" cm="1">
        <f t="array" ref="U233">_xlfn.IFS(T233&lt;5000,"Small",T233&lt;20000,"Medium",T233&lt;35000,"Large",T233&gt;35000,"Very Large")</f>
        <v>Medium</v>
      </c>
      <c r="V233">
        <v>48</v>
      </c>
      <c r="W233">
        <f t="shared" si="15"/>
        <v>4</v>
      </c>
      <c r="X233" t="s">
        <v>47</v>
      </c>
      <c r="Y233" t="s">
        <v>32</v>
      </c>
      <c r="Z233" t="s">
        <v>39</v>
      </c>
      <c r="AA233" t="s">
        <v>34</v>
      </c>
      <c r="AB233" t="s">
        <v>43</v>
      </c>
      <c r="AC233" t="s">
        <v>44</v>
      </c>
    </row>
    <row r="234" spans="1:29" x14ac:dyDescent="0.25">
      <c r="A234">
        <v>245</v>
      </c>
      <c r="B234">
        <v>7600</v>
      </c>
      <c r="C234">
        <v>1933</v>
      </c>
      <c r="D234">
        <f t="shared" si="12"/>
        <v>9533</v>
      </c>
      <c r="E234" t="s">
        <v>29</v>
      </c>
      <c r="F234">
        <v>32</v>
      </c>
      <c r="G234" t="str" cm="1">
        <f t="array" ref="G234">_xlfn.IFS(F234&lt;25,"18-24",F234&lt;35,"25-35",F234&lt;45,"35-44",F234&lt;55,"44-54",F234&gt;=55,"55+")</f>
        <v>25-35</v>
      </c>
      <c r="H234" t="s">
        <v>41</v>
      </c>
      <c r="I234">
        <v>3</v>
      </c>
      <c r="J234" t="str" cm="1">
        <f t="array" ref="J234">_xlfn.IFS(I234&lt;=0,"No Dependents",I234&lt;=1,"One",I234&lt;=2,"Two",I234&gt;=3,"Third")</f>
        <v>Third</v>
      </c>
      <c r="K234">
        <v>699</v>
      </c>
      <c r="L234" t="str" cm="1">
        <f t="array" ref="L234">_xlfn.IFS(K234&lt;=580,"Poor",K234&lt;=670,"fair",K234&lt;=740,"Good",K234&lt;=800,"Very Good",K234&gt;=800,"Excellent")</f>
        <v>Good</v>
      </c>
      <c r="M234">
        <v>4</v>
      </c>
      <c r="N234" t="str">
        <f t="shared" si="13"/>
        <v>Yes</v>
      </c>
      <c r="O234">
        <v>0.23</v>
      </c>
      <c r="P234" t="str" cm="1">
        <f t="array" ref="P234">_xlfn.IFS(O234&lt;=0.3,"Low Risk",O234&lt;=0.4,"medium Risk",O234&lt;=0.5,"High Risk",O234&gt;0.5,"Very High Risk")</f>
        <v>Low Risk</v>
      </c>
      <c r="Q234">
        <v>13180</v>
      </c>
      <c r="R234">
        <v>34386</v>
      </c>
      <c r="S234" t="str">
        <f t="shared" si="14"/>
        <v>Yes</v>
      </c>
      <c r="T234">
        <v>1246</v>
      </c>
      <c r="U234" t="str" cm="1">
        <f t="array" ref="U234">_xlfn.IFS(T234&lt;5000,"Small",T234&lt;20000,"Medium",T234&lt;35000,"Large",T234&gt;35000,"Very Large")</f>
        <v>Small</v>
      </c>
      <c r="V234">
        <v>24</v>
      </c>
      <c r="W234">
        <f t="shared" si="15"/>
        <v>2</v>
      </c>
      <c r="X234" t="s">
        <v>31</v>
      </c>
      <c r="Y234" t="s">
        <v>45</v>
      </c>
      <c r="Z234" t="s">
        <v>39</v>
      </c>
      <c r="AA234" t="s">
        <v>40</v>
      </c>
      <c r="AB234" t="s">
        <v>48</v>
      </c>
      <c r="AC234" t="s">
        <v>44</v>
      </c>
    </row>
    <row r="235" spans="1:29" x14ac:dyDescent="0.25">
      <c r="A235">
        <v>246</v>
      </c>
      <c r="B235">
        <v>9996</v>
      </c>
      <c r="C235">
        <v>1380</v>
      </c>
      <c r="D235">
        <f t="shared" si="12"/>
        <v>11376</v>
      </c>
      <c r="E235" t="s">
        <v>29</v>
      </c>
      <c r="F235">
        <v>21</v>
      </c>
      <c r="G235" t="str" cm="1">
        <f t="array" ref="G235">_xlfn.IFS(F235&lt;25,"18-24",F235&lt;35,"25-35",F235&lt;45,"35-44",F235&lt;55,"44-54",F235&gt;=55,"55+")</f>
        <v>18-24</v>
      </c>
      <c r="H235" t="s">
        <v>30</v>
      </c>
      <c r="I235">
        <v>1</v>
      </c>
      <c r="J235" t="str" cm="1">
        <f t="array" ref="J235">_xlfn.IFS(I235&lt;=0,"No Dependents",I235&lt;=1,"One",I235&lt;=2,"Two",I235&gt;=3,"Third")</f>
        <v>One</v>
      </c>
      <c r="K235">
        <v>681</v>
      </c>
      <c r="L235" t="str" cm="1">
        <f t="array" ref="L235">_xlfn.IFS(K235&lt;=580,"Poor",K235&lt;=670,"fair",K235&lt;=740,"Good",K235&lt;=800,"Very Good",K235&gt;=800,"Excellent")</f>
        <v>Good</v>
      </c>
      <c r="M235">
        <v>2</v>
      </c>
      <c r="N235" t="str">
        <f t="shared" si="13"/>
        <v>Yes</v>
      </c>
      <c r="O235">
        <v>0.26</v>
      </c>
      <c r="P235" t="str" cm="1">
        <f t="array" ref="P235">_xlfn.IFS(O235&lt;=0.3,"Low Risk",O235&lt;=0.4,"medium Risk",O235&lt;=0.5,"High Risk",O235&gt;0.5,"Very High Risk")</f>
        <v>Low Risk</v>
      </c>
      <c r="Q235">
        <v>17336</v>
      </c>
      <c r="R235">
        <v>43747</v>
      </c>
      <c r="S235" t="str">
        <f t="shared" si="14"/>
        <v>Yes</v>
      </c>
      <c r="T235">
        <v>32153</v>
      </c>
      <c r="U235" t="str" cm="1">
        <f t="array" ref="U235">_xlfn.IFS(T235&lt;5000,"Small",T235&lt;20000,"Medium",T235&lt;35000,"Large",T235&gt;35000,"Very Large")</f>
        <v>Large</v>
      </c>
      <c r="V235">
        <v>48</v>
      </c>
      <c r="W235">
        <f t="shared" si="15"/>
        <v>4</v>
      </c>
      <c r="X235" t="s">
        <v>47</v>
      </c>
      <c r="Y235" t="s">
        <v>38</v>
      </c>
      <c r="Z235" t="s">
        <v>39</v>
      </c>
      <c r="AA235" t="s">
        <v>34</v>
      </c>
      <c r="AB235" t="s">
        <v>35</v>
      </c>
      <c r="AC235" t="s">
        <v>44</v>
      </c>
    </row>
    <row r="236" spans="1:29" x14ac:dyDescent="0.25">
      <c r="A236">
        <v>247</v>
      </c>
      <c r="B236">
        <v>11007</v>
      </c>
      <c r="C236">
        <v>1290</v>
      </c>
      <c r="D236">
        <f t="shared" si="12"/>
        <v>12297</v>
      </c>
      <c r="E236" t="s">
        <v>29</v>
      </c>
      <c r="F236">
        <v>37</v>
      </c>
      <c r="G236" t="str" cm="1">
        <f t="array" ref="G236">_xlfn.IFS(F236&lt;25,"18-24",F236&lt;35,"25-35",F236&lt;45,"35-44",F236&lt;55,"44-54",F236&gt;=55,"55+")</f>
        <v>35-44</v>
      </c>
      <c r="H236" t="s">
        <v>30</v>
      </c>
      <c r="I236">
        <v>3</v>
      </c>
      <c r="J236" t="str" cm="1">
        <f t="array" ref="J236">_xlfn.IFS(I236&lt;=0,"No Dependents",I236&lt;=1,"One",I236&lt;=2,"Two",I236&gt;=3,"Third")</f>
        <v>Third</v>
      </c>
      <c r="K236">
        <v>726</v>
      </c>
      <c r="L236" t="str" cm="1">
        <f t="array" ref="L236">_xlfn.IFS(K236&lt;=580,"Poor",K236&lt;=670,"fair",K236&lt;=740,"Good",K236&lt;=800,"Very Good",K236&gt;=800,"Excellent")</f>
        <v>Good</v>
      </c>
      <c r="M236">
        <v>1</v>
      </c>
      <c r="N236" t="str">
        <f t="shared" si="13"/>
        <v>Yes</v>
      </c>
      <c r="O236">
        <v>0.17</v>
      </c>
      <c r="P236" t="str" cm="1">
        <f t="array" ref="P236">_xlfn.IFS(O236&lt;=0.3,"Low Risk",O236&lt;=0.4,"medium Risk",O236&lt;=0.5,"High Risk",O236&gt;0.5,"Very High Risk")</f>
        <v>Low Risk</v>
      </c>
      <c r="Q236">
        <v>6142</v>
      </c>
      <c r="R236">
        <v>8562</v>
      </c>
      <c r="S236" t="str">
        <f t="shared" si="14"/>
        <v>Yes</v>
      </c>
      <c r="T236">
        <v>6212</v>
      </c>
      <c r="U236" t="str" cm="1">
        <f t="array" ref="U236">_xlfn.IFS(T236&lt;5000,"Small",T236&lt;20000,"Medium",T236&lt;35000,"Large",T236&gt;35000,"Very Large")</f>
        <v>Medium</v>
      </c>
      <c r="V236">
        <v>12</v>
      </c>
      <c r="W236">
        <f t="shared" si="15"/>
        <v>1</v>
      </c>
      <c r="X236" t="s">
        <v>42</v>
      </c>
      <c r="Y236" t="s">
        <v>32</v>
      </c>
      <c r="Z236" t="s">
        <v>39</v>
      </c>
      <c r="AA236" t="s">
        <v>34</v>
      </c>
      <c r="AB236" t="s">
        <v>35</v>
      </c>
      <c r="AC236" t="s">
        <v>44</v>
      </c>
    </row>
    <row r="237" spans="1:29" x14ac:dyDescent="0.25">
      <c r="A237">
        <v>248</v>
      </c>
      <c r="B237">
        <v>14946</v>
      </c>
      <c r="C237">
        <v>1640</v>
      </c>
      <c r="D237">
        <f t="shared" si="12"/>
        <v>16586</v>
      </c>
      <c r="E237" t="s">
        <v>49</v>
      </c>
      <c r="F237">
        <v>23</v>
      </c>
      <c r="G237" t="str" cm="1">
        <f t="array" ref="G237">_xlfn.IFS(F237&lt;25,"18-24",F237&lt;35,"25-35",F237&lt;45,"35-44",F237&lt;55,"44-54",F237&gt;=55,"55+")</f>
        <v>18-24</v>
      </c>
      <c r="H237" t="s">
        <v>30</v>
      </c>
      <c r="I237">
        <v>1</v>
      </c>
      <c r="J237" t="str" cm="1">
        <f t="array" ref="J237">_xlfn.IFS(I237&lt;=0,"No Dependents",I237&lt;=1,"One",I237&lt;=2,"Two",I237&gt;=3,"Third")</f>
        <v>One</v>
      </c>
      <c r="K237">
        <v>608</v>
      </c>
      <c r="L237" t="str" cm="1">
        <f t="array" ref="L237">_xlfn.IFS(K237&lt;=580,"Poor",K237&lt;=670,"fair",K237&lt;=740,"Good",K237&lt;=800,"Very Good",K237&gt;=800,"Excellent")</f>
        <v>fair</v>
      </c>
      <c r="M237">
        <v>0</v>
      </c>
      <c r="N237" t="str">
        <f t="shared" si="13"/>
        <v>No</v>
      </c>
      <c r="O237">
        <v>0.25</v>
      </c>
      <c r="P237" t="str" cm="1">
        <f t="array" ref="P237">_xlfn.IFS(O237&lt;=0.3,"Low Risk",O237&lt;=0.4,"medium Risk",O237&lt;=0.5,"High Risk",O237&gt;0.5,"Very High Risk")</f>
        <v>Low Risk</v>
      </c>
      <c r="Q237">
        <v>5967</v>
      </c>
      <c r="R237">
        <v>27759</v>
      </c>
      <c r="S237" t="str">
        <f t="shared" si="14"/>
        <v>Yes</v>
      </c>
      <c r="T237">
        <v>4339</v>
      </c>
      <c r="U237" t="str" cm="1">
        <f t="array" ref="U237">_xlfn.IFS(T237&lt;5000,"Small",T237&lt;20000,"Medium",T237&lt;35000,"Large",T237&gt;35000,"Very Large")</f>
        <v>Small</v>
      </c>
      <c r="V237">
        <v>36</v>
      </c>
      <c r="W237">
        <f t="shared" si="15"/>
        <v>3</v>
      </c>
      <c r="X237" t="s">
        <v>42</v>
      </c>
      <c r="Y237" t="s">
        <v>45</v>
      </c>
      <c r="Z237" t="s">
        <v>33</v>
      </c>
      <c r="AA237" t="s">
        <v>34</v>
      </c>
      <c r="AB237" t="s">
        <v>51</v>
      </c>
      <c r="AC237" t="s">
        <v>36</v>
      </c>
    </row>
    <row r="238" spans="1:29" x14ac:dyDescent="0.25">
      <c r="A238">
        <v>249</v>
      </c>
      <c r="B238">
        <v>6642</v>
      </c>
      <c r="C238">
        <v>7490</v>
      </c>
      <c r="D238">
        <f t="shared" si="12"/>
        <v>14132</v>
      </c>
      <c r="E238" t="s">
        <v>48</v>
      </c>
      <c r="F238">
        <v>46</v>
      </c>
      <c r="G238" t="str" cm="1">
        <f t="array" ref="G238">_xlfn.IFS(F238&lt;25,"18-24",F238&lt;35,"25-35",F238&lt;45,"35-44",F238&lt;55,"44-54",F238&gt;=55,"55+")</f>
        <v>44-54</v>
      </c>
      <c r="H238" t="s">
        <v>41</v>
      </c>
      <c r="I238">
        <v>1</v>
      </c>
      <c r="J238" t="str" cm="1">
        <f t="array" ref="J238">_xlfn.IFS(I238&lt;=0,"No Dependents",I238&lt;=1,"One",I238&lt;=2,"Two",I238&gt;=3,"Third")</f>
        <v>One</v>
      </c>
      <c r="K238">
        <v>750</v>
      </c>
      <c r="L238" t="str" cm="1">
        <f t="array" ref="L238">_xlfn.IFS(K238&lt;=580,"Poor",K238&lt;=670,"fair",K238&lt;=740,"Good",K238&lt;=800,"Very Good",K238&gt;=800,"Excellent")</f>
        <v>Very Good</v>
      </c>
      <c r="M238">
        <v>4</v>
      </c>
      <c r="N238" t="str">
        <f t="shared" si="13"/>
        <v>Yes</v>
      </c>
      <c r="O238">
        <v>0.39</v>
      </c>
      <c r="P238" t="str" cm="1">
        <f t="array" ref="P238">_xlfn.IFS(O238&lt;=0.3,"Low Risk",O238&lt;=0.4,"medium Risk",O238&lt;=0.5,"High Risk",O238&gt;0.5,"Very High Risk")</f>
        <v>medium Risk</v>
      </c>
      <c r="Q238">
        <v>7205</v>
      </c>
      <c r="R238">
        <v>12026</v>
      </c>
      <c r="S238" t="str">
        <f t="shared" si="14"/>
        <v>Yes</v>
      </c>
      <c r="T238">
        <v>24142</v>
      </c>
      <c r="U238" t="str" cm="1">
        <f t="array" ref="U238">_xlfn.IFS(T238&lt;5000,"Small",T238&lt;20000,"Medium",T238&lt;35000,"Large",T238&gt;35000,"Very Large")</f>
        <v>Large</v>
      </c>
      <c r="V238">
        <v>72</v>
      </c>
      <c r="W238">
        <f t="shared" si="15"/>
        <v>6</v>
      </c>
      <c r="X238" t="s">
        <v>31</v>
      </c>
      <c r="Y238" t="s">
        <v>32</v>
      </c>
      <c r="Z238" t="s">
        <v>39</v>
      </c>
      <c r="AA238" t="s">
        <v>40</v>
      </c>
      <c r="AB238" t="s">
        <v>51</v>
      </c>
      <c r="AC238" t="s">
        <v>44</v>
      </c>
    </row>
    <row r="239" spans="1:29" x14ac:dyDescent="0.25">
      <c r="A239">
        <v>250</v>
      </c>
      <c r="B239">
        <v>13312</v>
      </c>
      <c r="C239">
        <v>9179</v>
      </c>
      <c r="D239">
        <f t="shared" si="12"/>
        <v>22491</v>
      </c>
      <c r="E239" t="s">
        <v>29</v>
      </c>
      <c r="F239">
        <v>35</v>
      </c>
      <c r="G239" t="str" cm="1">
        <f t="array" ref="G239">_xlfn.IFS(F239&lt;25,"18-24",F239&lt;35,"25-35",F239&lt;45,"35-44",F239&lt;55,"44-54",F239&gt;=55,"55+")</f>
        <v>35-44</v>
      </c>
      <c r="H239" t="s">
        <v>41</v>
      </c>
      <c r="I239">
        <v>1</v>
      </c>
      <c r="J239" t="str" cm="1">
        <f t="array" ref="J239">_xlfn.IFS(I239&lt;=0,"No Dependents",I239&lt;=1,"One",I239&lt;=2,"Two",I239&gt;=3,"Third")</f>
        <v>One</v>
      </c>
      <c r="K239">
        <v>617</v>
      </c>
      <c r="L239" t="str" cm="1">
        <f t="array" ref="L239">_xlfn.IFS(K239&lt;=580,"Poor",K239&lt;=670,"fair",K239&lt;=740,"Good",K239&lt;=800,"Very Good",K239&gt;=800,"Excellent")</f>
        <v>fair</v>
      </c>
      <c r="M239">
        <v>0</v>
      </c>
      <c r="N239" t="str">
        <f t="shared" si="13"/>
        <v>No</v>
      </c>
      <c r="O239">
        <v>0.32</v>
      </c>
      <c r="P239" t="str" cm="1">
        <f t="array" ref="P239">_xlfn.IFS(O239&lt;=0.3,"Low Risk",O239&lt;=0.4,"medium Risk",O239&lt;=0.5,"High Risk",O239&gt;0.5,"Very High Risk")</f>
        <v>medium Risk</v>
      </c>
      <c r="Q239">
        <v>16006</v>
      </c>
      <c r="R239">
        <v>0</v>
      </c>
      <c r="S239" t="str">
        <f t="shared" si="14"/>
        <v>No</v>
      </c>
      <c r="T239">
        <v>20394</v>
      </c>
      <c r="U239" t="str" cm="1">
        <f t="array" ref="U239">_xlfn.IFS(T239&lt;5000,"Small",T239&lt;20000,"Medium",T239&lt;35000,"Large",T239&gt;35000,"Very Large")</f>
        <v>Large</v>
      </c>
      <c r="V239">
        <v>72</v>
      </c>
      <c r="W239">
        <f t="shared" si="15"/>
        <v>6</v>
      </c>
      <c r="X239" t="s">
        <v>37</v>
      </c>
      <c r="Y239" t="s">
        <v>32</v>
      </c>
      <c r="Z239" t="s">
        <v>33</v>
      </c>
      <c r="AA239" t="s">
        <v>34</v>
      </c>
      <c r="AB239" t="s">
        <v>43</v>
      </c>
      <c r="AC239" t="s">
        <v>36</v>
      </c>
    </row>
    <row r="240" spans="1:29" x14ac:dyDescent="0.25">
      <c r="A240">
        <v>251</v>
      </c>
      <c r="B240">
        <v>9679</v>
      </c>
      <c r="C240">
        <v>1218</v>
      </c>
      <c r="D240">
        <f t="shared" si="12"/>
        <v>10897</v>
      </c>
      <c r="E240" t="s">
        <v>29</v>
      </c>
      <c r="F240">
        <v>56</v>
      </c>
      <c r="G240" t="str" cm="1">
        <f t="array" ref="G240">_xlfn.IFS(F240&lt;25,"18-24",F240&lt;35,"25-35",F240&lt;45,"35-44",F240&lt;55,"44-54",F240&gt;=55,"55+")</f>
        <v>55+</v>
      </c>
      <c r="H240" t="s">
        <v>41</v>
      </c>
      <c r="I240">
        <v>2</v>
      </c>
      <c r="J240" t="str" cm="1">
        <f t="array" ref="J240">_xlfn.IFS(I240&lt;=0,"No Dependents",I240&lt;=1,"One",I240&lt;=2,"Two",I240&gt;=3,"Third")</f>
        <v>Two</v>
      </c>
      <c r="K240">
        <v>748</v>
      </c>
      <c r="L240" t="str" cm="1">
        <f t="array" ref="L240">_xlfn.IFS(K240&lt;=580,"Poor",K240&lt;=670,"fair",K240&lt;=740,"Good",K240&lt;=800,"Very Good",K240&gt;=800,"Excellent")</f>
        <v>Very Good</v>
      </c>
      <c r="M240">
        <v>1</v>
      </c>
      <c r="N240" t="str">
        <f t="shared" si="13"/>
        <v>Yes</v>
      </c>
      <c r="O240">
        <v>0.27</v>
      </c>
      <c r="P240" t="str" cm="1">
        <f t="array" ref="P240">_xlfn.IFS(O240&lt;=0.3,"Low Risk",O240&lt;=0.4,"medium Risk",O240&lt;=0.5,"High Risk",O240&gt;0.5,"Very High Risk")</f>
        <v>Low Risk</v>
      </c>
      <c r="Q240">
        <v>12109</v>
      </c>
      <c r="R240">
        <v>31589</v>
      </c>
      <c r="S240" t="str">
        <f t="shared" si="14"/>
        <v>Yes</v>
      </c>
      <c r="T240">
        <v>36136</v>
      </c>
      <c r="U240" t="str" cm="1">
        <f t="array" ref="U240">_xlfn.IFS(T240&lt;5000,"Small",T240&lt;20000,"Medium",T240&lt;35000,"Large",T240&gt;35000,"Very Large")</f>
        <v>Very Large</v>
      </c>
      <c r="V240">
        <v>24</v>
      </c>
      <c r="W240">
        <f t="shared" si="15"/>
        <v>2</v>
      </c>
      <c r="X240" t="s">
        <v>42</v>
      </c>
      <c r="Y240" t="s">
        <v>32</v>
      </c>
      <c r="Z240" t="s">
        <v>33</v>
      </c>
      <c r="AA240" t="s">
        <v>40</v>
      </c>
      <c r="AB240" t="s">
        <v>48</v>
      </c>
      <c r="AC240" t="s">
        <v>44</v>
      </c>
    </row>
    <row r="241" spans="1:29" x14ac:dyDescent="0.25">
      <c r="A241">
        <v>252</v>
      </c>
      <c r="B241">
        <v>10208</v>
      </c>
      <c r="C241">
        <v>5016</v>
      </c>
      <c r="D241">
        <f t="shared" si="12"/>
        <v>15224</v>
      </c>
      <c r="E241" t="s">
        <v>49</v>
      </c>
      <c r="F241">
        <v>52</v>
      </c>
      <c r="G241" t="str" cm="1">
        <f t="array" ref="G241">_xlfn.IFS(F241&lt;25,"18-24",F241&lt;35,"25-35",F241&lt;45,"35-44",F241&lt;55,"44-54",F241&gt;=55,"55+")</f>
        <v>44-54</v>
      </c>
      <c r="H241" t="s">
        <v>30</v>
      </c>
      <c r="I241">
        <v>0</v>
      </c>
      <c r="J241" t="str" cm="1">
        <f t="array" ref="J241">_xlfn.IFS(I241&lt;=0,"No Dependents",I241&lt;=1,"One",I241&lt;=2,"Two",I241&gt;=3,"Third")</f>
        <v>No Dependents</v>
      </c>
      <c r="K241">
        <v>764</v>
      </c>
      <c r="L241" t="str" cm="1">
        <f t="array" ref="L241">_xlfn.IFS(K241&lt;=580,"Poor",K241&lt;=670,"fair",K241&lt;=740,"Good",K241&lt;=800,"Very Good",K241&gt;=800,"Excellent")</f>
        <v>Very Good</v>
      </c>
      <c r="M241">
        <v>1</v>
      </c>
      <c r="N241" t="str">
        <f t="shared" si="13"/>
        <v>Yes</v>
      </c>
      <c r="O241">
        <v>0.47</v>
      </c>
      <c r="P241" t="str" cm="1">
        <f t="array" ref="P241">_xlfn.IFS(O241&lt;=0.3,"Low Risk",O241&lt;=0.4,"medium Risk",O241&lt;=0.5,"High Risk",O241&gt;0.5,"Very High Risk")</f>
        <v>High Risk</v>
      </c>
      <c r="Q241">
        <v>13034</v>
      </c>
      <c r="R241">
        <v>42663</v>
      </c>
      <c r="S241" t="str">
        <f t="shared" si="14"/>
        <v>Yes</v>
      </c>
      <c r="T241">
        <v>13186</v>
      </c>
      <c r="U241" t="str" cm="1">
        <f t="array" ref="U241">_xlfn.IFS(T241&lt;5000,"Small",T241&lt;20000,"Medium",T241&lt;35000,"Large",T241&gt;35000,"Very Large")</f>
        <v>Medium</v>
      </c>
      <c r="V241">
        <v>48</v>
      </c>
      <c r="W241">
        <f t="shared" si="15"/>
        <v>4</v>
      </c>
      <c r="X241" t="s">
        <v>50</v>
      </c>
      <c r="Y241" t="s">
        <v>45</v>
      </c>
      <c r="Z241" t="s">
        <v>33</v>
      </c>
      <c r="AA241" t="s">
        <v>40</v>
      </c>
      <c r="AB241" t="s">
        <v>35</v>
      </c>
      <c r="AC241" t="s">
        <v>36</v>
      </c>
    </row>
    <row r="242" spans="1:29" x14ac:dyDescent="0.25">
      <c r="A242">
        <v>253</v>
      </c>
      <c r="B242">
        <v>12716</v>
      </c>
      <c r="C242">
        <v>6881</v>
      </c>
      <c r="D242">
        <f t="shared" si="12"/>
        <v>19597</v>
      </c>
      <c r="E242" t="s">
        <v>29</v>
      </c>
      <c r="F242">
        <v>52</v>
      </c>
      <c r="G242" t="str" cm="1">
        <f t="array" ref="G242">_xlfn.IFS(F242&lt;25,"18-24",F242&lt;35,"25-35",F242&lt;45,"35-44",F242&lt;55,"44-54",F242&gt;=55,"55+")</f>
        <v>44-54</v>
      </c>
      <c r="H242" t="s">
        <v>30</v>
      </c>
      <c r="I242">
        <v>1</v>
      </c>
      <c r="J242" t="str" cm="1">
        <f t="array" ref="J242">_xlfn.IFS(I242&lt;=0,"No Dependents",I242&lt;=1,"One",I242&lt;=2,"Two",I242&gt;=3,"Third")</f>
        <v>One</v>
      </c>
      <c r="K242">
        <v>679</v>
      </c>
      <c r="L242" t="str" cm="1">
        <f t="array" ref="L242">_xlfn.IFS(K242&lt;=580,"Poor",K242&lt;=670,"fair",K242&lt;=740,"Good",K242&lt;=800,"Very Good",K242&gt;=800,"Excellent")</f>
        <v>Good</v>
      </c>
      <c r="M242">
        <v>2</v>
      </c>
      <c r="N242" t="str">
        <f t="shared" si="13"/>
        <v>Yes</v>
      </c>
      <c r="O242">
        <v>0.55000000000000004</v>
      </c>
      <c r="P242" t="str" cm="1">
        <f t="array" ref="P242">_xlfn.IFS(O242&lt;=0.3,"Low Risk",O242&lt;=0.4,"medium Risk",O242&lt;=0.5,"High Risk",O242&gt;0.5,"Very High Risk")</f>
        <v>Very High Risk</v>
      </c>
      <c r="Q242">
        <v>2484</v>
      </c>
      <c r="R242">
        <v>0</v>
      </c>
      <c r="S242" t="str">
        <f t="shared" si="14"/>
        <v>No</v>
      </c>
      <c r="T242">
        <v>0</v>
      </c>
      <c r="U242" t="str" cm="1">
        <f t="array" ref="U242">_xlfn.IFS(T242&lt;5000,"Small",T242&lt;20000,"Medium",T242&lt;35000,"Large",T242&gt;35000,"Very Large")</f>
        <v>Small</v>
      </c>
      <c r="V242">
        <v>60</v>
      </c>
      <c r="W242">
        <f t="shared" si="15"/>
        <v>5</v>
      </c>
      <c r="X242" t="s">
        <v>42</v>
      </c>
      <c r="Y242" t="s">
        <v>32</v>
      </c>
      <c r="Z242" t="s">
        <v>33</v>
      </c>
      <c r="AA242" t="s">
        <v>34</v>
      </c>
      <c r="AB242" t="s">
        <v>35</v>
      </c>
      <c r="AC242" t="s">
        <v>36</v>
      </c>
    </row>
    <row r="243" spans="1:29" x14ac:dyDescent="0.25">
      <c r="A243">
        <v>254</v>
      </c>
      <c r="B243">
        <v>19453</v>
      </c>
      <c r="C243">
        <v>9547</v>
      </c>
      <c r="D243">
        <f t="shared" si="12"/>
        <v>29000</v>
      </c>
      <c r="E243" t="s">
        <v>52</v>
      </c>
      <c r="F243">
        <v>24</v>
      </c>
      <c r="G243" t="str" cm="1">
        <f t="array" ref="G243">_xlfn.IFS(F243&lt;25,"18-24",F243&lt;35,"25-35",F243&lt;45,"35-44",F243&lt;55,"44-54",F243&gt;=55,"55+")</f>
        <v>18-24</v>
      </c>
      <c r="H243" t="s">
        <v>30</v>
      </c>
      <c r="I243">
        <v>2</v>
      </c>
      <c r="J243" t="str" cm="1">
        <f t="array" ref="J243">_xlfn.IFS(I243&lt;=0,"No Dependents",I243&lt;=1,"One",I243&lt;=2,"Two",I243&gt;=3,"Third")</f>
        <v>Two</v>
      </c>
      <c r="K243">
        <v>598</v>
      </c>
      <c r="L243" t="str" cm="1">
        <f t="array" ref="L243">_xlfn.IFS(K243&lt;=580,"Poor",K243&lt;=670,"fair",K243&lt;=740,"Good",K243&lt;=800,"Very Good",K243&gt;=800,"Excellent")</f>
        <v>fair</v>
      </c>
      <c r="M243">
        <v>3</v>
      </c>
      <c r="N243" t="str">
        <f t="shared" si="13"/>
        <v>Yes</v>
      </c>
      <c r="O243">
        <v>0.48</v>
      </c>
      <c r="P243" t="str" cm="1">
        <f t="array" ref="P243">_xlfn.IFS(O243&lt;=0.3,"Low Risk",O243&lt;=0.4,"medium Risk",O243&lt;=0.5,"High Risk",O243&gt;0.5,"Very High Risk")</f>
        <v>High Risk</v>
      </c>
      <c r="Q243">
        <v>1854</v>
      </c>
      <c r="R243">
        <v>26844</v>
      </c>
      <c r="S243" t="str">
        <f t="shared" si="14"/>
        <v>Yes</v>
      </c>
      <c r="T243">
        <v>39973</v>
      </c>
      <c r="U243" t="str" cm="1">
        <f t="array" ref="U243">_xlfn.IFS(T243&lt;5000,"Small",T243&lt;20000,"Medium",T243&lt;35000,"Large",T243&gt;35000,"Very Large")</f>
        <v>Very Large</v>
      </c>
      <c r="V243">
        <v>84</v>
      </c>
      <c r="W243">
        <f t="shared" si="15"/>
        <v>7</v>
      </c>
      <c r="X243" t="s">
        <v>50</v>
      </c>
      <c r="Y243" t="s">
        <v>32</v>
      </c>
      <c r="Z243" t="s">
        <v>39</v>
      </c>
      <c r="AA243" t="s">
        <v>40</v>
      </c>
      <c r="AB243" t="s">
        <v>35</v>
      </c>
      <c r="AC243" t="s">
        <v>36</v>
      </c>
    </row>
    <row r="244" spans="1:29" x14ac:dyDescent="0.25">
      <c r="A244">
        <v>255</v>
      </c>
      <c r="B244">
        <v>5444</v>
      </c>
      <c r="C244">
        <v>9752</v>
      </c>
      <c r="D244">
        <f t="shared" si="12"/>
        <v>15196</v>
      </c>
      <c r="E244" t="s">
        <v>49</v>
      </c>
      <c r="F244">
        <v>38</v>
      </c>
      <c r="G244" t="str" cm="1">
        <f t="array" ref="G244">_xlfn.IFS(F244&lt;25,"18-24",F244&lt;35,"25-35",F244&lt;45,"35-44",F244&lt;55,"44-54",F244&gt;=55,"55+")</f>
        <v>35-44</v>
      </c>
      <c r="H244" t="s">
        <v>30</v>
      </c>
      <c r="I244">
        <v>0</v>
      </c>
      <c r="J244" t="str" cm="1">
        <f t="array" ref="J244">_xlfn.IFS(I244&lt;=0,"No Dependents",I244&lt;=1,"One",I244&lt;=2,"Two",I244&gt;=3,"Third")</f>
        <v>No Dependents</v>
      </c>
      <c r="K244">
        <v>550</v>
      </c>
      <c r="L244" t="str" cm="1">
        <f t="array" ref="L244">_xlfn.IFS(K244&lt;=580,"Poor",K244&lt;=670,"fair",K244&lt;=740,"Good",K244&lt;=800,"Very Good",K244&gt;=800,"Excellent")</f>
        <v>Poor</v>
      </c>
      <c r="M244">
        <v>0</v>
      </c>
      <c r="N244" t="str">
        <f t="shared" si="13"/>
        <v>No</v>
      </c>
      <c r="O244">
        <v>0.27</v>
      </c>
      <c r="P244" t="str" cm="1">
        <f t="array" ref="P244">_xlfn.IFS(O244&lt;=0.3,"Low Risk",O244&lt;=0.4,"medium Risk",O244&lt;=0.5,"High Risk",O244&gt;0.5,"Very High Risk")</f>
        <v>Low Risk</v>
      </c>
      <c r="Q244">
        <v>11631</v>
      </c>
      <c r="R244">
        <v>23447</v>
      </c>
      <c r="S244" t="str">
        <f t="shared" si="14"/>
        <v>Yes</v>
      </c>
      <c r="T244">
        <v>5395</v>
      </c>
      <c r="U244" t="str" cm="1">
        <f t="array" ref="U244">_xlfn.IFS(T244&lt;5000,"Small",T244&lt;20000,"Medium",T244&lt;35000,"Large",T244&gt;35000,"Very Large")</f>
        <v>Medium</v>
      </c>
      <c r="V244">
        <v>12</v>
      </c>
      <c r="W244">
        <f t="shared" si="15"/>
        <v>1</v>
      </c>
      <c r="X244" t="s">
        <v>31</v>
      </c>
      <c r="Y244" t="s">
        <v>32</v>
      </c>
      <c r="Z244" t="s">
        <v>39</v>
      </c>
      <c r="AA244" t="s">
        <v>34</v>
      </c>
      <c r="AB244" t="s">
        <v>51</v>
      </c>
      <c r="AC244" t="s">
        <v>44</v>
      </c>
    </row>
    <row r="245" spans="1:29" x14ac:dyDescent="0.25">
      <c r="A245">
        <v>256</v>
      </c>
      <c r="B245">
        <v>12757</v>
      </c>
      <c r="C245">
        <v>9610</v>
      </c>
      <c r="D245">
        <f t="shared" si="12"/>
        <v>22367</v>
      </c>
      <c r="E245" t="s">
        <v>29</v>
      </c>
      <c r="F245">
        <v>39</v>
      </c>
      <c r="G245" t="str" cm="1">
        <f t="array" ref="G245">_xlfn.IFS(F245&lt;25,"18-24",F245&lt;35,"25-35",F245&lt;45,"35-44",F245&lt;55,"44-54",F245&gt;=55,"55+")</f>
        <v>35-44</v>
      </c>
      <c r="H245" t="s">
        <v>41</v>
      </c>
      <c r="I245">
        <v>0</v>
      </c>
      <c r="J245" t="str" cm="1">
        <f t="array" ref="J245">_xlfn.IFS(I245&lt;=0,"No Dependents",I245&lt;=1,"One",I245&lt;=2,"Two",I245&gt;=3,"Third")</f>
        <v>No Dependents</v>
      </c>
      <c r="K245">
        <v>781</v>
      </c>
      <c r="L245" t="str" cm="1">
        <f t="array" ref="L245">_xlfn.IFS(K245&lt;=580,"Poor",K245&lt;=670,"fair",K245&lt;=740,"Good",K245&lt;=800,"Very Good",K245&gt;=800,"Excellent")</f>
        <v>Very Good</v>
      </c>
      <c r="M245">
        <v>2</v>
      </c>
      <c r="N245" t="str">
        <f t="shared" si="13"/>
        <v>Yes</v>
      </c>
      <c r="O245">
        <v>0.47</v>
      </c>
      <c r="P245" t="str" cm="1">
        <f t="array" ref="P245">_xlfn.IFS(O245&lt;=0.3,"Low Risk",O245&lt;=0.4,"medium Risk",O245&lt;=0.5,"High Risk",O245&gt;0.5,"Very High Risk")</f>
        <v>High Risk</v>
      </c>
      <c r="Q245">
        <v>19615</v>
      </c>
      <c r="R245">
        <v>24879</v>
      </c>
      <c r="S245" t="str">
        <f t="shared" si="14"/>
        <v>Yes</v>
      </c>
      <c r="T245">
        <v>16290</v>
      </c>
      <c r="U245" t="str" cm="1">
        <f t="array" ref="U245">_xlfn.IFS(T245&lt;5000,"Small",T245&lt;20000,"Medium",T245&lt;35000,"Large",T245&gt;35000,"Very Large")</f>
        <v>Medium</v>
      </c>
      <c r="V245">
        <v>48</v>
      </c>
      <c r="W245">
        <f t="shared" si="15"/>
        <v>4</v>
      </c>
      <c r="X245" t="s">
        <v>37</v>
      </c>
      <c r="Y245" t="s">
        <v>32</v>
      </c>
      <c r="Z245" t="s">
        <v>33</v>
      </c>
      <c r="AA245" t="s">
        <v>40</v>
      </c>
      <c r="AB245" t="s">
        <v>35</v>
      </c>
      <c r="AC245" t="s">
        <v>36</v>
      </c>
    </row>
    <row r="246" spans="1:29" x14ac:dyDescent="0.25">
      <c r="A246">
        <v>257</v>
      </c>
      <c r="B246">
        <v>16434</v>
      </c>
      <c r="C246">
        <v>954</v>
      </c>
      <c r="D246">
        <f t="shared" si="12"/>
        <v>17388</v>
      </c>
      <c r="E246" t="s">
        <v>46</v>
      </c>
      <c r="F246">
        <v>55</v>
      </c>
      <c r="G246" t="str" cm="1">
        <f t="array" ref="G246">_xlfn.IFS(F246&lt;25,"18-24",F246&lt;35,"25-35",F246&lt;45,"35-44",F246&lt;55,"44-54",F246&gt;=55,"55+")</f>
        <v>55+</v>
      </c>
      <c r="H246" t="s">
        <v>41</v>
      </c>
      <c r="I246">
        <v>1</v>
      </c>
      <c r="J246" t="str" cm="1">
        <f t="array" ref="J246">_xlfn.IFS(I246&lt;=0,"No Dependents",I246&lt;=1,"One",I246&lt;=2,"Two",I246&gt;=3,"Third")</f>
        <v>One</v>
      </c>
      <c r="K246">
        <v>796</v>
      </c>
      <c r="L246" t="str" cm="1">
        <f t="array" ref="L246">_xlfn.IFS(K246&lt;=580,"Poor",K246&lt;=670,"fair",K246&lt;=740,"Good",K246&lt;=800,"Very Good",K246&gt;=800,"Excellent")</f>
        <v>Very Good</v>
      </c>
      <c r="M246">
        <v>4</v>
      </c>
      <c r="N246" t="str">
        <f t="shared" si="13"/>
        <v>Yes</v>
      </c>
      <c r="O246">
        <v>0.18</v>
      </c>
      <c r="P246" t="str" cm="1">
        <f t="array" ref="P246">_xlfn.IFS(O246&lt;=0.3,"Low Risk",O246&lt;=0.4,"medium Risk",O246&lt;=0.5,"High Risk",O246&gt;0.5,"Very High Risk")</f>
        <v>Low Risk</v>
      </c>
      <c r="Q246">
        <v>2597</v>
      </c>
      <c r="R246">
        <v>11966</v>
      </c>
      <c r="S246" t="str">
        <f t="shared" si="14"/>
        <v>Yes</v>
      </c>
      <c r="T246">
        <v>23151</v>
      </c>
      <c r="U246" t="str" cm="1">
        <f t="array" ref="U246">_xlfn.IFS(T246&lt;5000,"Small",T246&lt;20000,"Medium",T246&lt;35000,"Large",T246&gt;35000,"Very Large")</f>
        <v>Large</v>
      </c>
      <c r="V246">
        <v>24</v>
      </c>
      <c r="W246">
        <f t="shared" si="15"/>
        <v>2</v>
      </c>
      <c r="X246" t="s">
        <v>50</v>
      </c>
      <c r="Y246" t="s">
        <v>32</v>
      </c>
      <c r="Z246" t="s">
        <v>33</v>
      </c>
      <c r="AA246" t="s">
        <v>34</v>
      </c>
      <c r="AB246" t="s">
        <v>35</v>
      </c>
      <c r="AC246" t="s">
        <v>44</v>
      </c>
    </row>
    <row r="247" spans="1:29" x14ac:dyDescent="0.25">
      <c r="A247">
        <v>258</v>
      </c>
      <c r="B247">
        <v>3060</v>
      </c>
      <c r="C247">
        <v>9175</v>
      </c>
      <c r="D247">
        <f t="shared" si="12"/>
        <v>12235</v>
      </c>
      <c r="E247" t="s">
        <v>46</v>
      </c>
      <c r="F247">
        <v>34</v>
      </c>
      <c r="G247" t="str" cm="1">
        <f t="array" ref="G247">_xlfn.IFS(F247&lt;25,"18-24",F247&lt;35,"25-35",F247&lt;45,"35-44",F247&lt;55,"44-54",F247&gt;=55,"55+")</f>
        <v>25-35</v>
      </c>
      <c r="H247" t="s">
        <v>41</v>
      </c>
      <c r="I247">
        <v>2</v>
      </c>
      <c r="J247" t="str" cm="1">
        <f t="array" ref="J247">_xlfn.IFS(I247&lt;=0,"No Dependents",I247&lt;=1,"One",I247&lt;=2,"Two",I247&gt;=3,"Third")</f>
        <v>Two</v>
      </c>
      <c r="K247">
        <v>675</v>
      </c>
      <c r="L247" t="str" cm="1">
        <f t="array" ref="L247">_xlfn.IFS(K247&lt;=580,"Poor",K247&lt;=670,"fair",K247&lt;=740,"Good",K247&lt;=800,"Very Good",K247&gt;=800,"Excellent")</f>
        <v>Good</v>
      </c>
      <c r="M247">
        <v>3</v>
      </c>
      <c r="N247" t="str">
        <f t="shared" si="13"/>
        <v>Yes</v>
      </c>
      <c r="O247">
        <v>0.17</v>
      </c>
      <c r="P247" t="str" cm="1">
        <f t="array" ref="P247">_xlfn.IFS(O247&lt;=0.3,"Low Risk",O247&lt;=0.4,"medium Risk",O247&lt;=0.5,"High Risk",O247&gt;0.5,"Very High Risk")</f>
        <v>Low Risk</v>
      </c>
      <c r="Q247">
        <v>7829</v>
      </c>
      <c r="R247">
        <v>17732</v>
      </c>
      <c r="S247" t="str">
        <f t="shared" si="14"/>
        <v>Yes</v>
      </c>
      <c r="T247">
        <v>4691</v>
      </c>
      <c r="U247" t="str" cm="1">
        <f t="array" ref="U247">_xlfn.IFS(T247&lt;5000,"Small",T247&lt;20000,"Medium",T247&lt;35000,"Large",T247&gt;35000,"Very Large")</f>
        <v>Small</v>
      </c>
      <c r="V247">
        <v>36</v>
      </c>
      <c r="W247">
        <f t="shared" si="15"/>
        <v>3</v>
      </c>
      <c r="X247" t="s">
        <v>50</v>
      </c>
      <c r="Y247" t="s">
        <v>38</v>
      </c>
      <c r="Z247" t="s">
        <v>33</v>
      </c>
      <c r="AA247" t="s">
        <v>40</v>
      </c>
      <c r="AB247" t="s">
        <v>51</v>
      </c>
      <c r="AC247" t="s">
        <v>44</v>
      </c>
    </row>
    <row r="248" spans="1:29" x14ac:dyDescent="0.25">
      <c r="A248">
        <v>259</v>
      </c>
      <c r="B248">
        <v>5420</v>
      </c>
      <c r="C248">
        <v>7291</v>
      </c>
      <c r="D248">
        <f t="shared" si="12"/>
        <v>12711</v>
      </c>
      <c r="E248" t="s">
        <v>29</v>
      </c>
      <c r="F248">
        <v>53</v>
      </c>
      <c r="G248" t="str" cm="1">
        <f t="array" ref="G248">_xlfn.IFS(F248&lt;25,"18-24",F248&lt;35,"25-35",F248&lt;45,"35-44",F248&lt;55,"44-54",F248&gt;=55,"55+")</f>
        <v>44-54</v>
      </c>
      <c r="H248" t="s">
        <v>30</v>
      </c>
      <c r="I248">
        <v>0</v>
      </c>
      <c r="J248" t="str" cm="1">
        <f t="array" ref="J248">_xlfn.IFS(I248&lt;=0,"No Dependents",I248&lt;=1,"One",I248&lt;=2,"Two",I248&gt;=3,"Third")</f>
        <v>No Dependents</v>
      </c>
      <c r="K248">
        <v>550</v>
      </c>
      <c r="L248" t="str" cm="1">
        <f t="array" ref="L248">_xlfn.IFS(K248&lt;=580,"Poor",K248&lt;=670,"fair",K248&lt;=740,"Good",K248&lt;=800,"Very Good",K248&gt;=800,"Excellent")</f>
        <v>Poor</v>
      </c>
      <c r="M248">
        <v>2</v>
      </c>
      <c r="N248" t="str">
        <f t="shared" si="13"/>
        <v>Yes</v>
      </c>
      <c r="O248">
        <v>0.27</v>
      </c>
      <c r="P248" t="str" cm="1">
        <f t="array" ref="P248">_xlfn.IFS(O248&lt;=0.3,"Low Risk",O248&lt;=0.4,"medium Risk",O248&lt;=0.5,"High Risk",O248&gt;0.5,"Very High Risk")</f>
        <v>Low Risk</v>
      </c>
      <c r="Q248">
        <v>8186</v>
      </c>
      <c r="R248">
        <v>5289</v>
      </c>
      <c r="S248" t="str">
        <f t="shared" si="14"/>
        <v>Yes</v>
      </c>
      <c r="T248">
        <v>8470</v>
      </c>
      <c r="U248" t="str" cm="1">
        <f t="array" ref="U248">_xlfn.IFS(T248&lt;5000,"Small",T248&lt;20000,"Medium",T248&lt;35000,"Large",T248&gt;35000,"Very Large")</f>
        <v>Medium</v>
      </c>
      <c r="V248">
        <v>12</v>
      </c>
      <c r="W248">
        <f t="shared" si="15"/>
        <v>1</v>
      </c>
      <c r="X248" t="s">
        <v>42</v>
      </c>
      <c r="Y248" t="s">
        <v>45</v>
      </c>
      <c r="Z248" t="s">
        <v>39</v>
      </c>
      <c r="AA248" t="s">
        <v>34</v>
      </c>
      <c r="AB248" t="s">
        <v>43</v>
      </c>
      <c r="AC248" t="s">
        <v>44</v>
      </c>
    </row>
    <row r="249" spans="1:29" x14ac:dyDescent="0.25">
      <c r="A249">
        <v>260</v>
      </c>
      <c r="B249">
        <v>2301</v>
      </c>
      <c r="C249">
        <v>974</v>
      </c>
      <c r="D249">
        <f t="shared" si="12"/>
        <v>3275</v>
      </c>
      <c r="E249" t="s">
        <v>29</v>
      </c>
      <c r="F249">
        <v>34</v>
      </c>
      <c r="G249" t="str" cm="1">
        <f t="array" ref="G249">_xlfn.IFS(F249&lt;25,"18-24",F249&lt;35,"25-35",F249&lt;45,"35-44",F249&lt;55,"44-54",F249&gt;=55,"55+")</f>
        <v>25-35</v>
      </c>
      <c r="H249" t="s">
        <v>30</v>
      </c>
      <c r="I249">
        <v>2</v>
      </c>
      <c r="J249" t="str" cm="1">
        <f t="array" ref="J249">_xlfn.IFS(I249&lt;=0,"No Dependents",I249&lt;=1,"One",I249&lt;=2,"Two",I249&gt;=3,"Third")</f>
        <v>Two</v>
      </c>
      <c r="K249">
        <v>788</v>
      </c>
      <c r="L249" t="str" cm="1">
        <f t="array" ref="L249">_xlfn.IFS(K249&lt;=580,"Poor",K249&lt;=670,"fair",K249&lt;=740,"Good",K249&lt;=800,"Very Good",K249&gt;=800,"Excellent")</f>
        <v>Very Good</v>
      </c>
      <c r="M249">
        <v>0</v>
      </c>
      <c r="N249" t="str">
        <f t="shared" si="13"/>
        <v>No</v>
      </c>
      <c r="O249">
        <v>0.5</v>
      </c>
      <c r="P249" t="str" cm="1">
        <f t="array" ref="P249">_xlfn.IFS(O249&lt;=0.3,"Low Risk",O249&lt;=0.4,"medium Risk",O249&lt;=0.5,"High Risk",O249&gt;0.5,"Very High Risk")</f>
        <v>High Risk</v>
      </c>
      <c r="Q249">
        <v>3983</v>
      </c>
      <c r="R249">
        <v>20012</v>
      </c>
      <c r="S249" t="str">
        <f t="shared" si="14"/>
        <v>Yes</v>
      </c>
      <c r="T249">
        <v>4841</v>
      </c>
      <c r="U249" t="str" cm="1">
        <f t="array" ref="U249">_xlfn.IFS(T249&lt;5000,"Small",T249&lt;20000,"Medium",T249&lt;35000,"Large",T249&gt;35000,"Very Large")</f>
        <v>Small</v>
      </c>
      <c r="V249">
        <v>24</v>
      </c>
      <c r="W249">
        <f t="shared" si="15"/>
        <v>2</v>
      </c>
      <c r="X249" t="s">
        <v>50</v>
      </c>
      <c r="Y249" t="s">
        <v>32</v>
      </c>
      <c r="Z249" t="s">
        <v>39</v>
      </c>
      <c r="AA249" t="s">
        <v>34</v>
      </c>
      <c r="AB249" t="s">
        <v>43</v>
      </c>
      <c r="AC249" t="s">
        <v>36</v>
      </c>
    </row>
    <row r="250" spans="1:29" x14ac:dyDescent="0.25">
      <c r="A250">
        <v>261</v>
      </c>
      <c r="B250">
        <v>14468</v>
      </c>
      <c r="C250">
        <v>4133</v>
      </c>
      <c r="D250">
        <f t="shared" si="12"/>
        <v>18601</v>
      </c>
      <c r="E250" t="s">
        <v>49</v>
      </c>
      <c r="F250">
        <v>54</v>
      </c>
      <c r="G250" t="str" cm="1">
        <f t="array" ref="G250">_xlfn.IFS(F250&lt;25,"18-24",F250&lt;35,"25-35",F250&lt;45,"35-44",F250&lt;55,"44-54",F250&gt;=55,"55+")</f>
        <v>44-54</v>
      </c>
      <c r="H250" t="s">
        <v>30</v>
      </c>
      <c r="I250">
        <v>0</v>
      </c>
      <c r="J250" t="str" cm="1">
        <f t="array" ref="J250">_xlfn.IFS(I250&lt;=0,"No Dependents",I250&lt;=1,"One",I250&lt;=2,"Two",I250&gt;=3,"Third")</f>
        <v>No Dependents</v>
      </c>
      <c r="K250">
        <v>708</v>
      </c>
      <c r="L250" t="str" cm="1">
        <f t="array" ref="L250">_xlfn.IFS(K250&lt;=580,"Poor",K250&lt;=670,"fair",K250&lt;=740,"Good",K250&lt;=800,"Very Good",K250&gt;=800,"Excellent")</f>
        <v>Good</v>
      </c>
      <c r="M250">
        <v>1</v>
      </c>
      <c r="N250" t="str">
        <f t="shared" si="13"/>
        <v>Yes</v>
      </c>
      <c r="O250">
        <v>0.22</v>
      </c>
      <c r="P250" t="str" cm="1">
        <f t="array" ref="P250">_xlfn.IFS(O250&lt;=0.3,"Low Risk",O250&lt;=0.4,"medium Risk",O250&lt;=0.5,"High Risk",O250&gt;0.5,"Very High Risk")</f>
        <v>Low Risk</v>
      </c>
      <c r="Q250">
        <v>6684</v>
      </c>
      <c r="R250">
        <v>18812</v>
      </c>
      <c r="S250" t="str">
        <f t="shared" si="14"/>
        <v>Yes</v>
      </c>
      <c r="T250">
        <v>38116</v>
      </c>
      <c r="U250" t="str" cm="1">
        <f t="array" ref="U250">_xlfn.IFS(T250&lt;5000,"Small",T250&lt;20000,"Medium",T250&lt;35000,"Large",T250&gt;35000,"Very Large")</f>
        <v>Very Large</v>
      </c>
      <c r="V250">
        <v>72</v>
      </c>
      <c r="W250">
        <f t="shared" si="15"/>
        <v>6</v>
      </c>
      <c r="X250" t="s">
        <v>31</v>
      </c>
      <c r="Y250" t="s">
        <v>32</v>
      </c>
      <c r="Z250" t="s">
        <v>39</v>
      </c>
      <c r="AA250" t="s">
        <v>40</v>
      </c>
      <c r="AB250" t="s">
        <v>35</v>
      </c>
      <c r="AC250" t="s">
        <v>44</v>
      </c>
    </row>
    <row r="251" spans="1:29" x14ac:dyDescent="0.25">
      <c r="A251">
        <v>262</v>
      </c>
      <c r="B251">
        <v>18990</v>
      </c>
      <c r="C251">
        <v>5370</v>
      </c>
      <c r="D251">
        <f t="shared" si="12"/>
        <v>24360</v>
      </c>
      <c r="E251" t="s">
        <v>29</v>
      </c>
      <c r="F251">
        <v>24</v>
      </c>
      <c r="G251" t="str" cm="1">
        <f t="array" ref="G251">_xlfn.IFS(F251&lt;25,"18-24",F251&lt;35,"25-35",F251&lt;45,"35-44",F251&lt;55,"44-54",F251&gt;=55,"55+")</f>
        <v>18-24</v>
      </c>
      <c r="H251" t="s">
        <v>30</v>
      </c>
      <c r="I251">
        <v>0</v>
      </c>
      <c r="J251" t="str" cm="1">
        <f t="array" ref="J251">_xlfn.IFS(I251&lt;=0,"No Dependents",I251&lt;=1,"One",I251&lt;=2,"Two",I251&gt;=3,"Third")</f>
        <v>No Dependents</v>
      </c>
      <c r="K251">
        <v>660</v>
      </c>
      <c r="L251" t="str" cm="1">
        <f t="array" ref="L251">_xlfn.IFS(K251&lt;=580,"Poor",K251&lt;=670,"fair",K251&lt;=740,"Good",K251&lt;=800,"Very Good",K251&gt;=800,"Excellent")</f>
        <v>fair</v>
      </c>
      <c r="M251">
        <v>4</v>
      </c>
      <c r="N251" t="str">
        <f t="shared" si="13"/>
        <v>Yes</v>
      </c>
      <c r="O251">
        <v>0.13</v>
      </c>
      <c r="P251" t="str" cm="1">
        <f t="array" ref="P251">_xlfn.IFS(O251&lt;=0.3,"Low Risk",O251&lt;=0.4,"medium Risk",O251&lt;=0.5,"High Risk",O251&gt;0.5,"Very High Risk")</f>
        <v>Low Risk</v>
      </c>
      <c r="Q251">
        <v>10383</v>
      </c>
      <c r="R251">
        <v>35801</v>
      </c>
      <c r="S251" t="str">
        <f t="shared" si="14"/>
        <v>Yes</v>
      </c>
      <c r="T251">
        <v>18776</v>
      </c>
      <c r="U251" t="str" cm="1">
        <f t="array" ref="U251">_xlfn.IFS(T251&lt;5000,"Small",T251&lt;20000,"Medium",T251&lt;35000,"Large",T251&gt;35000,"Very Large")</f>
        <v>Medium</v>
      </c>
      <c r="V251">
        <v>12</v>
      </c>
      <c r="W251">
        <f t="shared" si="15"/>
        <v>1</v>
      </c>
      <c r="X251" t="s">
        <v>31</v>
      </c>
      <c r="Y251" t="s">
        <v>32</v>
      </c>
      <c r="Z251" t="s">
        <v>33</v>
      </c>
      <c r="AA251" t="s">
        <v>40</v>
      </c>
      <c r="AB251" t="s">
        <v>42</v>
      </c>
      <c r="AC251" t="s">
        <v>44</v>
      </c>
    </row>
    <row r="252" spans="1:29" x14ac:dyDescent="0.25">
      <c r="A252">
        <v>263</v>
      </c>
      <c r="B252">
        <v>0</v>
      </c>
      <c r="C252">
        <v>3972</v>
      </c>
      <c r="D252">
        <f t="shared" si="12"/>
        <v>3972</v>
      </c>
      <c r="E252" t="s">
        <v>29</v>
      </c>
      <c r="F252">
        <v>44</v>
      </c>
      <c r="G252" t="str" cm="1">
        <f t="array" ref="G252">_xlfn.IFS(F252&lt;25,"18-24",F252&lt;35,"25-35",F252&lt;45,"35-44",F252&lt;55,"44-54",F252&gt;=55,"55+")</f>
        <v>35-44</v>
      </c>
      <c r="H252" t="s">
        <v>30</v>
      </c>
      <c r="I252">
        <v>3</v>
      </c>
      <c r="J252" t="str" cm="1">
        <f t="array" ref="J252">_xlfn.IFS(I252&lt;=0,"No Dependents",I252&lt;=1,"One",I252&lt;=2,"Two",I252&gt;=3,"Third")</f>
        <v>Third</v>
      </c>
      <c r="K252">
        <v>717</v>
      </c>
      <c r="L252" t="str" cm="1">
        <f t="array" ref="L252">_xlfn.IFS(K252&lt;=580,"Poor",K252&lt;=670,"fair",K252&lt;=740,"Good",K252&lt;=800,"Very Good",K252&gt;=800,"Excellent")</f>
        <v>Good</v>
      </c>
      <c r="M252">
        <v>0</v>
      </c>
      <c r="N252" t="str">
        <f t="shared" si="13"/>
        <v>No</v>
      </c>
      <c r="O252">
        <v>0.17</v>
      </c>
      <c r="P252" t="str" cm="1">
        <f t="array" ref="P252">_xlfn.IFS(O252&lt;=0.3,"Low Risk",O252&lt;=0.4,"medium Risk",O252&lt;=0.5,"High Risk",O252&gt;0.5,"Very High Risk")</f>
        <v>Low Risk</v>
      </c>
      <c r="Q252">
        <v>17040</v>
      </c>
      <c r="R252">
        <v>41628</v>
      </c>
      <c r="S252" t="str">
        <f t="shared" si="14"/>
        <v>Yes</v>
      </c>
      <c r="T252">
        <v>7060</v>
      </c>
      <c r="U252" t="str" cm="1">
        <f t="array" ref="U252">_xlfn.IFS(T252&lt;5000,"Small",T252&lt;20000,"Medium",T252&lt;35000,"Large",T252&gt;35000,"Very Large")</f>
        <v>Medium</v>
      </c>
      <c r="V252">
        <v>24</v>
      </c>
      <c r="W252">
        <f t="shared" si="15"/>
        <v>2</v>
      </c>
      <c r="X252" t="s">
        <v>31</v>
      </c>
      <c r="Y252" t="s">
        <v>32</v>
      </c>
      <c r="Z252" t="s">
        <v>39</v>
      </c>
      <c r="AA252" t="s">
        <v>34</v>
      </c>
      <c r="AB252" t="s">
        <v>43</v>
      </c>
      <c r="AC252" t="s">
        <v>44</v>
      </c>
    </row>
    <row r="253" spans="1:29" x14ac:dyDescent="0.25">
      <c r="A253">
        <v>264</v>
      </c>
      <c r="B253">
        <v>2190</v>
      </c>
      <c r="C253">
        <v>5295</v>
      </c>
      <c r="D253">
        <f t="shared" si="12"/>
        <v>7485</v>
      </c>
      <c r="E253" t="s">
        <v>49</v>
      </c>
      <c r="F253">
        <v>49</v>
      </c>
      <c r="G253" t="str" cm="1">
        <f t="array" ref="G253">_xlfn.IFS(F253&lt;25,"18-24",F253&lt;35,"25-35",F253&lt;45,"35-44",F253&lt;55,"44-54",F253&gt;=55,"55+")</f>
        <v>44-54</v>
      </c>
      <c r="H253" t="s">
        <v>41</v>
      </c>
      <c r="I253">
        <v>3</v>
      </c>
      <c r="J253" t="str" cm="1">
        <f t="array" ref="J253">_xlfn.IFS(I253&lt;=0,"No Dependents",I253&lt;=1,"One",I253&lt;=2,"Two",I253&gt;=3,"Third")</f>
        <v>Third</v>
      </c>
      <c r="K253">
        <v>597</v>
      </c>
      <c r="L253" t="str" cm="1">
        <f t="array" ref="L253">_xlfn.IFS(K253&lt;=580,"Poor",K253&lt;=670,"fair",K253&lt;=740,"Good",K253&lt;=800,"Very Good",K253&gt;=800,"Excellent")</f>
        <v>fair</v>
      </c>
      <c r="M253">
        <v>3</v>
      </c>
      <c r="N253" t="str">
        <f t="shared" si="13"/>
        <v>Yes</v>
      </c>
      <c r="O253">
        <v>0.53</v>
      </c>
      <c r="P253" t="str" cm="1">
        <f t="array" ref="P253">_xlfn.IFS(O253&lt;=0.3,"Low Risk",O253&lt;=0.4,"medium Risk",O253&lt;=0.5,"High Risk",O253&gt;0.5,"Very High Risk")</f>
        <v>Very High Risk</v>
      </c>
      <c r="Q253">
        <v>12004</v>
      </c>
      <c r="R253">
        <v>40581</v>
      </c>
      <c r="S253" t="str">
        <f t="shared" si="14"/>
        <v>Yes</v>
      </c>
      <c r="T253">
        <v>28584</v>
      </c>
      <c r="U253" t="str" cm="1">
        <f t="array" ref="U253">_xlfn.IFS(T253&lt;5000,"Small",T253&lt;20000,"Medium",T253&lt;35000,"Large",T253&gt;35000,"Very Large")</f>
        <v>Large</v>
      </c>
      <c r="V253">
        <v>72</v>
      </c>
      <c r="W253">
        <f t="shared" si="15"/>
        <v>6</v>
      </c>
      <c r="X253" t="s">
        <v>42</v>
      </c>
      <c r="Y253" t="s">
        <v>32</v>
      </c>
      <c r="Z253" t="s">
        <v>39</v>
      </c>
      <c r="AA253" t="s">
        <v>40</v>
      </c>
      <c r="AB253" t="s">
        <v>35</v>
      </c>
      <c r="AC253" t="s">
        <v>36</v>
      </c>
    </row>
    <row r="254" spans="1:29" x14ac:dyDescent="0.25">
      <c r="A254">
        <v>265</v>
      </c>
      <c r="B254">
        <v>12492</v>
      </c>
      <c r="C254">
        <v>9105</v>
      </c>
      <c r="D254">
        <f t="shared" si="12"/>
        <v>21597</v>
      </c>
      <c r="E254" t="s">
        <v>46</v>
      </c>
      <c r="F254">
        <v>39</v>
      </c>
      <c r="G254" t="str" cm="1">
        <f t="array" ref="G254">_xlfn.IFS(F254&lt;25,"18-24",F254&lt;35,"25-35",F254&lt;45,"35-44",F254&lt;55,"44-54",F254&gt;=55,"55+")</f>
        <v>35-44</v>
      </c>
      <c r="H254" t="s">
        <v>30</v>
      </c>
      <c r="I254">
        <v>3</v>
      </c>
      <c r="J254" t="str" cm="1">
        <f t="array" ref="J254">_xlfn.IFS(I254&lt;=0,"No Dependents",I254&lt;=1,"One",I254&lt;=2,"Two",I254&gt;=3,"Third")</f>
        <v>Third</v>
      </c>
      <c r="K254">
        <v>600</v>
      </c>
      <c r="L254" t="str" cm="1">
        <f t="array" ref="L254">_xlfn.IFS(K254&lt;=580,"Poor",K254&lt;=670,"fair",K254&lt;=740,"Good",K254&lt;=800,"Very Good",K254&gt;=800,"Excellent")</f>
        <v>fair</v>
      </c>
      <c r="M254">
        <v>0</v>
      </c>
      <c r="N254" t="str">
        <f t="shared" si="13"/>
        <v>No</v>
      </c>
      <c r="O254">
        <v>0.42</v>
      </c>
      <c r="P254" t="str" cm="1">
        <f t="array" ref="P254">_xlfn.IFS(O254&lt;=0.3,"Low Risk",O254&lt;=0.4,"medium Risk",O254&lt;=0.5,"High Risk",O254&gt;0.5,"Very High Risk")</f>
        <v>High Risk</v>
      </c>
      <c r="Q254">
        <v>12103</v>
      </c>
      <c r="R254">
        <v>46628</v>
      </c>
      <c r="S254" t="str">
        <f t="shared" si="14"/>
        <v>Yes</v>
      </c>
      <c r="T254">
        <v>5300</v>
      </c>
      <c r="U254" t="str" cm="1">
        <f t="array" ref="U254">_xlfn.IFS(T254&lt;5000,"Small",T254&lt;20000,"Medium",T254&lt;35000,"Large",T254&gt;35000,"Very Large")</f>
        <v>Medium</v>
      </c>
      <c r="V254">
        <v>84</v>
      </c>
      <c r="W254">
        <f t="shared" si="15"/>
        <v>7</v>
      </c>
      <c r="X254" t="s">
        <v>37</v>
      </c>
      <c r="Y254" t="s">
        <v>45</v>
      </c>
      <c r="Z254" t="s">
        <v>39</v>
      </c>
      <c r="AA254" t="s">
        <v>40</v>
      </c>
      <c r="AB254" t="s">
        <v>35</v>
      </c>
      <c r="AC254" t="s">
        <v>36</v>
      </c>
    </row>
    <row r="255" spans="1:29" x14ac:dyDescent="0.25">
      <c r="A255">
        <v>266</v>
      </c>
      <c r="B255">
        <v>19364</v>
      </c>
      <c r="C255">
        <v>8228</v>
      </c>
      <c r="D255">
        <f t="shared" si="12"/>
        <v>27592</v>
      </c>
      <c r="E255" t="s">
        <v>29</v>
      </c>
      <c r="F255">
        <v>26</v>
      </c>
      <c r="G255" t="str" cm="1">
        <f t="array" ref="G255">_xlfn.IFS(F255&lt;25,"18-24",F255&lt;35,"25-35",F255&lt;45,"35-44",F255&lt;55,"44-54",F255&gt;=55,"55+")</f>
        <v>25-35</v>
      </c>
      <c r="H255" t="s">
        <v>30</v>
      </c>
      <c r="I255">
        <v>0</v>
      </c>
      <c r="J255" t="str" cm="1">
        <f t="array" ref="J255">_xlfn.IFS(I255&lt;=0,"No Dependents",I255&lt;=1,"One",I255&lt;=2,"Two",I255&gt;=3,"Third")</f>
        <v>No Dependents</v>
      </c>
      <c r="K255">
        <v>592</v>
      </c>
      <c r="L255" t="str" cm="1">
        <f t="array" ref="L255">_xlfn.IFS(K255&lt;=580,"Poor",K255&lt;=670,"fair",K255&lt;=740,"Good",K255&lt;=800,"Very Good",K255&gt;=800,"Excellent")</f>
        <v>fair</v>
      </c>
      <c r="M255">
        <v>1</v>
      </c>
      <c r="N255" t="str">
        <f t="shared" si="13"/>
        <v>Yes</v>
      </c>
      <c r="O255">
        <v>0.23</v>
      </c>
      <c r="P255" t="str" cm="1">
        <f t="array" ref="P255">_xlfn.IFS(O255&lt;=0.3,"Low Risk",O255&lt;=0.4,"medium Risk",O255&lt;=0.5,"High Risk",O255&gt;0.5,"Very High Risk")</f>
        <v>Low Risk</v>
      </c>
      <c r="Q255">
        <v>6312</v>
      </c>
      <c r="R255">
        <v>23092</v>
      </c>
      <c r="S255" t="str">
        <f t="shared" si="14"/>
        <v>Yes</v>
      </c>
      <c r="T255">
        <v>4338</v>
      </c>
      <c r="U255" t="str" cm="1">
        <f t="array" ref="U255">_xlfn.IFS(T255&lt;5000,"Small",T255&lt;20000,"Medium",T255&lt;35000,"Large",T255&gt;35000,"Very Large")</f>
        <v>Small</v>
      </c>
      <c r="V255">
        <v>72</v>
      </c>
      <c r="W255">
        <f t="shared" si="15"/>
        <v>6</v>
      </c>
      <c r="X255" t="s">
        <v>42</v>
      </c>
      <c r="Y255" t="s">
        <v>32</v>
      </c>
      <c r="Z255" t="s">
        <v>39</v>
      </c>
      <c r="AA255" t="s">
        <v>40</v>
      </c>
      <c r="AB255" t="s">
        <v>43</v>
      </c>
      <c r="AC255" t="s">
        <v>36</v>
      </c>
    </row>
    <row r="256" spans="1:29" x14ac:dyDescent="0.25">
      <c r="A256">
        <v>267</v>
      </c>
      <c r="B256">
        <v>4975</v>
      </c>
      <c r="C256">
        <v>9903</v>
      </c>
      <c r="D256">
        <f t="shared" si="12"/>
        <v>14878</v>
      </c>
      <c r="E256" t="s">
        <v>49</v>
      </c>
      <c r="F256">
        <v>53</v>
      </c>
      <c r="G256" t="str" cm="1">
        <f t="array" ref="G256">_xlfn.IFS(F256&lt;25,"18-24",F256&lt;35,"25-35",F256&lt;45,"35-44",F256&lt;55,"44-54",F256&gt;=55,"55+")</f>
        <v>44-54</v>
      </c>
      <c r="H256" t="s">
        <v>30</v>
      </c>
      <c r="I256">
        <v>0</v>
      </c>
      <c r="J256" t="str" cm="1">
        <f t="array" ref="J256">_xlfn.IFS(I256&lt;=0,"No Dependents",I256&lt;=1,"One",I256&lt;=2,"Two",I256&gt;=3,"Third")</f>
        <v>No Dependents</v>
      </c>
      <c r="K256">
        <v>647</v>
      </c>
      <c r="L256" t="str" cm="1">
        <f t="array" ref="L256">_xlfn.IFS(K256&lt;=580,"Poor",K256&lt;=670,"fair",K256&lt;=740,"Good",K256&lt;=800,"Very Good",K256&gt;=800,"Excellent")</f>
        <v>fair</v>
      </c>
      <c r="M256">
        <v>1</v>
      </c>
      <c r="N256" t="str">
        <f t="shared" si="13"/>
        <v>Yes</v>
      </c>
      <c r="O256">
        <v>0.38</v>
      </c>
      <c r="P256" t="str" cm="1">
        <f t="array" ref="P256">_xlfn.IFS(O256&lt;=0.3,"Low Risk",O256&lt;=0.4,"medium Risk",O256&lt;=0.5,"High Risk",O256&gt;0.5,"Very High Risk")</f>
        <v>medium Risk</v>
      </c>
      <c r="Q256">
        <v>7938</v>
      </c>
      <c r="R256">
        <v>25105</v>
      </c>
      <c r="S256" t="str">
        <f t="shared" si="14"/>
        <v>Yes</v>
      </c>
      <c r="T256">
        <v>6487</v>
      </c>
      <c r="U256" t="str" cm="1">
        <f t="array" ref="U256">_xlfn.IFS(T256&lt;5000,"Small",T256&lt;20000,"Medium",T256&lt;35000,"Large",T256&gt;35000,"Very Large")</f>
        <v>Medium</v>
      </c>
      <c r="V256">
        <v>48</v>
      </c>
      <c r="W256">
        <f t="shared" si="15"/>
        <v>4</v>
      </c>
      <c r="X256" t="s">
        <v>31</v>
      </c>
      <c r="Y256" t="s">
        <v>32</v>
      </c>
      <c r="Z256" t="s">
        <v>39</v>
      </c>
      <c r="AA256" t="s">
        <v>34</v>
      </c>
      <c r="AB256" t="s">
        <v>48</v>
      </c>
      <c r="AC256" t="s">
        <v>36</v>
      </c>
    </row>
    <row r="257" spans="1:29" x14ac:dyDescent="0.25">
      <c r="A257">
        <v>268</v>
      </c>
      <c r="B257">
        <v>8102</v>
      </c>
      <c r="C257">
        <v>3020</v>
      </c>
      <c r="D257">
        <f t="shared" si="12"/>
        <v>11122</v>
      </c>
      <c r="E257" t="s">
        <v>29</v>
      </c>
      <c r="F257">
        <v>39</v>
      </c>
      <c r="G257" t="str" cm="1">
        <f t="array" ref="G257">_xlfn.IFS(F257&lt;25,"18-24",F257&lt;35,"25-35",F257&lt;45,"35-44",F257&lt;55,"44-54",F257&gt;=55,"55+")</f>
        <v>35-44</v>
      </c>
      <c r="H257" t="s">
        <v>30</v>
      </c>
      <c r="I257">
        <v>2</v>
      </c>
      <c r="J257" t="str" cm="1">
        <f t="array" ref="J257">_xlfn.IFS(I257&lt;=0,"No Dependents",I257&lt;=1,"One",I257&lt;=2,"Two",I257&gt;=3,"Third")</f>
        <v>Two</v>
      </c>
      <c r="K257">
        <v>732</v>
      </c>
      <c r="L257" t="str" cm="1">
        <f t="array" ref="L257">_xlfn.IFS(K257&lt;=580,"Poor",K257&lt;=670,"fair",K257&lt;=740,"Good",K257&lt;=800,"Very Good",K257&gt;=800,"Excellent")</f>
        <v>Good</v>
      </c>
      <c r="M257">
        <v>4</v>
      </c>
      <c r="N257" t="str">
        <f t="shared" si="13"/>
        <v>Yes</v>
      </c>
      <c r="O257">
        <v>0.36</v>
      </c>
      <c r="P257" t="str" cm="1">
        <f t="array" ref="P257">_xlfn.IFS(O257&lt;=0.3,"Low Risk",O257&lt;=0.4,"medium Risk",O257&lt;=0.5,"High Risk",O257&gt;0.5,"Very High Risk")</f>
        <v>medium Risk</v>
      </c>
      <c r="Q257">
        <v>9954</v>
      </c>
      <c r="R257">
        <v>14294</v>
      </c>
      <c r="S257" t="str">
        <f t="shared" si="14"/>
        <v>Yes</v>
      </c>
      <c r="T257">
        <v>0</v>
      </c>
      <c r="U257" t="str" cm="1">
        <f t="array" ref="U257">_xlfn.IFS(T257&lt;5000,"Small",T257&lt;20000,"Medium",T257&lt;35000,"Large",T257&gt;35000,"Very Large")</f>
        <v>Small</v>
      </c>
      <c r="V257">
        <v>36</v>
      </c>
      <c r="W257">
        <f t="shared" si="15"/>
        <v>3</v>
      </c>
      <c r="X257" t="s">
        <v>42</v>
      </c>
      <c r="Y257" t="s">
        <v>45</v>
      </c>
      <c r="Z257" t="s">
        <v>33</v>
      </c>
      <c r="AA257" t="s">
        <v>40</v>
      </c>
      <c r="AB257" t="s">
        <v>48</v>
      </c>
      <c r="AC257" t="s">
        <v>44</v>
      </c>
    </row>
    <row r="258" spans="1:29" x14ac:dyDescent="0.25">
      <c r="A258">
        <v>269</v>
      </c>
      <c r="B258">
        <v>19568</v>
      </c>
      <c r="C258">
        <v>8987</v>
      </c>
      <c r="D258">
        <f t="shared" si="12"/>
        <v>28555</v>
      </c>
      <c r="E258" t="s">
        <v>52</v>
      </c>
      <c r="F258">
        <v>21</v>
      </c>
      <c r="G258" t="str" cm="1">
        <f t="array" ref="G258">_xlfn.IFS(F258&lt;25,"18-24",F258&lt;35,"25-35",F258&lt;45,"35-44",F258&lt;55,"44-54",F258&gt;=55,"55+")</f>
        <v>18-24</v>
      </c>
      <c r="H258" t="s">
        <v>30</v>
      </c>
      <c r="I258">
        <v>2</v>
      </c>
      <c r="J258" t="str" cm="1">
        <f t="array" ref="J258">_xlfn.IFS(I258&lt;=0,"No Dependents",I258&lt;=1,"One",I258&lt;=2,"Two",I258&gt;=3,"Third")</f>
        <v>Two</v>
      </c>
      <c r="K258">
        <v>765</v>
      </c>
      <c r="L258" t="str" cm="1">
        <f t="array" ref="L258">_xlfn.IFS(K258&lt;=580,"Poor",K258&lt;=670,"fair",K258&lt;=740,"Good",K258&lt;=800,"Very Good",K258&gt;=800,"Excellent")</f>
        <v>Very Good</v>
      </c>
      <c r="M258">
        <v>4</v>
      </c>
      <c r="N258" t="str">
        <f t="shared" si="13"/>
        <v>Yes</v>
      </c>
      <c r="O258">
        <v>0.43</v>
      </c>
      <c r="P258" t="str" cm="1">
        <f t="array" ref="P258">_xlfn.IFS(O258&lt;=0.3,"Low Risk",O258&lt;=0.4,"medium Risk",O258&lt;=0.5,"High Risk",O258&gt;0.5,"Very High Risk")</f>
        <v>High Risk</v>
      </c>
      <c r="Q258">
        <v>19669</v>
      </c>
      <c r="R258">
        <v>3621</v>
      </c>
      <c r="S258" t="str">
        <f t="shared" si="14"/>
        <v>Yes</v>
      </c>
      <c r="T258">
        <v>30529</v>
      </c>
      <c r="U258" t="str" cm="1">
        <f t="array" ref="U258">_xlfn.IFS(T258&lt;5000,"Small",T258&lt;20000,"Medium",T258&lt;35000,"Large",T258&gt;35000,"Very Large")</f>
        <v>Large</v>
      </c>
      <c r="V258">
        <v>60</v>
      </c>
      <c r="W258">
        <f t="shared" si="15"/>
        <v>5</v>
      </c>
      <c r="X258" t="s">
        <v>31</v>
      </c>
      <c r="Y258" t="s">
        <v>32</v>
      </c>
      <c r="Z258" t="s">
        <v>33</v>
      </c>
      <c r="AA258" t="s">
        <v>34</v>
      </c>
      <c r="AB258" t="s">
        <v>35</v>
      </c>
      <c r="AC258" t="s">
        <v>36</v>
      </c>
    </row>
    <row r="259" spans="1:29" x14ac:dyDescent="0.25">
      <c r="A259">
        <v>270</v>
      </c>
      <c r="B259">
        <v>3816</v>
      </c>
      <c r="C259">
        <v>4036</v>
      </c>
      <c r="D259">
        <f t="shared" ref="D259:D322" si="16">B259+C259</f>
        <v>7852</v>
      </c>
      <c r="E259" t="s">
        <v>49</v>
      </c>
      <c r="F259">
        <v>25</v>
      </c>
      <c r="G259" t="str" cm="1">
        <f t="array" ref="G259">_xlfn.IFS(F259&lt;25,"18-24",F259&lt;35,"25-35",F259&lt;45,"35-44",F259&lt;55,"44-54",F259&gt;=55,"55+")</f>
        <v>25-35</v>
      </c>
      <c r="H259" t="s">
        <v>41</v>
      </c>
      <c r="I259">
        <v>0</v>
      </c>
      <c r="J259" t="str" cm="1">
        <f t="array" ref="J259">_xlfn.IFS(I259&lt;=0,"No Dependents",I259&lt;=1,"One",I259&lt;=2,"Two",I259&gt;=3,"Third")</f>
        <v>No Dependents</v>
      </c>
      <c r="K259">
        <v>726</v>
      </c>
      <c r="L259" t="str" cm="1">
        <f t="array" ref="L259">_xlfn.IFS(K259&lt;=580,"Poor",K259&lt;=670,"fair",K259&lt;=740,"Good",K259&lt;=800,"Very Good",K259&gt;=800,"Excellent")</f>
        <v>Good</v>
      </c>
      <c r="M259">
        <v>1</v>
      </c>
      <c r="N259" t="str">
        <f t="shared" ref="N259:N322" si="17">IF(M259&gt;0,"Yes","No")</f>
        <v>Yes</v>
      </c>
      <c r="O259">
        <v>0.22</v>
      </c>
      <c r="P259" t="str" cm="1">
        <f t="array" ref="P259">_xlfn.IFS(O259&lt;=0.3,"Low Risk",O259&lt;=0.4,"medium Risk",O259&lt;=0.5,"High Risk",O259&gt;0.5,"Very High Risk")</f>
        <v>Low Risk</v>
      </c>
      <c r="Q259">
        <v>9777</v>
      </c>
      <c r="R259">
        <v>32442</v>
      </c>
      <c r="S259" t="str">
        <f t="shared" ref="S259:S322" si="18">IF(R259&gt;100,"Yes","No")</f>
        <v>Yes</v>
      </c>
      <c r="T259">
        <v>31262</v>
      </c>
      <c r="U259" t="str" cm="1">
        <f t="array" ref="U259">_xlfn.IFS(T259&lt;5000,"Small",T259&lt;20000,"Medium",T259&lt;35000,"Large",T259&gt;35000,"Very Large")</f>
        <v>Large</v>
      </c>
      <c r="V259">
        <v>24</v>
      </c>
      <c r="W259">
        <f t="shared" ref="W259:W322" si="19">V259/12</f>
        <v>2</v>
      </c>
      <c r="X259" t="s">
        <v>47</v>
      </c>
      <c r="Y259" t="s">
        <v>32</v>
      </c>
      <c r="Z259" t="s">
        <v>39</v>
      </c>
      <c r="AA259" t="s">
        <v>34</v>
      </c>
      <c r="AB259" t="s">
        <v>42</v>
      </c>
      <c r="AC259" t="s">
        <v>36</v>
      </c>
    </row>
    <row r="260" spans="1:29" x14ac:dyDescent="0.25">
      <c r="A260">
        <v>271</v>
      </c>
      <c r="B260">
        <v>2569</v>
      </c>
      <c r="C260">
        <v>5068</v>
      </c>
      <c r="D260">
        <f t="shared" si="16"/>
        <v>7637</v>
      </c>
      <c r="E260" t="s">
        <v>46</v>
      </c>
      <c r="F260">
        <v>40</v>
      </c>
      <c r="G260" t="str" cm="1">
        <f t="array" ref="G260">_xlfn.IFS(F260&lt;25,"18-24",F260&lt;35,"25-35",F260&lt;45,"35-44",F260&lt;55,"44-54",F260&gt;=55,"55+")</f>
        <v>35-44</v>
      </c>
      <c r="H260" t="s">
        <v>30</v>
      </c>
      <c r="I260">
        <v>0</v>
      </c>
      <c r="J260" t="str" cm="1">
        <f t="array" ref="J260">_xlfn.IFS(I260&lt;=0,"No Dependents",I260&lt;=1,"One",I260&lt;=2,"Two",I260&gt;=3,"Third")</f>
        <v>No Dependents</v>
      </c>
      <c r="K260">
        <v>673</v>
      </c>
      <c r="L260" t="str" cm="1">
        <f t="array" ref="L260">_xlfn.IFS(K260&lt;=580,"Poor",K260&lt;=670,"fair",K260&lt;=740,"Good",K260&lt;=800,"Very Good",K260&gt;=800,"Excellent")</f>
        <v>Good</v>
      </c>
      <c r="M260">
        <v>1</v>
      </c>
      <c r="N260" t="str">
        <f t="shared" si="17"/>
        <v>Yes</v>
      </c>
      <c r="O260">
        <v>0.53</v>
      </c>
      <c r="P260" t="str" cm="1">
        <f t="array" ref="P260">_xlfn.IFS(O260&lt;=0.3,"Low Risk",O260&lt;=0.4,"medium Risk",O260&lt;=0.5,"High Risk",O260&gt;0.5,"Very High Risk")</f>
        <v>Very High Risk</v>
      </c>
      <c r="Q260">
        <v>3563</v>
      </c>
      <c r="R260">
        <v>21699</v>
      </c>
      <c r="S260" t="str">
        <f t="shared" si="18"/>
        <v>Yes</v>
      </c>
      <c r="T260">
        <v>12280</v>
      </c>
      <c r="U260" t="str" cm="1">
        <f t="array" ref="U260">_xlfn.IFS(T260&lt;5000,"Small",T260&lt;20000,"Medium",T260&lt;35000,"Large",T260&gt;35000,"Very Large")</f>
        <v>Medium</v>
      </c>
      <c r="V260">
        <v>84</v>
      </c>
      <c r="W260">
        <f t="shared" si="19"/>
        <v>7</v>
      </c>
      <c r="X260" t="s">
        <v>47</v>
      </c>
      <c r="Y260" t="s">
        <v>32</v>
      </c>
      <c r="Z260" t="s">
        <v>39</v>
      </c>
      <c r="AA260" t="s">
        <v>34</v>
      </c>
      <c r="AB260" t="s">
        <v>51</v>
      </c>
      <c r="AC260" t="s">
        <v>36</v>
      </c>
    </row>
    <row r="261" spans="1:29" x14ac:dyDescent="0.25">
      <c r="A261">
        <v>274</v>
      </c>
      <c r="B261">
        <v>5863</v>
      </c>
      <c r="C261">
        <v>317</v>
      </c>
      <c r="D261">
        <f t="shared" si="16"/>
        <v>6180</v>
      </c>
      <c r="E261" t="s">
        <v>29</v>
      </c>
      <c r="F261">
        <v>33</v>
      </c>
      <c r="G261" t="str" cm="1">
        <f t="array" ref="G261">_xlfn.IFS(F261&lt;25,"18-24",F261&lt;35,"25-35",F261&lt;45,"35-44",F261&lt;55,"44-54",F261&gt;=55,"55+")</f>
        <v>25-35</v>
      </c>
      <c r="H261" t="s">
        <v>41</v>
      </c>
      <c r="I261">
        <v>1</v>
      </c>
      <c r="J261" t="str" cm="1">
        <f t="array" ref="J261">_xlfn.IFS(I261&lt;=0,"No Dependents",I261&lt;=1,"One",I261&lt;=2,"Two",I261&gt;=3,"Third")</f>
        <v>One</v>
      </c>
      <c r="K261">
        <v>734</v>
      </c>
      <c r="L261" t="str" cm="1">
        <f t="array" ref="L261">_xlfn.IFS(K261&lt;=580,"Poor",K261&lt;=670,"fair",K261&lt;=740,"Good",K261&lt;=800,"Very Good",K261&gt;=800,"Excellent")</f>
        <v>Good</v>
      </c>
      <c r="M261">
        <v>2</v>
      </c>
      <c r="N261" t="str">
        <f t="shared" si="17"/>
        <v>Yes</v>
      </c>
      <c r="O261">
        <v>0.11</v>
      </c>
      <c r="P261" t="str" cm="1">
        <f t="array" ref="P261">_xlfn.IFS(O261&lt;=0.3,"Low Risk",O261&lt;=0.4,"medium Risk",O261&lt;=0.5,"High Risk",O261&gt;0.5,"Very High Risk")</f>
        <v>Low Risk</v>
      </c>
      <c r="Q261">
        <v>8026</v>
      </c>
      <c r="R261">
        <v>29486</v>
      </c>
      <c r="S261" t="str">
        <f t="shared" si="18"/>
        <v>Yes</v>
      </c>
      <c r="T261">
        <v>12158</v>
      </c>
      <c r="U261" t="str" cm="1">
        <f t="array" ref="U261">_xlfn.IFS(T261&lt;5000,"Small",T261&lt;20000,"Medium",T261&lt;35000,"Large",T261&gt;35000,"Very Large")</f>
        <v>Medium</v>
      </c>
      <c r="V261">
        <v>84</v>
      </c>
      <c r="W261">
        <f t="shared" si="19"/>
        <v>7</v>
      </c>
      <c r="X261" t="s">
        <v>47</v>
      </c>
      <c r="Y261" t="s">
        <v>38</v>
      </c>
      <c r="Z261" t="s">
        <v>33</v>
      </c>
      <c r="AA261" t="s">
        <v>40</v>
      </c>
      <c r="AB261" t="s">
        <v>35</v>
      </c>
      <c r="AC261" t="s">
        <v>44</v>
      </c>
    </row>
    <row r="262" spans="1:29" x14ac:dyDescent="0.25">
      <c r="A262">
        <v>275</v>
      </c>
      <c r="B262">
        <v>14913</v>
      </c>
      <c r="C262">
        <v>2396</v>
      </c>
      <c r="D262">
        <f t="shared" si="16"/>
        <v>17309</v>
      </c>
      <c r="E262" t="s">
        <v>49</v>
      </c>
      <c r="F262">
        <v>55</v>
      </c>
      <c r="G262" t="str" cm="1">
        <f t="array" ref="G262">_xlfn.IFS(F262&lt;25,"18-24",F262&lt;35,"25-35",F262&lt;45,"35-44",F262&lt;55,"44-54",F262&gt;=55,"55+")</f>
        <v>55+</v>
      </c>
      <c r="H262" t="s">
        <v>30</v>
      </c>
      <c r="I262">
        <v>0</v>
      </c>
      <c r="J262" t="str" cm="1">
        <f t="array" ref="J262">_xlfn.IFS(I262&lt;=0,"No Dependents",I262&lt;=1,"One",I262&lt;=2,"Two",I262&gt;=3,"Third")</f>
        <v>No Dependents</v>
      </c>
      <c r="K262">
        <v>660</v>
      </c>
      <c r="L262" t="str" cm="1">
        <f t="array" ref="L262">_xlfn.IFS(K262&lt;=580,"Poor",K262&lt;=670,"fair",K262&lt;=740,"Good",K262&lt;=800,"Very Good",K262&gt;=800,"Excellent")</f>
        <v>fair</v>
      </c>
      <c r="M262">
        <v>0</v>
      </c>
      <c r="N262" t="str">
        <f t="shared" si="17"/>
        <v>No</v>
      </c>
      <c r="O262">
        <v>0.28999999999999998</v>
      </c>
      <c r="P262" t="str" cm="1">
        <f t="array" ref="P262">_xlfn.IFS(O262&lt;=0.3,"Low Risk",O262&lt;=0.4,"medium Risk",O262&lt;=0.5,"High Risk",O262&gt;0.5,"Very High Risk")</f>
        <v>Low Risk</v>
      </c>
      <c r="Q262">
        <v>13923</v>
      </c>
      <c r="R262">
        <v>47650</v>
      </c>
      <c r="S262" t="str">
        <f t="shared" si="18"/>
        <v>Yes</v>
      </c>
      <c r="T262">
        <v>9621</v>
      </c>
      <c r="U262" t="str" cm="1">
        <f t="array" ref="U262">_xlfn.IFS(T262&lt;5000,"Small",T262&lt;20000,"Medium",T262&lt;35000,"Large",T262&gt;35000,"Very Large")</f>
        <v>Medium</v>
      </c>
      <c r="V262">
        <v>84</v>
      </c>
      <c r="W262">
        <f t="shared" si="19"/>
        <v>7</v>
      </c>
      <c r="X262" t="s">
        <v>31</v>
      </c>
      <c r="Y262" t="s">
        <v>32</v>
      </c>
      <c r="Z262" t="s">
        <v>39</v>
      </c>
      <c r="AA262" t="s">
        <v>34</v>
      </c>
      <c r="AB262" t="s">
        <v>51</v>
      </c>
      <c r="AC262" t="s">
        <v>44</v>
      </c>
    </row>
    <row r="263" spans="1:29" x14ac:dyDescent="0.25">
      <c r="A263">
        <v>276</v>
      </c>
      <c r="B263">
        <v>9455</v>
      </c>
      <c r="C263">
        <v>0</v>
      </c>
      <c r="D263">
        <f t="shared" si="16"/>
        <v>9455</v>
      </c>
      <c r="E263" t="s">
        <v>29</v>
      </c>
      <c r="F263">
        <v>39</v>
      </c>
      <c r="G263" t="str" cm="1">
        <f t="array" ref="G263">_xlfn.IFS(F263&lt;25,"18-24",F263&lt;35,"25-35",F263&lt;45,"35-44",F263&lt;55,"44-54",F263&gt;=55,"55+")</f>
        <v>35-44</v>
      </c>
      <c r="H263" t="s">
        <v>30</v>
      </c>
      <c r="I263">
        <v>2</v>
      </c>
      <c r="J263" t="str" cm="1">
        <f t="array" ref="J263">_xlfn.IFS(I263&lt;=0,"No Dependents",I263&lt;=1,"One",I263&lt;=2,"Two",I263&gt;=3,"Third")</f>
        <v>Two</v>
      </c>
      <c r="K263">
        <v>754</v>
      </c>
      <c r="L263" t="str" cm="1">
        <f t="array" ref="L263">_xlfn.IFS(K263&lt;=580,"Poor",K263&lt;=670,"fair",K263&lt;=740,"Good",K263&lt;=800,"Very Good",K263&gt;=800,"Excellent")</f>
        <v>Very Good</v>
      </c>
      <c r="M263">
        <v>1</v>
      </c>
      <c r="N263" t="str">
        <f t="shared" si="17"/>
        <v>Yes</v>
      </c>
      <c r="O263">
        <v>0.28000000000000003</v>
      </c>
      <c r="P263" t="str" cm="1">
        <f t="array" ref="P263">_xlfn.IFS(O263&lt;=0.3,"Low Risk",O263&lt;=0.4,"medium Risk",O263&lt;=0.5,"High Risk",O263&gt;0.5,"Very High Risk")</f>
        <v>Low Risk</v>
      </c>
      <c r="Q263">
        <v>19628</v>
      </c>
      <c r="R263">
        <v>17110</v>
      </c>
      <c r="S263" t="str">
        <f t="shared" si="18"/>
        <v>Yes</v>
      </c>
      <c r="T263">
        <v>11547</v>
      </c>
      <c r="U263" t="str" cm="1">
        <f t="array" ref="U263">_xlfn.IFS(T263&lt;5000,"Small",T263&lt;20000,"Medium",T263&lt;35000,"Large",T263&gt;35000,"Very Large")</f>
        <v>Medium</v>
      </c>
      <c r="V263">
        <v>48</v>
      </c>
      <c r="W263">
        <f t="shared" si="19"/>
        <v>4</v>
      </c>
      <c r="X263" t="s">
        <v>42</v>
      </c>
      <c r="Y263" t="s">
        <v>45</v>
      </c>
      <c r="Z263" t="s">
        <v>39</v>
      </c>
      <c r="AA263" t="s">
        <v>34</v>
      </c>
      <c r="AB263" t="s">
        <v>35</v>
      </c>
      <c r="AC263" t="s">
        <v>44</v>
      </c>
    </row>
    <row r="264" spans="1:29" x14ac:dyDescent="0.25">
      <c r="A264">
        <v>277</v>
      </c>
      <c r="B264">
        <v>6014</v>
      </c>
      <c r="C264">
        <v>2745</v>
      </c>
      <c r="D264">
        <f t="shared" si="16"/>
        <v>8759</v>
      </c>
      <c r="E264" t="s">
        <v>29</v>
      </c>
      <c r="F264">
        <v>32</v>
      </c>
      <c r="G264" t="str" cm="1">
        <f t="array" ref="G264">_xlfn.IFS(F264&lt;25,"18-24",F264&lt;35,"25-35",F264&lt;45,"35-44",F264&lt;55,"44-54",F264&gt;=55,"55+")</f>
        <v>25-35</v>
      </c>
      <c r="H264" t="s">
        <v>30</v>
      </c>
      <c r="I264">
        <v>3</v>
      </c>
      <c r="J264" t="str" cm="1">
        <f t="array" ref="J264">_xlfn.IFS(I264&lt;=0,"No Dependents",I264&lt;=1,"One",I264&lt;=2,"Two",I264&gt;=3,"Third")</f>
        <v>Third</v>
      </c>
      <c r="K264">
        <v>692</v>
      </c>
      <c r="L264" t="str" cm="1">
        <f t="array" ref="L264">_xlfn.IFS(K264&lt;=580,"Poor",K264&lt;=670,"fair",K264&lt;=740,"Good",K264&lt;=800,"Very Good",K264&gt;=800,"Excellent")</f>
        <v>Good</v>
      </c>
      <c r="M264">
        <v>4</v>
      </c>
      <c r="N264" t="str">
        <f t="shared" si="17"/>
        <v>Yes</v>
      </c>
      <c r="O264">
        <v>0.37</v>
      </c>
      <c r="P264" t="str" cm="1">
        <f t="array" ref="P264">_xlfn.IFS(O264&lt;=0.3,"Low Risk",O264&lt;=0.4,"medium Risk",O264&lt;=0.5,"High Risk",O264&gt;0.5,"Very High Risk")</f>
        <v>medium Risk</v>
      </c>
      <c r="Q264">
        <v>17424</v>
      </c>
      <c r="R264">
        <v>4923</v>
      </c>
      <c r="S264" t="str">
        <f t="shared" si="18"/>
        <v>Yes</v>
      </c>
      <c r="T264">
        <v>24177</v>
      </c>
      <c r="U264" t="str" cm="1">
        <f t="array" ref="U264">_xlfn.IFS(T264&lt;5000,"Small",T264&lt;20000,"Medium",T264&lt;35000,"Large",T264&gt;35000,"Very Large")</f>
        <v>Large</v>
      </c>
      <c r="V264">
        <v>48</v>
      </c>
      <c r="W264">
        <f t="shared" si="19"/>
        <v>4</v>
      </c>
      <c r="X264" t="s">
        <v>42</v>
      </c>
      <c r="Y264" t="s">
        <v>32</v>
      </c>
      <c r="Z264" t="s">
        <v>39</v>
      </c>
      <c r="AA264" t="s">
        <v>40</v>
      </c>
      <c r="AB264" t="s">
        <v>35</v>
      </c>
      <c r="AC264" t="s">
        <v>44</v>
      </c>
    </row>
    <row r="265" spans="1:29" x14ac:dyDescent="0.25">
      <c r="A265">
        <v>278</v>
      </c>
      <c r="B265">
        <v>13093</v>
      </c>
      <c r="C265">
        <v>1591</v>
      </c>
      <c r="D265">
        <f t="shared" si="16"/>
        <v>14684</v>
      </c>
      <c r="E265" t="s">
        <v>29</v>
      </c>
      <c r="F265">
        <v>36</v>
      </c>
      <c r="G265" t="str" cm="1">
        <f t="array" ref="G265">_xlfn.IFS(F265&lt;25,"18-24",F265&lt;35,"25-35",F265&lt;45,"35-44",F265&lt;55,"44-54",F265&gt;=55,"55+")</f>
        <v>35-44</v>
      </c>
      <c r="H265" t="s">
        <v>41</v>
      </c>
      <c r="I265">
        <v>3</v>
      </c>
      <c r="J265" t="str" cm="1">
        <f t="array" ref="J265">_xlfn.IFS(I265&lt;=0,"No Dependents",I265&lt;=1,"One",I265&lt;=2,"Two",I265&gt;=3,"Third")</f>
        <v>Third</v>
      </c>
      <c r="K265">
        <v>576</v>
      </c>
      <c r="L265" t="str" cm="1">
        <f t="array" ref="L265">_xlfn.IFS(K265&lt;=580,"Poor",K265&lt;=670,"fair",K265&lt;=740,"Good",K265&lt;=800,"Very Good",K265&gt;=800,"Excellent")</f>
        <v>Poor</v>
      </c>
      <c r="M265">
        <v>2</v>
      </c>
      <c r="N265" t="str">
        <f t="shared" si="17"/>
        <v>Yes</v>
      </c>
      <c r="O265">
        <v>0.14000000000000001</v>
      </c>
      <c r="P265" t="str" cm="1">
        <f t="array" ref="P265">_xlfn.IFS(O265&lt;=0.3,"Low Risk",O265&lt;=0.4,"medium Risk",O265&lt;=0.5,"High Risk",O265&gt;0.5,"Very High Risk")</f>
        <v>Low Risk</v>
      </c>
      <c r="Q265">
        <v>18657</v>
      </c>
      <c r="R265">
        <v>15611</v>
      </c>
      <c r="S265" t="str">
        <f t="shared" si="18"/>
        <v>Yes</v>
      </c>
      <c r="T265">
        <v>3459</v>
      </c>
      <c r="U265" t="str" cm="1">
        <f t="array" ref="U265">_xlfn.IFS(T265&lt;5000,"Small",T265&lt;20000,"Medium",T265&lt;35000,"Large",T265&gt;35000,"Very Large")</f>
        <v>Small</v>
      </c>
      <c r="V265">
        <v>72</v>
      </c>
      <c r="W265">
        <f t="shared" si="19"/>
        <v>6</v>
      </c>
      <c r="X265" t="s">
        <v>50</v>
      </c>
      <c r="Y265" t="s">
        <v>45</v>
      </c>
      <c r="Z265" t="s">
        <v>33</v>
      </c>
      <c r="AA265" t="s">
        <v>34</v>
      </c>
      <c r="AB265" t="s">
        <v>42</v>
      </c>
      <c r="AC265" t="s">
        <v>36</v>
      </c>
    </row>
    <row r="266" spans="1:29" x14ac:dyDescent="0.25">
      <c r="A266">
        <v>280</v>
      </c>
      <c r="B266">
        <v>18538</v>
      </c>
      <c r="C266">
        <v>3930</v>
      </c>
      <c r="D266">
        <f t="shared" si="16"/>
        <v>22468</v>
      </c>
      <c r="E266" t="s">
        <v>48</v>
      </c>
      <c r="F266">
        <v>45</v>
      </c>
      <c r="G266" t="str" cm="1">
        <f t="array" ref="G266">_xlfn.IFS(F266&lt;25,"18-24",F266&lt;35,"25-35",F266&lt;45,"35-44",F266&lt;55,"44-54",F266&gt;=55,"55+")</f>
        <v>44-54</v>
      </c>
      <c r="H266" t="s">
        <v>30</v>
      </c>
      <c r="I266">
        <v>1</v>
      </c>
      <c r="J266" t="str" cm="1">
        <f t="array" ref="J266">_xlfn.IFS(I266&lt;=0,"No Dependents",I266&lt;=1,"One",I266&lt;=2,"Two",I266&gt;=3,"Third")</f>
        <v>One</v>
      </c>
      <c r="K266">
        <v>757</v>
      </c>
      <c r="L266" t="str" cm="1">
        <f t="array" ref="L266">_xlfn.IFS(K266&lt;=580,"Poor",K266&lt;=670,"fair",K266&lt;=740,"Good",K266&lt;=800,"Very Good",K266&gt;=800,"Excellent")</f>
        <v>Very Good</v>
      </c>
      <c r="M266">
        <v>2</v>
      </c>
      <c r="N266" t="str">
        <f t="shared" si="17"/>
        <v>Yes</v>
      </c>
      <c r="O266">
        <v>0.21</v>
      </c>
      <c r="P266" t="str" cm="1">
        <f t="array" ref="P266">_xlfn.IFS(O266&lt;=0.3,"Low Risk",O266&lt;=0.4,"medium Risk",O266&lt;=0.5,"High Risk",O266&gt;0.5,"Very High Risk")</f>
        <v>Low Risk</v>
      </c>
      <c r="Q266">
        <v>2114</v>
      </c>
      <c r="R266">
        <v>19199</v>
      </c>
      <c r="S266" t="str">
        <f t="shared" si="18"/>
        <v>Yes</v>
      </c>
      <c r="T266">
        <v>39041</v>
      </c>
      <c r="U266" t="str" cm="1">
        <f t="array" ref="U266">_xlfn.IFS(T266&lt;5000,"Small",T266&lt;20000,"Medium",T266&lt;35000,"Large",T266&gt;35000,"Very Large")</f>
        <v>Very Large</v>
      </c>
      <c r="V266">
        <v>48</v>
      </c>
      <c r="W266">
        <f t="shared" si="19"/>
        <v>4</v>
      </c>
      <c r="X266" t="s">
        <v>47</v>
      </c>
      <c r="Y266" t="s">
        <v>32</v>
      </c>
      <c r="Z266" t="s">
        <v>39</v>
      </c>
      <c r="AA266" t="s">
        <v>40</v>
      </c>
      <c r="AB266" t="s">
        <v>35</v>
      </c>
      <c r="AC266" t="s">
        <v>44</v>
      </c>
    </row>
    <row r="267" spans="1:29" x14ac:dyDescent="0.25">
      <c r="A267">
        <v>281</v>
      </c>
      <c r="B267">
        <v>12729</v>
      </c>
      <c r="C267">
        <v>1312</v>
      </c>
      <c r="D267">
        <f t="shared" si="16"/>
        <v>14041</v>
      </c>
      <c r="E267" t="s">
        <v>29</v>
      </c>
      <c r="F267">
        <v>40</v>
      </c>
      <c r="G267" t="str" cm="1">
        <f t="array" ref="G267">_xlfn.IFS(F267&lt;25,"18-24",F267&lt;35,"25-35",F267&lt;45,"35-44",F267&lt;55,"44-54",F267&gt;=55,"55+")</f>
        <v>35-44</v>
      </c>
      <c r="H267" t="s">
        <v>41</v>
      </c>
      <c r="I267">
        <v>3</v>
      </c>
      <c r="J267" t="str" cm="1">
        <f t="array" ref="J267">_xlfn.IFS(I267&lt;=0,"No Dependents",I267&lt;=1,"One",I267&lt;=2,"Two",I267&gt;=3,"Third")</f>
        <v>Third</v>
      </c>
      <c r="K267">
        <v>741</v>
      </c>
      <c r="L267" t="str" cm="1">
        <f t="array" ref="L267">_xlfn.IFS(K267&lt;=580,"Poor",K267&lt;=670,"fair",K267&lt;=740,"Good",K267&lt;=800,"Very Good",K267&gt;=800,"Excellent")</f>
        <v>Very Good</v>
      </c>
      <c r="M267">
        <v>1</v>
      </c>
      <c r="N267" t="str">
        <f t="shared" si="17"/>
        <v>Yes</v>
      </c>
      <c r="O267">
        <v>0.44</v>
      </c>
      <c r="P267" t="str" cm="1">
        <f t="array" ref="P267">_xlfn.IFS(O267&lt;=0.3,"Low Risk",O267&lt;=0.4,"medium Risk",O267&lt;=0.5,"High Risk",O267&gt;0.5,"Very High Risk")</f>
        <v>High Risk</v>
      </c>
      <c r="Q267">
        <v>1677</v>
      </c>
      <c r="R267">
        <v>9066</v>
      </c>
      <c r="S267" t="str">
        <f t="shared" si="18"/>
        <v>Yes</v>
      </c>
      <c r="T267">
        <v>39191</v>
      </c>
      <c r="U267" t="str" cm="1">
        <f t="array" ref="U267">_xlfn.IFS(T267&lt;5000,"Small",T267&lt;20000,"Medium",T267&lt;35000,"Large",T267&gt;35000,"Very Large")</f>
        <v>Very Large</v>
      </c>
      <c r="V267">
        <v>48</v>
      </c>
      <c r="W267">
        <f t="shared" si="19"/>
        <v>4</v>
      </c>
      <c r="X267" t="s">
        <v>42</v>
      </c>
      <c r="Y267" t="s">
        <v>38</v>
      </c>
      <c r="Z267" t="s">
        <v>39</v>
      </c>
      <c r="AA267" t="s">
        <v>40</v>
      </c>
      <c r="AB267" t="s">
        <v>42</v>
      </c>
      <c r="AC267" t="s">
        <v>36</v>
      </c>
    </row>
    <row r="268" spans="1:29" x14ac:dyDescent="0.25">
      <c r="A268">
        <v>282</v>
      </c>
      <c r="B268">
        <v>3409</v>
      </c>
      <c r="C268">
        <v>9477</v>
      </c>
      <c r="D268">
        <f t="shared" si="16"/>
        <v>12886</v>
      </c>
      <c r="E268" t="s">
        <v>29</v>
      </c>
      <c r="F268">
        <v>51</v>
      </c>
      <c r="G268" t="str" cm="1">
        <f t="array" ref="G268">_xlfn.IFS(F268&lt;25,"18-24",F268&lt;35,"25-35",F268&lt;45,"35-44",F268&lt;55,"44-54",F268&gt;=55,"55+")</f>
        <v>44-54</v>
      </c>
      <c r="H268" t="s">
        <v>41</v>
      </c>
      <c r="I268">
        <v>1</v>
      </c>
      <c r="J268" t="str" cm="1">
        <f t="array" ref="J268">_xlfn.IFS(I268&lt;=0,"No Dependents",I268&lt;=1,"One",I268&lt;=2,"Two",I268&gt;=3,"Third")</f>
        <v>One</v>
      </c>
      <c r="K268">
        <v>771</v>
      </c>
      <c r="L268" t="str" cm="1">
        <f t="array" ref="L268">_xlfn.IFS(K268&lt;=580,"Poor",K268&lt;=670,"fair",K268&lt;=740,"Good",K268&lt;=800,"Very Good",K268&gt;=800,"Excellent")</f>
        <v>Very Good</v>
      </c>
      <c r="M268">
        <v>0</v>
      </c>
      <c r="N268" t="str">
        <f t="shared" si="17"/>
        <v>No</v>
      </c>
      <c r="O268">
        <v>0.5</v>
      </c>
      <c r="P268" t="str" cm="1">
        <f t="array" ref="P268">_xlfn.IFS(O268&lt;=0.3,"Low Risk",O268&lt;=0.4,"medium Risk",O268&lt;=0.5,"High Risk",O268&gt;0.5,"Very High Risk")</f>
        <v>High Risk</v>
      </c>
      <c r="Q268">
        <v>3094</v>
      </c>
      <c r="R268">
        <v>36047</v>
      </c>
      <c r="S268" t="str">
        <f t="shared" si="18"/>
        <v>Yes</v>
      </c>
      <c r="T268">
        <v>18434</v>
      </c>
      <c r="U268" t="str" cm="1">
        <f t="array" ref="U268">_xlfn.IFS(T268&lt;5000,"Small",T268&lt;20000,"Medium",T268&lt;35000,"Large",T268&gt;35000,"Very Large")</f>
        <v>Medium</v>
      </c>
      <c r="V268">
        <v>24</v>
      </c>
      <c r="W268">
        <f t="shared" si="19"/>
        <v>2</v>
      </c>
      <c r="X268" t="s">
        <v>47</v>
      </c>
      <c r="Y268" t="s">
        <v>38</v>
      </c>
      <c r="Z268" t="s">
        <v>39</v>
      </c>
      <c r="AA268" t="s">
        <v>40</v>
      </c>
      <c r="AB268" t="s">
        <v>35</v>
      </c>
      <c r="AC268" t="s">
        <v>36</v>
      </c>
    </row>
    <row r="269" spans="1:29" x14ac:dyDescent="0.25">
      <c r="A269">
        <v>283</v>
      </c>
      <c r="B269">
        <v>14249</v>
      </c>
      <c r="C269">
        <v>4311</v>
      </c>
      <c r="D269">
        <f t="shared" si="16"/>
        <v>18560</v>
      </c>
      <c r="E269" t="s">
        <v>49</v>
      </c>
      <c r="F269">
        <v>24</v>
      </c>
      <c r="G269" t="str" cm="1">
        <f t="array" ref="G269">_xlfn.IFS(F269&lt;25,"18-24",F269&lt;35,"25-35",F269&lt;45,"35-44",F269&lt;55,"44-54",F269&gt;=55,"55+")</f>
        <v>18-24</v>
      </c>
      <c r="H269" t="s">
        <v>41</v>
      </c>
      <c r="I269">
        <v>2</v>
      </c>
      <c r="J269" t="str" cm="1">
        <f t="array" ref="J269">_xlfn.IFS(I269&lt;=0,"No Dependents",I269&lt;=1,"One",I269&lt;=2,"Two",I269&gt;=3,"Third")</f>
        <v>Two</v>
      </c>
      <c r="K269">
        <v>785</v>
      </c>
      <c r="L269" t="str" cm="1">
        <f t="array" ref="L269">_xlfn.IFS(K269&lt;=580,"Poor",K269&lt;=670,"fair",K269&lt;=740,"Good",K269&lt;=800,"Very Good",K269&gt;=800,"Excellent")</f>
        <v>Very Good</v>
      </c>
      <c r="M269">
        <v>4</v>
      </c>
      <c r="N269" t="str">
        <f t="shared" si="17"/>
        <v>Yes</v>
      </c>
      <c r="O269">
        <v>0.38</v>
      </c>
      <c r="P269" t="str" cm="1">
        <f t="array" ref="P269">_xlfn.IFS(O269&lt;=0.3,"Low Risk",O269&lt;=0.4,"medium Risk",O269&lt;=0.5,"High Risk",O269&gt;0.5,"Very High Risk")</f>
        <v>medium Risk</v>
      </c>
      <c r="Q269">
        <v>2284</v>
      </c>
      <c r="R269">
        <v>26754</v>
      </c>
      <c r="S269" t="str">
        <f t="shared" si="18"/>
        <v>Yes</v>
      </c>
      <c r="T269">
        <v>39247</v>
      </c>
      <c r="U269" t="str" cm="1">
        <f t="array" ref="U269">_xlfn.IFS(T269&lt;5000,"Small",T269&lt;20000,"Medium",T269&lt;35000,"Large",T269&gt;35000,"Very Large")</f>
        <v>Very Large</v>
      </c>
      <c r="V269">
        <v>48</v>
      </c>
      <c r="W269">
        <f t="shared" si="19"/>
        <v>4</v>
      </c>
      <c r="X269" t="s">
        <v>47</v>
      </c>
      <c r="Y269" t="s">
        <v>32</v>
      </c>
      <c r="Z269" t="s">
        <v>39</v>
      </c>
      <c r="AA269" t="s">
        <v>34</v>
      </c>
      <c r="AB269" t="s">
        <v>51</v>
      </c>
      <c r="AC269" t="s">
        <v>44</v>
      </c>
    </row>
    <row r="270" spans="1:29" x14ac:dyDescent="0.25">
      <c r="A270">
        <v>284</v>
      </c>
      <c r="B270">
        <v>0</v>
      </c>
      <c r="C270">
        <v>7314</v>
      </c>
      <c r="D270">
        <f t="shared" si="16"/>
        <v>7314</v>
      </c>
      <c r="E270" t="s">
        <v>29</v>
      </c>
      <c r="F270">
        <v>43</v>
      </c>
      <c r="G270" t="str" cm="1">
        <f t="array" ref="G270">_xlfn.IFS(F270&lt;25,"18-24",F270&lt;35,"25-35",F270&lt;45,"35-44",F270&lt;55,"44-54",F270&gt;=55,"55+")</f>
        <v>35-44</v>
      </c>
      <c r="H270" t="s">
        <v>41</v>
      </c>
      <c r="I270">
        <v>1</v>
      </c>
      <c r="J270" t="str" cm="1">
        <f t="array" ref="J270">_xlfn.IFS(I270&lt;=0,"No Dependents",I270&lt;=1,"One",I270&lt;=2,"Two",I270&gt;=3,"Third")</f>
        <v>One</v>
      </c>
      <c r="K270">
        <v>707</v>
      </c>
      <c r="L270" t="str" cm="1">
        <f t="array" ref="L270">_xlfn.IFS(K270&lt;=580,"Poor",K270&lt;=670,"fair",K270&lt;=740,"Good",K270&lt;=800,"Very Good",K270&gt;=800,"Excellent")</f>
        <v>Good</v>
      </c>
      <c r="M270">
        <v>2</v>
      </c>
      <c r="N270" t="str">
        <f t="shared" si="17"/>
        <v>Yes</v>
      </c>
      <c r="O270">
        <v>0.47</v>
      </c>
      <c r="P270" t="str" cm="1">
        <f t="array" ref="P270">_xlfn.IFS(O270&lt;=0.3,"Low Risk",O270&lt;=0.4,"medium Risk",O270&lt;=0.5,"High Risk",O270&gt;0.5,"Very High Risk")</f>
        <v>High Risk</v>
      </c>
      <c r="Q270">
        <v>5052</v>
      </c>
      <c r="R270">
        <v>36575</v>
      </c>
      <c r="S270" t="str">
        <f t="shared" si="18"/>
        <v>Yes</v>
      </c>
      <c r="T270">
        <v>16419</v>
      </c>
      <c r="U270" t="str" cm="1">
        <f t="array" ref="U270">_xlfn.IFS(T270&lt;5000,"Small",T270&lt;20000,"Medium",T270&lt;35000,"Large",T270&gt;35000,"Very Large")</f>
        <v>Medium</v>
      </c>
      <c r="V270">
        <v>60</v>
      </c>
      <c r="W270">
        <f t="shared" si="19"/>
        <v>5</v>
      </c>
      <c r="X270" t="s">
        <v>37</v>
      </c>
      <c r="Y270" t="s">
        <v>38</v>
      </c>
      <c r="Z270" t="s">
        <v>39</v>
      </c>
      <c r="AA270" t="s">
        <v>34</v>
      </c>
      <c r="AB270" t="s">
        <v>43</v>
      </c>
      <c r="AC270" t="s">
        <v>36</v>
      </c>
    </row>
    <row r="271" spans="1:29" x14ac:dyDescent="0.25">
      <c r="A271">
        <v>285</v>
      </c>
      <c r="B271">
        <v>10096</v>
      </c>
      <c r="C271">
        <v>2383</v>
      </c>
      <c r="D271">
        <f t="shared" si="16"/>
        <v>12479</v>
      </c>
      <c r="E271" t="s">
        <v>29</v>
      </c>
      <c r="F271">
        <v>22</v>
      </c>
      <c r="G271" t="str" cm="1">
        <f t="array" ref="G271">_xlfn.IFS(F271&lt;25,"18-24",F271&lt;35,"25-35",F271&lt;45,"35-44",F271&lt;55,"44-54",F271&gt;=55,"55+")</f>
        <v>18-24</v>
      </c>
      <c r="H271" t="s">
        <v>41</v>
      </c>
      <c r="I271">
        <v>1</v>
      </c>
      <c r="J271" t="str" cm="1">
        <f t="array" ref="J271">_xlfn.IFS(I271&lt;=0,"No Dependents",I271&lt;=1,"One",I271&lt;=2,"Two",I271&gt;=3,"Third")</f>
        <v>One</v>
      </c>
      <c r="K271">
        <v>713</v>
      </c>
      <c r="L271" t="str" cm="1">
        <f t="array" ref="L271">_xlfn.IFS(K271&lt;=580,"Poor",K271&lt;=670,"fair",K271&lt;=740,"Good",K271&lt;=800,"Very Good",K271&gt;=800,"Excellent")</f>
        <v>Good</v>
      </c>
      <c r="M271">
        <v>3</v>
      </c>
      <c r="N271" t="str">
        <f t="shared" si="17"/>
        <v>Yes</v>
      </c>
      <c r="O271">
        <v>0.43</v>
      </c>
      <c r="P271" t="str" cm="1">
        <f t="array" ref="P271">_xlfn.IFS(O271&lt;=0.3,"Low Risk",O271&lt;=0.4,"medium Risk",O271&lt;=0.5,"High Risk",O271&gt;0.5,"Very High Risk")</f>
        <v>High Risk</v>
      </c>
      <c r="Q271">
        <v>17973</v>
      </c>
      <c r="R271">
        <v>24260</v>
      </c>
      <c r="S271" t="str">
        <f t="shared" si="18"/>
        <v>Yes</v>
      </c>
      <c r="T271">
        <v>36017</v>
      </c>
      <c r="U271" t="str" cm="1">
        <f t="array" ref="U271">_xlfn.IFS(T271&lt;5000,"Small",T271&lt;20000,"Medium",T271&lt;35000,"Large",T271&gt;35000,"Very Large")</f>
        <v>Very Large</v>
      </c>
      <c r="V271">
        <v>24</v>
      </c>
      <c r="W271">
        <f t="shared" si="19"/>
        <v>2</v>
      </c>
      <c r="X271" t="s">
        <v>50</v>
      </c>
      <c r="Y271" t="s">
        <v>32</v>
      </c>
      <c r="Z271" t="s">
        <v>39</v>
      </c>
      <c r="AA271" t="s">
        <v>40</v>
      </c>
      <c r="AB271" t="s">
        <v>35</v>
      </c>
      <c r="AC271" t="s">
        <v>36</v>
      </c>
    </row>
    <row r="272" spans="1:29" x14ac:dyDescent="0.25">
      <c r="A272">
        <v>286</v>
      </c>
      <c r="B272">
        <v>9560</v>
      </c>
      <c r="C272">
        <v>0</v>
      </c>
      <c r="D272">
        <f t="shared" si="16"/>
        <v>9560</v>
      </c>
      <c r="E272" t="s">
        <v>52</v>
      </c>
      <c r="F272">
        <v>42</v>
      </c>
      <c r="G272" t="str" cm="1">
        <f t="array" ref="G272">_xlfn.IFS(F272&lt;25,"18-24",F272&lt;35,"25-35",F272&lt;45,"35-44",F272&lt;55,"44-54",F272&gt;=55,"55+")</f>
        <v>35-44</v>
      </c>
      <c r="H272" t="s">
        <v>30</v>
      </c>
      <c r="I272">
        <v>3</v>
      </c>
      <c r="J272" t="str" cm="1">
        <f t="array" ref="J272">_xlfn.IFS(I272&lt;=0,"No Dependents",I272&lt;=1,"One",I272&lt;=2,"Two",I272&gt;=3,"Third")</f>
        <v>Third</v>
      </c>
      <c r="K272">
        <v>744</v>
      </c>
      <c r="L272" t="str" cm="1">
        <f t="array" ref="L272">_xlfn.IFS(K272&lt;=580,"Poor",K272&lt;=670,"fair",K272&lt;=740,"Good",K272&lt;=800,"Very Good",K272&gt;=800,"Excellent")</f>
        <v>Very Good</v>
      </c>
      <c r="M272">
        <v>1</v>
      </c>
      <c r="N272" t="str">
        <f t="shared" si="17"/>
        <v>Yes</v>
      </c>
      <c r="O272">
        <v>0.28000000000000003</v>
      </c>
      <c r="P272" t="str" cm="1">
        <f t="array" ref="P272">_xlfn.IFS(O272&lt;=0.3,"Low Risk",O272&lt;=0.4,"medium Risk",O272&lt;=0.5,"High Risk",O272&gt;0.5,"Very High Risk")</f>
        <v>Low Risk</v>
      </c>
      <c r="Q272">
        <v>18904</v>
      </c>
      <c r="R272">
        <v>46733</v>
      </c>
      <c r="S272" t="str">
        <f t="shared" si="18"/>
        <v>Yes</v>
      </c>
      <c r="T272">
        <v>36577</v>
      </c>
      <c r="U272" t="str" cm="1">
        <f t="array" ref="U272">_xlfn.IFS(T272&lt;5000,"Small",T272&lt;20000,"Medium",T272&lt;35000,"Large",T272&gt;35000,"Very Large")</f>
        <v>Very Large</v>
      </c>
      <c r="V272">
        <v>60</v>
      </c>
      <c r="W272">
        <f t="shared" si="19"/>
        <v>5</v>
      </c>
      <c r="X272" t="s">
        <v>31</v>
      </c>
      <c r="Y272" t="s">
        <v>38</v>
      </c>
      <c r="Z272" t="s">
        <v>39</v>
      </c>
      <c r="AA272" t="s">
        <v>40</v>
      </c>
      <c r="AB272" t="s">
        <v>35</v>
      </c>
      <c r="AC272" t="s">
        <v>44</v>
      </c>
    </row>
    <row r="273" spans="1:29" x14ac:dyDescent="0.25">
      <c r="A273">
        <v>287</v>
      </c>
      <c r="B273">
        <v>14533</v>
      </c>
      <c r="C273">
        <v>2139</v>
      </c>
      <c r="D273">
        <f t="shared" si="16"/>
        <v>16672</v>
      </c>
      <c r="E273" t="s">
        <v>46</v>
      </c>
      <c r="F273">
        <v>57</v>
      </c>
      <c r="G273" t="str" cm="1">
        <f t="array" ref="G273">_xlfn.IFS(F273&lt;25,"18-24",F273&lt;35,"25-35",F273&lt;45,"35-44",F273&lt;55,"44-54",F273&gt;=55,"55+")</f>
        <v>55+</v>
      </c>
      <c r="H273" t="s">
        <v>41</v>
      </c>
      <c r="I273">
        <v>3</v>
      </c>
      <c r="J273" t="str" cm="1">
        <f t="array" ref="J273">_xlfn.IFS(I273&lt;=0,"No Dependents",I273&lt;=1,"One",I273&lt;=2,"Two",I273&gt;=3,"Third")</f>
        <v>Third</v>
      </c>
      <c r="K273">
        <v>763</v>
      </c>
      <c r="L273" t="str" cm="1">
        <f t="array" ref="L273">_xlfn.IFS(K273&lt;=580,"Poor",K273&lt;=670,"fair",K273&lt;=740,"Good",K273&lt;=800,"Very Good",K273&gt;=800,"Excellent")</f>
        <v>Very Good</v>
      </c>
      <c r="M273">
        <v>0</v>
      </c>
      <c r="N273" t="str">
        <f t="shared" si="17"/>
        <v>No</v>
      </c>
      <c r="O273">
        <v>0.5</v>
      </c>
      <c r="P273" t="str" cm="1">
        <f t="array" ref="P273">_xlfn.IFS(O273&lt;=0.3,"Low Risk",O273&lt;=0.4,"medium Risk",O273&lt;=0.5,"High Risk",O273&gt;0.5,"Very High Risk")</f>
        <v>High Risk</v>
      </c>
      <c r="Q273">
        <v>12047</v>
      </c>
      <c r="R273">
        <v>48891</v>
      </c>
      <c r="S273" t="str">
        <f t="shared" si="18"/>
        <v>Yes</v>
      </c>
      <c r="T273">
        <v>3921</v>
      </c>
      <c r="U273" t="str" cm="1">
        <f t="array" ref="U273">_xlfn.IFS(T273&lt;5000,"Small",T273&lt;20000,"Medium",T273&lt;35000,"Large",T273&gt;35000,"Very Large")</f>
        <v>Small</v>
      </c>
      <c r="V273">
        <v>12</v>
      </c>
      <c r="W273">
        <f t="shared" si="19"/>
        <v>1</v>
      </c>
      <c r="X273" t="s">
        <v>47</v>
      </c>
      <c r="Y273" t="s">
        <v>45</v>
      </c>
      <c r="Z273" t="s">
        <v>39</v>
      </c>
      <c r="AA273" t="s">
        <v>40</v>
      </c>
      <c r="AB273" t="s">
        <v>43</v>
      </c>
      <c r="AC273" t="s">
        <v>36</v>
      </c>
    </row>
    <row r="274" spans="1:29" x14ac:dyDescent="0.25">
      <c r="A274">
        <v>288</v>
      </c>
      <c r="B274">
        <v>9343</v>
      </c>
      <c r="C274">
        <v>1704</v>
      </c>
      <c r="D274">
        <f t="shared" si="16"/>
        <v>11047</v>
      </c>
      <c r="E274" t="s">
        <v>48</v>
      </c>
      <c r="F274">
        <v>28</v>
      </c>
      <c r="G274" t="str" cm="1">
        <f t="array" ref="G274">_xlfn.IFS(F274&lt;25,"18-24",F274&lt;35,"25-35",F274&lt;45,"35-44",F274&lt;55,"44-54",F274&gt;=55,"55+")</f>
        <v>25-35</v>
      </c>
      <c r="H274" t="s">
        <v>30</v>
      </c>
      <c r="I274">
        <v>0</v>
      </c>
      <c r="J274" t="str" cm="1">
        <f t="array" ref="J274">_xlfn.IFS(I274&lt;=0,"No Dependents",I274&lt;=1,"One",I274&lt;=2,"Two",I274&gt;=3,"Third")</f>
        <v>No Dependents</v>
      </c>
      <c r="K274">
        <v>662</v>
      </c>
      <c r="L274" t="str" cm="1">
        <f t="array" ref="L274">_xlfn.IFS(K274&lt;=580,"Poor",K274&lt;=670,"fair",K274&lt;=740,"Good",K274&lt;=800,"Very Good",K274&gt;=800,"Excellent")</f>
        <v>fair</v>
      </c>
      <c r="M274">
        <v>1</v>
      </c>
      <c r="N274" t="str">
        <f t="shared" si="17"/>
        <v>Yes</v>
      </c>
      <c r="O274">
        <v>0.25</v>
      </c>
      <c r="P274" t="str" cm="1">
        <f t="array" ref="P274">_xlfn.IFS(O274&lt;=0.3,"Low Risk",O274&lt;=0.4,"medium Risk",O274&lt;=0.5,"High Risk",O274&gt;0.5,"Very High Risk")</f>
        <v>Low Risk</v>
      </c>
      <c r="Q274">
        <v>694</v>
      </c>
      <c r="R274">
        <v>16991</v>
      </c>
      <c r="S274" t="str">
        <f t="shared" si="18"/>
        <v>Yes</v>
      </c>
      <c r="T274">
        <v>5676</v>
      </c>
      <c r="U274" t="str" cm="1">
        <f t="array" ref="U274">_xlfn.IFS(T274&lt;5000,"Small",T274&lt;20000,"Medium",T274&lt;35000,"Large",T274&gt;35000,"Very Large")</f>
        <v>Medium</v>
      </c>
      <c r="V274">
        <v>24</v>
      </c>
      <c r="W274">
        <f t="shared" si="19"/>
        <v>2</v>
      </c>
      <c r="X274" t="s">
        <v>50</v>
      </c>
      <c r="Y274" t="s">
        <v>32</v>
      </c>
      <c r="Z274" t="s">
        <v>39</v>
      </c>
      <c r="AA274" t="s">
        <v>34</v>
      </c>
      <c r="AB274" t="s">
        <v>35</v>
      </c>
      <c r="AC274" t="s">
        <v>44</v>
      </c>
    </row>
    <row r="275" spans="1:29" x14ac:dyDescent="0.25">
      <c r="A275">
        <v>289</v>
      </c>
      <c r="B275">
        <v>9206</v>
      </c>
      <c r="C275">
        <v>6924</v>
      </c>
      <c r="D275">
        <f t="shared" si="16"/>
        <v>16130</v>
      </c>
      <c r="E275" t="s">
        <v>29</v>
      </c>
      <c r="F275">
        <v>27</v>
      </c>
      <c r="G275" t="str" cm="1">
        <f t="array" ref="G275">_xlfn.IFS(F275&lt;25,"18-24",F275&lt;35,"25-35",F275&lt;45,"35-44",F275&lt;55,"44-54",F275&gt;=55,"55+")</f>
        <v>25-35</v>
      </c>
      <c r="H275" t="s">
        <v>41</v>
      </c>
      <c r="I275">
        <v>0</v>
      </c>
      <c r="J275" t="str" cm="1">
        <f t="array" ref="J275">_xlfn.IFS(I275&lt;=0,"No Dependents",I275&lt;=1,"One",I275&lt;=2,"Two",I275&gt;=3,"Third")</f>
        <v>No Dependents</v>
      </c>
      <c r="K275">
        <v>635</v>
      </c>
      <c r="L275" t="str" cm="1">
        <f t="array" ref="L275">_xlfn.IFS(K275&lt;=580,"Poor",K275&lt;=670,"fair",K275&lt;=740,"Good",K275&lt;=800,"Very Good",K275&gt;=800,"Excellent")</f>
        <v>fair</v>
      </c>
      <c r="M275">
        <v>3</v>
      </c>
      <c r="N275" t="str">
        <f t="shared" si="17"/>
        <v>Yes</v>
      </c>
      <c r="O275">
        <v>0.39</v>
      </c>
      <c r="P275" t="str" cm="1">
        <f t="array" ref="P275">_xlfn.IFS(O275&lt;=0.3,"Low Risk",O275&lt;=0.4,"medium Risk",O275&lt;=0.5,"High Risk",O275&gt;0.5,"Very High Risk")</f>
        <v>medium Risk</v>
      </c>
      <c r="Q275">
        <v>15588</v>
      </c>
      <c r="R275">
        <v>22553</v>
      </c>
      <c r="S275" t="str">
        <f t="shared" si="18"/>
        <v>Yes</v>
      </c>
      <c r="T275">
        <v>21425</v>
      </c>
      <c r="U275" t="str" cm="1">
        <f t="array" ref="U275">_xlfn.IFS(T275&lt;5000,"Small",T275&lt;20000,"Medium",T275&lt;35000,"Large",T275&gt;35000,"Very Large")</f>
        <v>Large</v>
      </c>
      <c r="V275">
        <v>48</v>
      </c>
      <c r="W275">
        <f t="shared" si="19"/>
        <v>4</v>
      </c>
      <c r="X275" t="s">
        <v>31</v>
      </c>
      <c r="Y275" t="s">
        <v>38</v>
      </c>
      <c r="Z275" t="s">
        <v>39</v>
      </c>
      <c r="AA275" t="s">
        <v>34</v>
      </c>
      <c r="AB275" t="s">
        <v>35</v>
      </c>
      <c r="AC275" t="s">
        <v>36</v>
      </c>
    </row>
    <row r="276" spans="1:29" x14ac:dyDescent="0.25">
      <c r="A276">
        <v>290</v>
      </c>
      <c r="B276">
        <v>7801</v>
      </c>
      <c r="C276">
        <v>362</v>
      </c>
      <c r="D276">
        <f t="shared" si="16"/>
        <v>8163</v>
      </c>
      <c r="E276" t="s">
        <v>29</v>
      </c>
      <c r="F276">
        <v>34</v>
      </c>
      <c r="G276" t="str" cm="1">
        <f t="array" ref="G276">_xlfn.IFS(F276&lt;25,"18-24",F276&lt;35,"25-35",F276&lt;45,"35-44",F276&lt;55,"44-54",F276&gt;=55,"55+")</f>
        <v>25-35</v>
      </c>
      <c r="H276" t="s">
        <v>30</v>
      </c>
      <c r="I276">
        <v>3</v>
      </c>
      <c r="J276" t="str" cm="1">
        <f t="array" ref="J276">_xlfn.IFS(I276&lt;=0,"No Dependents",I276&lt;=1,"One",I276&lt;=2,"Two",I276&gt;=3,"Third")</f>
        <v>Third</v>
      </c>
      <c r="K276">
        <v>663</v>
      </c>
      <c r="L276" t="str" cm="1">
        <f t="array" ref="L276">_xlfn.IFS(K276&lt;=580,"Poor",K276&lt;=670,"fair",K276&lt;=740,"Good",K276&lt;=800,"Very Good",K276&gt;=800,"Excellent")</f>
        <v>fair</v>
      </c>
      <c r="M276">
        <v>0</v>
      </c>
      <c r="N276" t="str">
        <f t="shared" si="17"/>
        <v>No</v>
      </c>
      <c r="O276">
        <v>0.47</v>
      </c>
      <c r="P276" t="str" cm="1">
        <f t="array" ref="P276">_xlfn.IFS(O276&lt;=0.3,"Low Risk",O276&lt;=0.4,"medium Risk",O276&lt;=0.5,"High Risk",O276&gt;0.5,"Very High Risk")</f>
        <v>High Risk</v>
      </c>
      <c r="Q276">
        <v>13055</v>
      </c>
      <c r="R276">
        <v>24174</v>
      </c>
      <c r="S276" t="str">
        <f t="shared" si="18"/>
        <v>Yes</v>
      </c>
      <c r="T276">
        <v>36185</v>
      </c>
      <c r="U276" t="str" cm="1">
        <f t="array" ref="U276">_xlfn.IFS(T276&lt;5000,"Small",T276&lt;20000,"Medium",T276&lt;35000,"Large",T276&gt;35000,"Very Large")</f>
        <v>Very Large</v>
      </c>
      <c r="V276">
        <v>48</v>
      </c>
      <c r="W276">
        <f t="shared" si="19"/>
        <v>4</v>
      </c>
      <c r="X276" t="s">
        <v>42</v>
      </c>
      <c r="Y276" t="s">
        <v>32</v>
      </c>
      <c r="Z276" t="s">
        <v>39</v>
      </c>
      <c r="AA276" t="s">
        <v>40</v>
      </c>
      <c r="AB276" t="s">
        <v>42</v>
      </c>
      <c r="AC276" t="s">
        <v>36</v>
      </c>
    </row>
    <row r="277" spans="1:29" x14ac:dyDescent="0.25">
      <c r="A277">
        <v>291</v>
      </c>
      <c r="B277">
        <v>18921</v>
      </c>
      <c r="C277">
        <v>2604</v>
      </c>
      <c r="D277">
        <f t="shared" si="16"/>
        <v>21525</v>
      </c>
      <c r="E277" t="s">
        <v>46</v>
      </c>
      <c r="F277">
        <v>23</v>
      </c>
      <c r="G277" t="str" cm="1">
        <f t="array" ref="G277">_xlfn.IFS(F277&lt;25,"18-24",F277&lt;35,"25-35",F277&lt;45,"35-44",F277&lt;55,"44-54",F277&gt;=55,"55+")</f>
        <v>18-24</v>
      </c>
      <c r="H277" t="s">
        <v>41</v>
      </c>
      <c r="I277">
        <v>1</v>
      </c>
      <c r="J277" t="str" cm="1">
        <f t="array" ref="J277">_xlfn.IFS(I277&lt;=0,"No Dependents",I277&lt;=1,"One",I277&lt;=2,"Two",I277&gt;=3,"Third")</f>
        <v>One</v>
      </c>
      <c r="K277">
        <v>798</v>
      </c>
      <c r="L277" t="str" cm="1">
        <f t="array" ref="L277">_xlfn.IFS(K277&lt;=580,"Poor",K277&lt;=670,"fair",K277&lt;=740,"Good",K277&lt;=800,"Very Good",K277&gt;=800,"Excellent")</f>
        <v>Very Good</v>
      </c>
      <c r="M277">
        <v>3</v>
      </c>
      <c r="N277" t="str">
        <f t="shared" si="17"/>
        <v>Yes</v>
      </c>
      <c r="O277">
        <v>0.28999999999999998</v>
      </c>
      <c r="P277" t="str" cm="1">
        <f t="array" ref="P277">_xlfn.IFS(O277&lt;=0.3,"Low Risk",O277&lt;=0.4,"medium Risk",O277&lt;=0.5,"High Risk",O277&gt;0.5,"Very High Risk")</f>
        <v>Low Risk</v>
      </c>
      <c r="Q277">
        <v>16080</v>
      </c>
      <c r="R277">
        <v>21957</v>
      </c>
      <c r="S277" t="str">
        <f t="shared" si="18"/>
        <v>Yes</v>
      </c>
      <c r="T277">
        <v>0</v>
      </c>
      <c r="U277" t="str" cm="1">
        <f t="array" ref="U277">_xlfn.IFS(T277&lt;5000,"Small",T277&lt;20000,"Medium",T277&lt;35000,"Large",T277&gt;35000,"Very Large")</f>
        <v>Small</v>
      </c>
      <c r="V277">
        <v>60</v>
      </c>
      <c r="W277">
        <f t="shared" si="19"/>
        <v>5</v>
      </c>
      <c r="X277" t="s">
        <v>50</v>
      </c>
      <c r="Y277" t="s">
        <v>32</v>
      </c>
      <c r="Z277" t="s">
        <v>39</v>
      </c>
      <c r="AA277" t="s">
        <v>34</v>
      </c>
      <c r="AB277" t="s">
        <v>43</v>
      </c>
      <c r="AC277" t="s">
        <v>36</v>
      </c>
    </row>
    <row r="278" spans="1:29" x14ac:dyDescent="0.25">
      <c r="A278">
        <v>292</v>
      </c>
      <c r="B278">
        <v>7986</v>
      </c>
      <c r="C278">
        <v>9908</v>
      </c>
      <c r="D278">
        <f t="shared" si="16"/>
        <v>17894</v>
      </c>
      <c r="E278" t="s">
        <v>49</v>
      </c>
      <c r="F278">
        <v>36</v>
      </c>
      <c r="G278" t="str" cm="1">
        <f t="array" ref="G278">_xlfn.IFS(F278&lt;25,"18-24",F278&lt;35,"25-35",F278&lt;45,"35-44",F278&lt;55,"44-54",F278&gt;=55,"55+")</f>
        <v>35-44</v>
      </c>
      <c r="H278" t="s">
        <v>41</v>
      </c>
      <c r="I278">
        <v>1</v>
      </c>
      <c r="J278" t="str" cm="1">
        <f t="array" ref="J278">_xlfn.IFS(I278&lt;=0,"No Dependents",I278&lt;=1,"One",I278&lt;=2,"Two",I278&gt;=3,"Third")</f>
        <v>One</v>
      </c>
      <c r="K278">
        <v>791</v>
      </c>
      <c r="L278" t="str" cm="1">
        <f t="array" ref="L278">_xlfn.IFS(K278&lt;=580,"Poor",K278&lt;=670,"fair",K278&lt;=740,"Good",K278&lt;=800,"Very Good",K278&gt;=800,"Excellent")</f>
        <v>Very Good</v>
      </c>
      <c r="M278">
        <v>1</v>
      </c>
      <c r="N278" t="str">
        <f t="shared" si="17"/>
        <v>Yes</v>
      </c>
      <c r="O278">
        <v>0.25</v>
      </c>
      <c r="P278" t="str" cm="1">
        <f t="array" ref="P278">_xlfn.IFS(O278&lt;=0.3,"Low Risk",O278&lt;=0.4,"medium Risk",O278&lt;=0.5,"High Risk",O278&gt;0.5,"Very High Risk")</f>
        <v>Low Risk</v>
      </c>
      <c r="Q278">
        <v>6704</v>
      </c>
      <c r="R278">
        <v>634</v>
      </c>
      <c r="S278" t="str">
        <f t="shared" si="18"/>
        <v>Yes</v>
      </c>
      <c r="T278">
        <v>26474</v>
      </c>
      <c r="U278" t="str" cm="1">
        <f t="array" ref="U278">_xlfn.IFS(T278&lt;5000,"Small",T278&lt;20000,"Medium",T278&lt;35000,"Large",T278&gt;35000,"Very Large")</f>
        <v>Large</v>
      </c>
      <c r="V278">
        <v>48</v>
      </c>
      <c r="W278">
        <f t="shared" si="19"/>
        <v>4</v>
      </c>
      <c r="X278" t="s">
        <v>50</v>
      </c>
      <c r="Y278" t="s">
        <v>45</v>
      </c>
      <c r="Z278" t="s">
        <v>39</v>
      </c>
      <c r="AA278" t="s">
        <v>34</v>
      </c>
      <c r="AB278" t="s">
        <v>42</v>
      </c>
      <c r="AC278" t="s">
        <v>44</v>
      </c>
    </row>
    <row r="279" spans="1:29" x14ac:dyDescent="0.25">
      <c r="A279">
        <v>293</v>
      </c>
      <c r="B279">
        <v>12647</v>
      </c>
      <c r="C279">
        <v>4286</v>
      </c>
      <c r="D279">
        <f t="shared" si="16"/>
        <v>16933</v>
      </c>
      <c r="E279" t="s">
        <v>46</v>
      </c>
      <c r="F279">
        <v>39</v>
      </c>
      <c r="G279" t="str" cm="1">
        <f t="array" ref="G279">_xlfn.IFS(F279&lt;25,"18-24",F279&lt;35,"25-35",F279&lt;45,"35-44",F279&lt;55,"44-54",F279&gt;=55,"55+")</f>
        <v>35-44</v>
      </c>
      <c r="H279" t="s">
        <v>30</v>
      </c>
      <c r="I279">
        <v>0</v>
      </c>
      <c r="J279" t="str" cm="1">
        <f t="array" ref="J279">_xlfn.IFS(I279&lt;=0,"No Dependents",I279&lt;=1,"One",I279&lt;=2,"Two",I279&gt;=3,"Third")</f>
        <v>No Dependents</v>
      </c>
      <c r="K279">
        <v>796</v>
      </c>
      <c r="L279" t="str" cm="1">
        <f t="array" ref="L279">_xlfn.IFS(K279&lt;=580,"Poor",K279&lt;=670,"fair",K279&lt;=740,"Good",K279&lt;=800,"Very Good",K279&gt;=800,"Excellent")</f>
        <v>Very Good</v>
      </c>
      <c r="M279">
        <v>2</v>
      </c>
      <c r="N279" t="str">
        <f t="shared" si="17"/>
        <v>Yes</v>
      </c>
      <c r="O279">
        <v>0.33</v>
      </c>
      <c r="P279" t="str" cm="1">
        <f t="array" ref="P279">_xlfn.IFS(O279&lt;=0.3,"Low Risk",O279&lt;=0.4,"medium Risk",O279&lt;=0.5,"High Risk",O279&gt;0.5,"Very High Risk")</f>
        <v>medium Risk</v>
      </c>
      <c r="Q279">
        <v>7368</v>
      </c>
      <c r="R279">
        <v>29881</v>
      </c>
      <c r="S279" t="str">
        <f t="shared" si="18"/>
        <v>Yes</v>
      </c>
      <c r="T279">
        <v>2469</v>
      </c>
      <c r="U279" t="str" cm="1">
        <f t="array" ref="U279">_xlfn.IFS(T279&lt;5000,"Small",T279&lt;20000,"Medium",T279&lt;35000,"Large",T279&gt;35000,"Very Large")</f>
        <v>Small</v>
      </c>
      <c r="V279">
        <v>48</v>
      </c>
      <c r="W279">
        <f t="shared" si="19"/>
        <v>4</v>
      </c>
      <c r="X279" t="s">
        <v>50</v>
      </c>
      <c r="Y279" t="s">
        <v>32</v>
      </c>
      <c r="Z279" t="s">
        <v>39</v>
      </c>
      <c r="AA279" t="s">
        <v>34</v>
      </c>
      <c r="AB279" t="s">
        <v>35</v>
      </c>
      <c r="AC279" t="s">
        <v>44</v>
      </c>
    </row>
    <row r="280" spans="1:29" x14ac:dyDescent="0.25">
      <c r="A280">
        <v>294</v>
      </c>
      <c r="B280">
        <v>10716</v>
      </c>
      <c r="C280">
        <v>3738</v>
      </c>
      <c r="D280">
        <f t="shared" si="16"/>
        <v>14454</v>
      </c>
      <c r="E280" t="s">
        <v>46</v>
      </c>
      <c r="F280">
        <v>38</v>
      </c>
      <c r="G280" t="str" cm="1">
        <f t="array" ref="G280">_xlfn.IFS(F280&lt;25,"18-24",F280&lt;35,"25-35",F280&lt;45,"35-44",F280&lt;55,"44-54",F280&gt;=55,"55+")</f>
        <v>35-44</v>
      </c>
      <c r="H280" t="s">
        <v>41</v>
      </c>
      <c r="I280">
        <v>0</v>
      </c>
      <c r="J280" t="str" cm="1">
        <f t="array" ref="J280">_xlfn.IFS(I280&lt;=0,"No Dependents",I280&lt;=1,"One",I280&lt;=2,"Two",I280&gt;=3,"Third")</f>
        <v>No Dependents</v>
      </c>
      <c r="K280">
        <v>673</v>
      </c>
      <c r="L280" t="str" cm="1">
        <f t="array" ref="L280">_xlfn.IFS(K280&lt;=580,"Poor",K280&lt;=670,"fair",K280&lt;=740,"Good",K280&lt;=800,"Very Good",K280&gt;=800,"Excellent")</f>
        <v>Good</v>
      </c>
      <c r="M280">
        <v>1</v>
      </c>
      <c r="N280" t="str">
        <f t="shared" si="17"/>
        <v>Yes</v>
      </c>
      <c r="O280">
        <v>0.51</v>
      </c>
      <c r="P280" t="str" cm="1">
        <f t="array" ref="P280">_xlfn.IFS(O280&lt;=0.3,"Low Risk",O280&lt;=0.4,"medium Risk",O280&lt;=0.5,"High Risk",O280&gt;0.5,"Very High Risk")</f>
        <v>Very High Risk</v>
      </c>
      <c r="Q280">
        <v>1971</v>
      </c>
      <c r="R280">
        <v>12771</v>
      </c>
      <c r="S280" t="str">
        <f t="shared" si="18"/>
        <v>Yes</v>
      </c>
      <c r="T280">
        <v>8292</v>
      </c>
      <c r="U280" t="str" cm="1">
        <f t="array" ref="U280">_xlfn.IFS(T280&lt;5000,"Small",T280&lt;20000,"Medium",T280&lt;35000,"Large",T280&gt;35000,"Very Large")</f>
        <v>Medium</v>
      </c>
      <c r="V280">
        <v>48</v>
      </c>
      <c r="W280">
        <f t="shared" si="19"/>
        <v>4</v>
      </c>
      <c r="X280" t="s">
        <v>42</v>
      </c>
      <c r="Y280" t="s">
        <v>38</v>
      </c>
      <c r="Z280" t="s">
        <v>39</v>
      </c>
      <c r="AA280" t="s">
        <v>34</v>
      </c>
      <c r="AB280" t="s">
        <v>42</v>
      </c>
      <c r="AC280" t="s">
        <v>36</v>
      </c>
    </row>
    <row r="281" spans="1:29" x14ac:dyDescent="0.25">
      <c r="A281">
        <v>295</v>
      </c>
      <c r="B281">
        <v>14323</v>
      </c>
      <c r="C281">
        <v>2469</v>
      </c>
      <c r="D281">
        <f t="shared" si="16"/>
        <v>16792</v>
      </c>
      <c r="E281" t="s">
        <v>29</v>
      </c>
      <c r="F281">
        <v>36</v>
      </c>
      <c r="G281" t="str" cm="1">
        <f t="array" ref="G281">_xlfn.IFS(F281&lt;25,"18-24",F281&lt;35,"25-35",F281&lt;45,"35-44",F281&lt;55,"44-54",F281&gt;=55,"55+")</f>
        <v>35-44</v>
      </c>
      <c r="H281" t="s">
        <v>30</v>
      </c>
      <c r="I281">
        <v>0</v>
      </c>
      <c r="J281" t="str" cm="1">
        <f t="array" ref="J281">_xlfn.IFS(I281&lt;=0,"No Dependents",I281&lt;=1,"One",I281&lt;=2,"Two",I281&gt;=3,"Third")</f>
        <v>No Dependents</v>
      </c>
      <c r="K281">
        <v>598</v>
      </c>
      <c r="L281" t="str" cm="1">
        <f t="array" ref="L281">_xlfn.IFS(K281&lt;=580,"Poor",K281&lt;=670,"fair",K281&lt;=740,"Good",K281&lt;=800,"Very Good",K281&gt;=800,"Excellent")</f>
        <v>fair</v>
      </c>
      <c r="M281">
        <v>1</v>
      </c>
      <c r="N281" t="str">
        <f t="shared" si="17"/>
        <v>Yes</v>
      </c>
      <c r="O281">
        <v>0.56000000000000005</v>
      </c>
      <c r="P281" t="str" cm="1">
        <f t="array" ref="P281">_xlfn.IFS(O281&lt;=0.3,"Low Risk",O281&lt;=0.4,"medium Risk",O281&lt;=0.5,"High Risk",O281&gt;0.5,"Very High Risk")</f>
        <v>Very High Risk</v>
      </c>
      <c r="Q281">
        <v>14593</v>
      </c>
      <c r="R281">
        <v>18298</v>
      </c>
      <c r="S281" t="str">
        <f t="shared" si="18"/>
        <v>Yes</v>
      </c>
      <c r="T281">
        <v>26409</v>
      </c>
      <c r="U281" t="str" cm="1">
        <f t="array" ref="U281">_xlfn.IFS(T281&lt;5000,"Small",T281&lt;20000,"Medium",T281&lt;35000,"Large",T281&gt;35000,"Very Large")</f>
        <v>Large</v>
      </c>
      <c r="V281">
        <v>84</v>
      </c>
      <c r="W281">
        <f t="shared" si="19"/>
        <v>7</v>
      </c>
      <c r="X281" t="s">
        <v>42</v>
      </c>
      <c r="Y281" t="s">
        <v>45</v>
      </c>
      <c r="Z281" t="s">
        <v>39</v>
      </c>
      <c r="AA281" t="s">
        <v>40</v>
      </c>
      <c r="AB281" t="s">
        <v>35</v>
      </c>
      <c r="AC281" t="s">
        <v>36</v>
      </c>
    </row>
    <row r="282" spans="1:29" x14ac:dyDescent="0.25">
      <c r="A282">
        <v>296</v>
      </c>
      <c r="B282">
        <v>6780</v>
      </c>
      <c r="C282">
        <v>4795</v>
      </c>
      <c r="D282">
        <f t="shared" si="16"/>
        <v>11575</v>
      </c>
      <c r="E282" t="s">
        <v>49</v>
      </c>
      <c r="F282">
        <v>28</v>
      </c>
      <c r="G282" t="str" cm="1">
        <f t="array" ref="G282">_xlfn.IFS(F282&lt;25,"18-24",F282&lt;35,"25-35",F282&lt;45,"35-44",F282&lt;55,"44-54",F282&gt;=55,"55+")</f>
        <v>25-35</v>
      </c>
      <c r="H282" t="s">
        <v>41</v>
      </c>
      <c r="I282">
        <v>2</v>
      </c>
      <c r="J282" t="str" cm="1">
        <f t="array" ref="J282">_xlfn.IFS(I282&lt;=0,"No Dependents",I282&lt;=1,"One",I282&lt;=2,"Two",I282&gt;=3,"Third")</f>
        <v>Two</v>
      </c>
      <c r="K282">
        <v>625</v>
      </c>
      <c r="L282" t="str" cm="1">
        <f t="array" ref="L282">_xlfn.IFS(K282&lt;=580,"Poor",K282&lt;=670,"fair",K282&lt;=740,"Good",K282&lt;=800,"Very Good",K282&gt;=800,"Excellent")</f>
        <v>fair</v>
      </c>
      <c r="M282">
        <v>1</v>
      </c>
      <c r="N282" t="str">
        <f t="shared" si="17"/>
        <v>Yes</v>
      </c>
      <c r="O282">
        <v>0.37</v>
      </c>
      <c r="P282" t="str" cm="1">
        <f t="array" ref="P282">_xlfn.IFS(O282&lt;=0.3,"Low Risk",O282&lt;=0.4,"medium Risk",O282&lt;=0.5,"High Risk",O282&gt;0.5,"Very High Risk")</f>
        <v>medium Risk</v>
      </c>
      <c r="Q282">
        <v>8055</v>
      </c>
      <c r="R282">
        <v>14340</v>
      </c>
      <c r="S282" t="str">
        <f t="shared" si="18"/>
        <v>Yes</v>
      </c>
      <c r="T282">
        <v>24526</v>
      </c>
      <c r="U282" t="str" cm="1">
        <f t="array" ref="U282">_xlfn.IFS(T282&lt;5000,"Small",T282&lt;20000,"Medium",T282&lt;35000,"Large",T282&gt;35000,"Very Large")</f>
        <v>Large</v>
      </c>
      <c r="V282">
        <v>72</v>
      </c>
      <c r="W282">
        <f t="shared" si="19"/>
        <v>6</v>
      </c>
      <c r="X282" t="s">
        <v>50</v>
      </c>
      <c r="Y282" t="s">
        <v>32</v>
      </c>
      <c r="Z282" t="s">
        <v>39</v>
      </c>
      <c r="AA282" t="s">
        <v>40</v>
      </c>
      <c r="AB282" t="s">
        <v>35</v>
      </c>
      <c r="AC282" t="s">
        <v>36</v>
      </c>
    </row>
    <row r="283" spans="1:29" x14ac:dyDescent="0.25">
      <c r="A283">
        <v>297</v>
      </c>
      <c r="B283">
        <v>4368</v>
      </c>
      <c r="C283">
        <v>6150</v>
      </c>
      <c r="D283">
        <f t="shared" si="16"/>
        <v>10518</v>
      </c>
      <c r="E283" t="s">
        <v>29</v>
      </c>
      <c r="F283">
        <v>53</v>
      </c>
      <c r="G283" t="str" cm="1">
        <f t="array" ref="G283">_xlfn.IFS(F283&lt;25,"18-24",F283&lt;35,"25-35",F283&lt;45,"35-44",F283&lt;55,"44-54",F283&gt;=55,"55+")</f>
        <v>44-54</v>
      </c>
      <c r="H283" t="s">
        <v>30</v>
      </c>
      <c r="I283">
        <v>2</v>
      </c>
      <c r="J283" t="str" cm="1">
        <f t="array" ref="J283">_xlfn.IFS(I283&lt;=0,"No Dependents",I283&lt;=1,"One",I283&lt;=2,"Two",I283&gt;=3,"Third")</f>
        <v>Two</v>
      </c>
      <c r="K283">
        <v>604</v>
      </c>
      <c r="L283" t="str" cm="1">
        <f t="array" ref="L283">_xlfn.IFS(K283&lt;=580,"Poor",K283&lt;=670,"fair",K283&lt;=740,"Good",K283&lt;=800,"Very Good",K283&gt;=800,"Excellent")</f>
        <v>fair</v>
      </c>
      <c r="M283">
        <v>4</v>
      </c>
      <c r="N283" t="str">
        <f t="shared" si="17"/>
        <v>Yes</v>
      </c>
      <c r="O283">
        <v>0.43</v>
      </c>
      <c r="P283" t="str" cm="1">
        <f t="array" ref="P283">_xlfn.IFS(O283&lt;=0.3,"Low Risk",O283&lt;=0.4,"medium Risk",O283&lt;=0.5,"High Risk",O283&gt;0.5,"Very High Risk")</f>
        <v>High Risk</v>
      </c>
      <c r="Q283">
        <v>11441</v>
      </c>
      <c r="R283">
        <v>33356</v>
      </c>
      <c r="S283" t="str">
        <f t="shared" si="18"/>
        <v>Yes</v>
      </c>
      <c r="T283">
        <v>24465</v>
      </c>
      <c r="U283" t="str" cm="1">
        <f t="array" ref="U283">_xlfn.IFS(T283&lt;5000,"Small",T283&lt;20000,"Medium",T283&lt;35000,"Large",T283&gt;35000,"Very Large")</f>
        <v>Large</v>
      </c>
      <c r="V283">
        <v>36</v>
      </c>
      <c r="W283">
        <f t="shared" si="19"/>
        <v>3</v>
      </c>
      <c r="X283" t="s">
        <v>37</v>
      </c>
      <c r="Y283" t="s">
        <v>45</v>
      </c>
      <c r="Z283" t="s">
        <v>39</v>
      </c>
      <c r="AA283" t="s">
        <v>34</v>
      </c>
      <c r="AB283" t="s">
        <v>43</v>
      </c>
      <c r="AC283" t="s">
        <v>36</v>
      </c>
    </row>
    <row r="284" spans="1:29" x14ac:dyDescent="0.25">
      <c r="A284">
        <v>298</v>
      </c>
      <c r="B284">
        <v>14039</v>
      </c>
      <c r="C284">
        <v>556</v>
      </c>
      <c r="D284">
        <f t="shared" si="16"/>
        <v>14595</v>
      </c>
      <c r="E284" t="s">
        <v>29</v>
      </c>
      <c r="F284">
        <v>40</v>
      </c>
      <c r="G284" t="str" cm="1">
        <f t="array" ref="G284">_xlfn.IFS(F284&lt;25,"18-24",F284&lt;35,"25-35",F284&lt;45,"35-44",F284&lt;55,"44-54",F284&gt;=55,"55+")</f>
        <v>35-44</v>
      </c>
      <c r="H284" t="s">
        <v>30</v>
      </c>
      <c r="I284">
        <v>0</v>
      </c>
      <c r="J284" t="str" cm="1">
        <f t="array" ref="J284">_xlfn.IFS(I284&lt;=0,"No Dependents",I284&lt;=1,"One",I284&lt;=2,"Two",I284&gt;=3,"Third")</f>
        <v>No Dependents</v>
      </c>
      <c r="K284">
        <v>762</v>
      </c>
      <c r="L284" t="str" cm="1">
        <f t="array" ref="L284">_xlfn.IFS(K284&lt;=580,"Poor",K284&lt;=670,"fair",K284&lt;=740,"Good",K284&lt;=800,"Very Good",K284&gt;=800,"Excellent")</f>
        <v>Very Good</v>
      </c>
      <c r="M284">
        <v>3</v>
      </c>
      <c r="N284" t="str">
        <f t="shared" si="17"/>
        <v>Yes</v>
      </c>
      <c r="O284">
        <v>0.55000000000000004</v>
      </c>
      <c r="P284" t="str" cm="1">
        <f t="array" ref="P284">_xlfn.IFS(O284&lt;=0.3,"Low Risk",O284&lt;=0.4,"medium Risk",O284&lt;=0.5,"High Risk",O284&gt;0.5,"Very High Risk")</f>
        <v>Very High Risk</v>
      </c>
      <c r="Q284">
        <v>14677</v>
      </c>
      <c r="R284">
        <v>35999</v>
      </c>
      <c r="S284" t="str">
        <f t="shared" si="18"/>
        <v>Yes</v>
      </c>
      <c r="T284">
        <v>31955</v>
      </c>
      <c r="U284" t="str" cm="1">
        <f t="array" ref="U284">_xlfn.IFS(T284&lt;5000,"Small",T284&lt;20000,"Medium",T284&lt;35000,"Large",T284&gt;35000,"Very Large")</f>
        <v>Large</v>
      </c>
      <c r="V284">
        <v>48</v>
      </c>
      <c r="W284">
        <f t="shared" si="19"/>
        <v>4</v>
      </c>
      <c r="X284" t="s">
        <v>47</v>
      </c>
      <c r="Y284" t="s">
        <v>45</v>
      </c>
      <c r="Z284" t="s">
        <v>33</v>
      </c>
      <c r="AA284" t="s">
        <v>40</v>
      </c>
      <c r="AB284" t="s">
        <v>35</v>
      </c>
      <c r="AC284" t="s">
        <v>36</v>
      </c>
    </row>
    <row r="285" spans="1:29" x14ac:dyDescent="0.25">
      <c r="A285">
        <v>299</v>
      </c>
      <c r="B285">
        <v>8655</v>
      </c>
      <c r="C285">
        <v>0</v>
      </c>
      <c r="D285">
        <f t="shared" si="16"/>
        <v>8655</v>
      </c>
      <c r="E285" t="s">
        <v>52</v>
      </c>
      <c r="F285">
        <v>31</v>
      </c>
      <c r="G285" t="str" cm="1">
        <f t="array" ref="G285">_xlfn.IFS(F285&lt;25,"18-24",F285&lt;35,"25-35",F285&lt;45,"35-44",F285&lt;55,"44-54",F285&gt;=55,"55+")</f>
        <v>25-35</v>
      </c>
      <c r="H285" t="s">
        <v>41</v>
      </c>
      <c r="I285">
        <v>1</v>
      </c>
      <c r="J285" t="str" cm="1">
        <f t="array" ref="J285">_xlfn.IFS(I285&lt;=0,"No Dependents",I285&lt;=1,"One",I285&lt;=2,"Two",I285&gt;=3,"Third")</f>
        <v>One</v>
      </c>
      <c r="K285">
        <v>605</v>
      </c>
      <c r="L285" t="str" cm="1">
        <f t="array" ref="L285">_xlfn.IFS(K285&lt;=580,"Poor",K285&lt;=670,"fair",K285&lt;=740,"Good",K285&lt;=800,"Very Good",K285&gt;=800,"Excellent")</f>
        <v>fair</v>
      </c>
      <c r="M285">
        <v>3</v>
      </c>
      <c r="N285" t="str">
        <f t="shared" si="17"/>
        <v>Yes</v>
      </c>
      <c r="O285">
        <v>0.15</v>
      </c>
      <c r="P285" t="str" cm="1">
        <f t="array" ref="P285">_xlfn.IFS(O285&lt;=0.3,"Low Risk",O285&lt;=0.4,"medium Risk",O285&lt;=0.5,"High Risk",O285&gt;0.5,"Very High Risk")</f>
        <v>Low Risk</v>
      </c>
      <c r="Q285">
        <v>1868</v>
      </c>
      <c r="R285">
        <v>6351</v>
      </c>
      <c r="S285" t="str">
        <f t="shared" si="18"/>
        <v>Yes</v>
      </c>
      <c r="T285">
        <v>27785</v>
      </c>
      <c r="U285" t="str" cm="1">
        <f t="array" ref="U285">_xlfn.IFS(T285&lt;5000,"Small",T285&lt;20000,"Medium",T285&lt;35000,"Large",T285&gt;35000,"Very Large")</f>
        <v>Large</v>
      </c>
      <c r="V285">
        <v>60</v>
      </c>
      <c r="W285">
        <f t="shared" si="19"/>
        <v>5</v>
      </c>
      <c r="X285" t="s">
        <v>42</v>
      </c>
      <c r="Y285" t="s">
        <v>45</v>
      </c>
      <c r="Z285" t="s">
        <v>33</v>
      </c>
      <c r="AA285" t="s">
        <v>34</v>
      </c>
      <c r="AB285" t="s">
        <v>51</v>
      </c>
      <c r="AC285" t="s">
        <v>36</v>
      </c>
    </row>
    <row r="286" spans="1:29" x14ac:dyDescent="0.25">
      <c r="A286">
        <v>300</v>
      </c>
      <c r="B286">
        <v>10173</v>
      </c>
      <c r="C286">
        <v>2808</v>
      </c>
      <c r="D286">
        <f t="shared" si="16"/>
        <v>12981</v>
      </c>
      <c r="E286" t="s">
        <v>29</v>
      </c>
      <c r="F286">
        <v>25</v>
      </c>
      <c r="G286" t="str" cm="1">
        <f t="array" ref="G286">_xlfn.IFS(F286&lt;25,"18-24",F286&lt;35,"25-35",F286&lt;45,"35-44",F286&lt;55,"44-54",F286&gt;=55,"55+")</f>
        <v>25-35</v>
      </c>
      <c r="H286" t="s">
        <v>30</v>
      </c>
      <c r="I286">
        <v>0</v>
      </c>
      <c r="J286" t="str" cm="1">
        <f t="array" ref="J286">_xlfn.IFS(I286&lt;=0,"No Dependents",I286&lt;=1,"One",I286&lt;=2,"Two",I286&gt;=3,"Third")</f>
        <v>No Dependents</v>
      </c>
      <c r="K286">
        <v>745</v>
      </c>
      <c r="L286" t="str" cm="1">
        <f t="array" ref="L286">_xlfn.IFS(K286&lt;=580,"Poor",K286&lt;=670,"fair",K286&lt;=740,"Good",K286&lt;=800,"Very Good",K286&gt;=800,"Excellent")</f>
        <v>Very Good</v>
      </c>
      <c r="M286">
        <v>3</v>
      </c>
      <c r="N286" t="str">
        <f t="shared" si="17"/>
        <v>Yes</v>
      </c>
      <c r="O286">
        <v>0.22</v>
      </c>
      <c r="P286" t="str" cm="1">
        <f t="array" ref="P286">_xlfn.IFS(O286&lt;=0.3,"Low Risk",O286&lt;=0.4,"medium Risk",O286&lt;=0.5,"High Risk",O286&gt;0.5,"Very High Risk")</f>
        <v>Low Risk</v>
      </c>
      <c r="Q286">
        <v>18055</v>
      </c>
      <c r="R286">
        <v>3838</v>
      </c>
      <c r="S286" t="str">
        <f t="shared" si="18"/>
        <v>Yes</v>
      </c>
      <c r="T286">
        <v>22033</v>
      </c>
      <c r="U286" t="str" cm="1">
        <f t="array" ref="U286">_xlfn.IFS(T286&lt;5000,"Small",T286&lt;20000,"Medium",T286&lt;35000,"Large",T286&gt;35000,"Very Large")</f>
        <v>Large</v>
      </c>
      <c r="V286">
        <v>24</v>
      </c>
      <c r="W286">
        <f t="shared" si="19"/>
        <v>2</v>
      </c>
      <c r="X286" t="s">
        <v>37</v>
      </c>
      <c r="Y286" t="s">
        <v>32</v>
      </c>
      <c r="Z286" t="s">
        <v>39</v>
      </c>
      <c r="AA286" t="s">
        <v>40</v>
      </c>
      <c r="AB286" t="s">
        <v>42</v>
      </c>
      <c r="AC286" t="s">
        <v>44</v>
      </c>
    </row>
    <row r="287" spans="1:29" x14ac:dyDescent="0.25">
      <c r="A287">
        <v>301</v>
      </c>
      <c r="B287">
        <v>6495</v>
      </c>
      <c r="C287">
        <v>5150</v>
      </c>
      <c r="D287">
        <f t="shared" si="16"/>
        <v>11645</v>
      </c>
      <c r="E287" t="s">
        <v>29</v>
      </c>
      <c r="F287">
        <v>47</v>
      </c>
      <c r="G287" t="str" cm="1">
        <f t="array" ref="G287">_xlfn.IFS(F287&lt;25,"18-24",F287&lt;35,"25-35",F287&lt;45,"35-44",F287&lt;55,"44-54",F287&gt;=55,"55+")</f>
        <v>44-54</v>
      </c>
      <c r="H287" t="s">
        <v>41</v>
      </c>
      <c r="I287">
        <v>2</v>
      </c>
      <c r="J287" t="str" cm="1">
        <f t="array" ref="J287">_xlfn.IFS(I287&lt;=0,"No Dependents",I287&lt;=1,"One",I287&lt;=2,"Two",I287&gt;=3,"Third")</f>
        <v>Two</v>
      </c>
      <c r="K287">
        <v>644</v>
      </c>
      <c r="L287" t="str" cm="1">
        <f t="array" ref="L287">_xlfn.IFS(K287&lt;=580,"Poor",K287&lt;=670,"fair",K287&lt;=740,"Good",K287&lt;=800,"Very Good",K287&gt;=800,"Excellent")</f>
        <v>fair</v>
      </c>
      <c r="M287">
        <v>4</v>
      </c>
      <c r="N287" t="str">
        <f t="shared" si="17"/>
        <v>Yes</v>
      </c>
      <c r="O287">
        <v>0.45</v>
      </c>
      <c r="P287" t="str" cm="1">
        <f t="array" ref="P287">_xlfn.IFS(O287&lt;=0.3,"Low Risk",O287&lt;=0.4,"medium Risk",O287&lt;=0.5,"High Risk",O287&gt;0.5,"Very High Risk")</f>
        <v>High Risk</v>
      </c>
      <c r="Q287">
        <v>1728</v>
      </c>
      <c r="R287">
        <v>1973</v>
      </c>
      <c r="S287" t="str">
        <f t="shared" si="18"/>
        <v>Yes</v>
      </c>
      <c r="T287">
        <v>7931</v>
      </c>
      <c r="U287" t="str" cm="1">
        <f t="array" ref="U287">_xlfn.IFS(T287&lt;5000,"Small",T287&lt;20000,"Medium",T287&lt;35000,"Large",T287&gt;35000,"Very Large")</f>
        <v>Medium</v>
      </c>
      <c r="V287">
        <v>12</v>
      </c>
      <c r="W287">
        <f t="shared" si="19"/>
        <v>1</v>
      </c>
      <c r="X287" t="s">
        <v>42</v>
      </c>
      <c r="Y287" t="s">
        <v>32</v>
      </c>
      <c r="Z287" t="s">
        <v>39</v>
      </c>
      <c r="AA287" t="s">
        <v>40</v>
      </c>
      <c r="AB287" t="s">
        <v>43</v>
      </c>
      <c r="AC287" t="s">
        <v>36</v>
      </c>
    </row>
    <row r="288" spans="1:29" x14ac:dyDescent="0.25">
      <c r="A288">
        <v>302</v>
      </c>
      <c r="B288">
        <v>12893</v>
      </c>
      <c r="C288">
        <v>7561</v>
      </c>
      <c r="D288">
        <f t="shared" si="16"/>
        <v>20454</v>
      </c>
      <c r="E288" t="s">
        <v>49</v>
      </c>
      <c r="F288">
        <v>32</v>
      </c>
      <c r="G288" t="str" cm="1">
        <f t="array" ref="G288">_xlfn.IFS(F288&lt;25,"18-24",F288&lt;35,"25-35",F288&lt;45,"35-44",F288&lt;55,"44-54",F288&gt;=55,"55+")</f>
        <v>25-35</v>
      </c>
      <c r="H288" t="s">
        <v>30</v>
      </c>
      <c r="I288">
        <v>1</v>
      </c>
      <c r="J288" t="str" cm="1">
        <f t="array" ref="J288">_xlfn.IFS(I288&lt;=0,"No Dependents",I288&lt;=1,"One",I288&lt;=2,"Two",I288&gt;=3,"Third")</f>
        <v>One</v>
      </c>
      <c r="K288">
        <v>593</v>
      </c>
      <c r="L288" t="str" cm="1">
        <f t="array" ref="L288">_xlfn.IFS(K288&lt;=580,"Poor",K288&lt;=670,"fair",K288&lt;=740,"Good",K288&lt;=800,"Very Good",K288&gt;=800,"Excellent")</f>
        <v>fair</v>
      </c>
      <c r="M288">
        <v>2</v>
      </c>
      <c r="N288" t="str">
        <f t="shared" si="17"/>
        <v>Yes</v>
      </c>
      <c r="O288">
        <v>0.51</v>
      </c>
      <c r="P288" t="str" cm="1">
        <f t="array" ref="P288">_xlfn.IFS(O288&lt;=0.3,"Low Risk",O288&lt;=0.4,"medium Risk",O288&lt;=0.5,"High Risk",O288&gt;0.5,"Very High Risk")</f>
        <v>Very High Risk</v>
      </c>
      <c r="Q288">
        <v>7632</v>
      </c>
      <c r="R288">
        <v>47114</v>
      </c>
      <c r="S288" t="str">
        <f t="shared" si="18"/>
        <v>Yes</v>
      </c>
      <c r="T288">
        <v>2091</v>
      </c>
      <c r="U288" t="str" cm="1">
        <f t="array" ref="U288">_xlfn.IFS(T288&lt;5000,"Small",T288&lt;20000,"Medium",T288&lt;35000,"Large",T288&gt;35000,"Very Large")</f>
        <v>Small</v>
      </c>
      <c r="V288">
        <v>72</v>
      </c>
      <c r="W288">
        <f t="shared" si="19"/>
        <v>6</v>
      </c>
      <c r="X288" t="s">
        <v>50</v>
      </c>
      <c r="Y288" t="s">
        <v>45</v>
      </c>
      <c r="Z288" t="s">
        <v>33</v>
      </c>
      <c r="AA288" t="s">
        <v>40</v>
      </c>
      <c r="AB288" t="s">
        <v>35</v>
      </c>
      <c r="AC288" t="s">
        <v>36</v>
      </c>
    </row>
    <row r="289" spans="1:29" x14ac:dyDescent="0.25">
      <c r="A289">
        <v>304</v>
      </c>
      <c r="B289">
        <v>15121</v>
      </c>
      <c r="C289">
        <v>6506</v>
      </c>
      <c r="D289">
        <f t="shared" si="16"/>
        <v>21627</v>
      </c>
      <c r="E289" t="s">
        <v>49</v>
      </c>
      <c r="F289">
        <v>26</v>
      </c>
      <c r="G289" t="str" cm="1">
        <f t="array" ref="G289">_xlfn.IFS(F289&lt;25,"18-24",F289&lt;35,"25-35",F289&lt;45,"35-44",F289&lt;55,"44-54",F289&gt;=55,"55+")</f>
        <v>25-35</v>
      </c>
      <c r="H289" t="s">
        <v>30</v>
      </c>
      <c r="I289">
        <v>1</v>
      </c>
      <c r="J289" t="str" cm="1">
        <f t="array" ref="J289">_xlfn.IFS(I289&lt;=0,"No Dependents",I289&lt;=1,"One",I289&lt;=2,"Two",I289&gt;=3,"Third")</f>
        <v>One</v>
      </c>
      <c r="K289">
        <v>735</v>
      </c>
      <c r="L289" t="str" cm="1">
        <f t="array" ref="L289">_xlfn.IFS(K289&lt;=580,"Poor",K289&lt;=670,"fair",K289&lt;=740,"Good",K289&lt;=800,"Very Good",K289&gt;=800,"Excellent")</f>
        <v>Good</v>
      </c>
      <c r="M289">
        <v>2</v>
      </c>
      <c r="N289" t="str">
        <f t="shared" si="17"/>
        <v>Yes</v>
      </c>
      <c r="O289">
        <v>0.31</v>
      </c>
      <c r="P289" t="str" cm="1">
        <f t="array" ref="P289">_xlfn.IFS(O289&lt;=0.3,"Low Risk",O289&lt;=0.4,"medium Risk",O289&lt;=0.5,"High Risk",O289&gt;0.5,"Very High Risk")</f>
        <v>medium Risk</v>
      </c>
      <c r="Q289">
        <v>6403</v>
      </c>
      <c r="R289">
        <v>10247</v>
      </c>
      <c r="S289" t="str">
        <f t="shared" si="18"/>
        <v>Yes</v>
      </c>
      <c r="T289">
        <v>17363</v>
      </c>
      <c r="U289" t="str" cm="1">
        <f t="array" ref="U289">_xlfn.IFS(T289&lt;5000,"Small",T289&lt;20000,"Medium",T289&lt;35000,"Large",T289&gt;35000,"Very Large")</f>
        <v>Medium</v>
      </c>
      <c r="V289">
        <v>24</v>
      </c>
      <c r="W289">
        <f t="shared" si="19"/>
        <v>2</v>
      </c>
      <c r="X289" t="s">
        <v>31</v>
      </c>
      <c r="Y289" t="s">
        <v>32</v>
      </c>
      <c r="Z289" t="s">
        <v>39</v>
      </c>
      <c r="AA289" t="s">
        <v>40</v>
      </c>
      <c r="AB289" t="s">
        <v>43</v>
      </c>
      <c r="AC289" t="s">
        <v>44</v>
      </c>
    </row>
    <row r="290" spans="1:29" x14ac:dyDescent="0.25">
      <c r="A290">
        <v>305</v>
      </c>
      <c r="B290">
        <v>12966</v>
      </c>
      <c r="C290">
        <v>3741</v>
      </c>
      <c r="D290">
        <f t="shared" si="16"/>
        <v>16707</v>
      </c>
      <c r="E290" t="s">
        <v>29</v>
      </c>
      <c r="F290">
        <v>53</v>
      </c>
      <c r="G290" t="str" cm="1">
        <f t="array" ref="G290">_xlfn.IFS(F290&lt;25,"18-24",F290&lt;35,"25-35",F290&lt;45,"35-44",F290&lt;55,"44-54",F290&gt;=55,"55+")</f>
        <v>44-54</v>
      </c>
      <c r="H290" t="s">
        <v>30</v>
      </c>
      <c r="I290">
        <v>2</v>
      </c>
      <c r="J290" t="str" cm="1">
        <f t="array" ref="J290">_xlfn.IFS(I290&lt;=0,"No Dependents",I290&lt;=1,"One",I290&lt;=2,"Two",I290&gt;=3,"Third")</f>
        <v>Two</v>
      </c>
      <c r="K290">
        <v>636</v>
      </c>
      <c r="L290" t="str" cm="1">
        <f t="array" ref="L290">_xlfn.IFS(K290&lt;=580,"Poor",K290&lt;=670,"fair",K290&lt;=740,"Good",K290&lt;=800,"Very Good",K290&gt;=800,"Excellent")</f>
        <v>fair</v>
      </c>
      <c r="M290">
        <v>4</v>
      </c>
      <c r="N290" t="str">
        <f t="shared" si="17"/>
        <v>Yes</v>
      </c>
      <c r="O290">
        <v>0.14000000000000001</v>
      </c>
      <c r="P290" t="str" cm="1">
        <f t="array" ref="P290">_xlfn.IFS(O290&lt;=0.3,"Low Risk",O290&lt;=0.4,"medium Risk",O290&lt;=0.5,"High Risk",O290&gt;0.5,"Very High Risk")</f>
        <v>Low Risk</v>
      </c>
      <c r="Q290">
        <v>15732</v>
      </c>
      <c r="R290">
        <v>44440</v>
      </c>
      <c r="S290" t="str">
        <f t="shared" si="18"/>
        <v>Yes</v>
      </c>
      <c r="T290">
        <v>29490</v>
      </c>
      <c r="U290" t="str" cm="1">
        <f t="array" ref="U290">_xlfn.IFS(T290&lt;5000,"Small",T290&lt;20000,"Medium",T290&lt;35000,"Large",T290&gt;35000,"Very Large")</f>
        <v>Large</v>
      </c>
      <c r="V290">
        <v>48</v>
      </c>
      <c r="W290">
        <f t="shared" si="19"/>
        <v>4</v>
      </c>
      <c r="X290" t="s">
        <v>47</v>
      </c>
      <c r="Y290" t="s">
        <v>45</v>
      </c>
      <c r="Z290" t="s">
        <v>39</v>
      </c>
      <c r="AA290" t="s">
        <v>34</v>
      </c>
      <c r="AB290" t="s">
        <v>42</v>
      </c>
      <c r="AC290" t="s">
        <v>36</v>
      </c>
    </row>
    <row r="291" spans="1:29" x14ac:dyDescent="0.25">
      <c r="A291">
        <v>306</v>
      </c>
      <c r="B291">
        <v>2853</v>
      </c>
      <c r="C291">
        <v>9766</v>
      </c>
      <c r="D291">
        <f t="shared" si="16"/>
        <v>12619</v>
      </c>
      <c r="E291" t="s">
        <v>49</v>
      </c>
      <c r="F291">
        <v>25</v>
      </c>
      <c r="G291" t="str" cm="1">
        <f t="array" ref="G291">_xlfn.IFS(F291&lt;25,"18-24",F291&lt;35,"25-35",F291&lt;45,"35-44",F291&lt;55,"44-54",F291&gt;=55,"55+")</f>
        <v>25-35</v>
      </c>
      <c r="H291" t="s">
        <v>30</v>
      </c>
      <c r="I291">
        <v>1</v>
      </c>
      <c r="J291" t="str" cm="1">
        <f t="array" ref="J291">_xlfn.IFS(I291&lt;=0,"No Dependents",I291&lt;=1,"One",I291&lt;=2,"Two",I291&gt;=3,"Third")</f>
        <v>One</v>
      </c>
      <c r="K291">
        <v>795</v>
      </c>
      <c r="L291" t="str" cm="1">
        <f t="array" ref="L291">_xlfn.IFS(K291&lt;=580,"Poor",K291&lt;=670,"fair",K291&lt;=740,"Good",K291&lt;=800,"Very Good",K291&gt;=800,"Excellent")</f>
        <v>Very Good</v>
      </c>
      <c r="M291">
        <v>3</v>
      </c>
      <c r="N291" t="str">
        <f t="shared" si="17"/>
        <v>Yes</v>
      </c>
      <c r="O291">
        <v>0.32</v>
      </c>
      <c r="P291" t="str" cm="1">
        <f t="array" ref="P291">_xlfn.IFS(O291&lt;=0.3,"Low Risk",O291&lt;=0.4,"medium Risk",O291&lt;=0.5,"High Risk",O291&gt;0.5,"Very High Risk")</f>
        <v>medium Risk</v>
      </c>
      <c r="Q291">
        <v>18526</v>
      </c>
      <c r="R291">
        <v>31655</v>
      </c>
      <c r="S291" t="str">
        <f t="shared" si="18"/>
        <v>Yes</v>
      </c>
      <c r="T291">
        <v>0</v>
      </c>
      <c r="U291" t="str" cm="1">
        <f t="array" ref="U291">_xlfn.IFS(T291&lt;5000,"Small",T291&lt;20000,"Medium",T291&lt;35000,"Large",T291&gt;35000,"Very Large")</f>
        <v>Small</v>
      </c>
      <c r="V291">
        <v>72</v>
      </c>
      <c r="W291">
        <f t="shared" si="19"/>
        <v>6</v>
      </c>
      <c r="X291" t="s">
        <v>47</v>
      </c>
      <c r="Y291" t="s">
        <v>32</v>
      </c>
      <c r="Z291" t="s">
        <v>39</v>
      </c>
      <c r="AA291" t="s">
        <v>40</v>
      </c>
      <c r="AB291" t="s">
        <v>35</v>
      </c>
      <c r="AC291" t="s">
        <v>44</v>
      </c>
    </row>
    <row r="292" spans="1:29" x14ac:dyDescent="0.25">
      <c r="A292">
        <v>307</v>
      </c>
      <c r="B292">
        <v>0</v>
      </c>
      <c r="C292">
        <v>3998</v>
      </c>
      <c r="D292">
        <f t="shared" si="16"/>
        <v>3998</v>
      </c>
      <c r="E292" t="s">
        <v>29</v>
      </c>
      <c r="F292">
        <v>48</v>
      </c>
      <c r="G292" t="str" cm="1">
        <f t="array" ref="G292">_xlfn.IFS(F292&lt;25,"18-24",F292&lt;35,"25-35",F292&lt;45,"35-44",F292&lt;55,"44-54",F292&gt;=55,"55+")</f>
        <v>44-54</v>
      </c>
      <c r="H292" t="s">
        <v>30</v>
      </c>
      <c r="I292">
        <v>1</v>
      </c>
      <c r="J292" t="str" cm="1">
        <f t="array" ref="J292">_xlfn.IFS(I292&lt;=0,"No Dependents",I292&lt;=1,"One",I292&lt;=2,"Two",I292&gt;=3,"Third")</f>
        <v>One</v>
      </c>
      <c r="K292">
        <v>730</v>
      </c>
      <c r="L292" t="str" cm="1">
        <f t="array" ref="L292">_xlfn.IFS(K292&lt;=580,"Poor",K292&lt;=670,"fair",K292&lt;=740,"Good",K292&lt;=800,"Very Good",K292&gt;=800,"Excellent")</f>
        <v>Good</v>
      </c>
      <c r="M292">
        <v>1</v>
      </c>
      <c r="N292" t="str">
        <f t="shared" si="17"/>
        <v>Yes</v>
      </c>
      <c r="O292">
        <v>0.22</v>
      </c>
      <c r="P292" t="str" cm="1">
        <f t="array" ref="P292">_xlfn.IFS(O292&lt;=0.3,"Low Risk",O292&lt;=0.4,"medium Risk",O292&lt;=0.5,"High Risk",O292&gt;0.5,"Very High Risk")</f>
        <v>Low Risk</v>
      </c>
      <c r="Q292">
        <v>9340</v>
      </c>
      <c r="R292">
        <v>43039</v>
      </c>
      <c r="S292" t="str">
        <f t="shared" si="18"/>
        <v>Yes</v>
      </c>
      <c r="T292">
        <v>11456</v>
      </c>
      <c r="U292" t="str" cm="1">
        <f t="array" ref="U292">_xlfn.IFS(T292&lt;5000,"Small",T292&lt;20000,"Medium",T292&lt;35000,"Large",T292&gt;35000,"Very Large")</f>
        <v>Medium</v>
      </c>
      <c r="V292">
        <v>48</v>
      </c>
      <c r="W292">
        <f t="shared" si="19"/>
        <v>4</v>
      </c>
      <c r="X292" t="s">
        <v>42</v>
      </c>
      <c r="Y292" t="s">
        <v>45</v>
      </c>
      <c r="Z292" t="s">
        <v>39</v>
      </c>
      <c r="AA292" t="s">
        <v>34</v>
      </c>
      <c r="AB292" t="s">
        <v>35</v>
      </c>
      <c r="AC292" t="s">
        <v>44</v>
      </c>
    </row>
    <row r="293" spans="1:29" x14ac:dyDescent="0.25">
      <c r="A293">
        <v>308</v>
      </c>
      <c r="B293">
        <v>19532</v>
      </c>
      <c r="C293">
        <v>2403</v>
      </c>
      <c r="D293">
        <f t="shared" si="16"/>
        <v>21935</v>
      </c>
      <c r="E293" t="s">
        <v>29</v>
      </c>
      <c r="F293">
        <v>34</v>
      </c>
      <c r="G293" t="str" cm="1">
        <f t="array" ref="G293">_xlfn.IFS(F293&lt;25,"18-24",F293&lt;35,"25-35",F293&lt;45,"35-44",F293&lt;55,"44-54",F293&gt;=55,"55+")</f>
        <v>25-35</v>
      </c>
      <c r="H293" t="s">
        <v>30</v>
      </c>
      <c r="I293">
        <v>1</v>
      </c>
      <c r="J293" t="str" cm="1">
        <f t="array" ref="J293">_xlfn.IFS(I293&lt;=0,"No Dependents",I293&lt;=1,"One",I293&lt;=2,"Two",I293&gt;=3,"Third")</f>
        <v>One</v>
      </c>
      <c r="K293">
        <v>633</v>
      </c>
      <c r="L293" t="str" cm="1">
        <f t="array" ref="L293">_xlfn.IFS(K293&lt;=580,"Poor",K293&lt;=670,"fair",K293&lt;=740,"Good",K293&lt;=800,"Very Good",K293&gt;=800,"Excellent")</f>
        <v>fair</v>
      </c>
      <c r="M293">
        <v>0</v>
      </c>
      <c r="N293" t="str">
        <f t="shared" si="17"/>
        <v>No</v>
      </c>
      <c r="O293">
        <v>0.25</v>
      </c>
      <c r="P293" t="str" cm="1">
        <f t="array" ref="P293">_xlfn.IFS(O293&lt;=0.3,"Low Risk",O293&lt;=0.4,"medium Risk",O293&lt;=0.5,"High Risk",O293&gt;0.5,"Very High Risk")</f>
        <v>Low Risk</v>
      </c>
      <c r="Q293">
        <v>6184</v>
      </c>
      <c r="R293">
        <v>6683</v>
      </c>
      <c r="S293" t="str">
        <f t="shared" si="18"/>
        <v>Yes</v>
      </c>
      <c r="T293">
        <v>23320</v>
      </c>
      <c r="U293" t="str" cm="1">
        <f t="array" ref="U293">_xlfn.IFS(T293&lt;5000,"Small",T293&lt;20000,"Medium",T293&lt;35000,"Large",T293&gt;35000,"Very Large")</f>
        <v>Large</v>
      </c>
      <c r="V293">
        <v>72</v>
      </c>
      <c r="W293">
        <f t="shared" si="19"/>
        <v>6</v>
      </c>
      <c r="X293" t="s">
        <v>47</v>
      </c>
      <c r="Y293" t="s">
        <v>45</v>
      </c>
      <c r="Z293" t="s">
        <v>39</v>
      </c>
      <c r="AA293" t="s">
        <v>40</v>
      </c>
      <c r="AB293" t="s">
        <v>35</v>
      </c>
      <c r="AC293" t="s">
        <v>36</v>
      </c>
    </row>
    <row r="294" spans="1:29" x14ac:dyDescent="0.25">
      <c r="A294">
        <v>309</v>
      </c>
      <c r="B294">
        <v>11907</v>
      </c>
      <c r="C294">
        <v>8780</v>
      </c>
      <c r="D294">
        <f t="shared" si="16"/>
        <v>20687</v>
      </c>
      <c r="E294" t="s">
        <v>48</v>
      </c>
      <c r="F294">
        <v>25</v>
      </c>
      <c r="G294" t="str" cm="1">
        <f t="array" ref="G294">_xlfn.IFS(F294&lt;25,"18-24",F294&lt;35,"25-35",F294&lt;45,"35-44",F294&lt;55,"44-54",F294&gt;=55,"55+")</f>
        <v>25-35</v>
      </c>
      <c r="H294" t="s">
        <v>30</v>
      </c>
      <c r="I294">
        <v>1</v>
      </c>
      <c r="J294" t="str" cm="1">
        <f t="array" ref="J294">_xlfn.IFS(I294&lt;=0,"No Dependents",I294&lt;=1,"One",I294&lt;=2,"Two",I294&gt;=3,"Third")</f>
        <v>One</v>
      </c>
      <c r="K294">
        <v>756</v>
      </c>
      <c r="L294" t="str" cm="1">
        <f t="array" ref="L294">_xlfn.IFS(K294&lt;=580,"Poor",K294&lt;=670,"fair",K294&lt;=740,"Good",K294&lt;=800,"Very Good",K294&gt;=800,"Excellent")</f>
        <v>Very Good</v>
      </c>
      <c r="M294">
        <v>0</v>
      </c>
      <c r="N294" t="str">
        <f t="shared" si="17"/>
        <v>No</v>
      </c>
      <c r="O294">
        <v>0.49</v>
      </c>
      <c r="P294" t="str" cm="1">
        <f t="array" ref="P294">_xlfn.IFS(O294&lt;=0.3,"Low Risk",O294&lt;=0.4,"medium Risk",O294&lt;=0.5,"High Risk",O294&gt;0.5,"Very High Risk")</f>
        <v>High Risk</v>
      </c>
      <c r="Q294">
        <v>253</v>
      </c>
      <c r="R294">
        <v>11244</v>
      </c>
      <c r="S294" t="str">
        <f t="shared" si="18"/>
        <v>Yes</v>
      </c>
      <c r="T294">
        <v>14435</v>
      </c>
      <c r="U294" t="str" cm="1">
        <f t="array" ref="U294">_xlfn.IFS(T294&lt;5000,"Small",T294&lt;20000,"Medium",T294&lt;35000,"Large",T294&gt;35000,"Very Large")</f>
        <v>Medium</v>
      </c>
      <c r="V294">
        <v>48</v>
      </c>
      <c r="W294">
        <f t="shared" si="19"/>
        <v>4</v>
      </c>
      <c r="X294" t="s">
        <v>31</v>
      </c>
      <c r="Y294" t="s">
        <v>45</v>
      </c>
      <c r="Z294" t="s">
        <v>39</v>
      </c>
      <c r="AA294" t="s">
        <v>40</v>
      </c>
      <c r="AB294" t="s">
        <v>43</v>
      </c>
      <c r="AC294" t="s">
        <v>36</v>
      </c>
    </row>
    <row r="295" spans="1:29" x14ac:dyDescent="0.25">
      <c r="A295">
        <v>310</v>
      </c>
      <c r="B295">
        <v>6777</v>
      </c>
      <c r="C295">
        <v>9739</v>
      </c>
      <c r="D295">
        <f t="shared" si="16"/>
        <v>16516</v>
      </c>
      <c r="E295" t="s">
        <v>49</v>
      </c>
      <c r="F295">
        <v>53</v>
      </c>
      <c r="G295" t="str" cm="1">
        <f t="array" ref="G295">_xlfn.IFS(F295&lt;25,"18-24",F295&lt;35,"25-35",F295&lt;45,"35-44",F295&lt;55,"44-54",F295&gt;=55,"55+")</f>
        <v>44-54</v>
      </c>
      <c r="H295" t="s">
        <v>41</v>
      </c>
      <c r="I295">
        <v>3</v>
      </c>
      <c r="J295" t="str" cm="1">
        <f t="array" ref="J295">_xlfn.IFS(I295&lt;=0,"No Dependents",I295&lt;=1,"One",I295&lt;=2,"Two",I295&gt;=3,"Third")</f>
        <v>Third</v>
      </c>
      <c r="K295">
        <v>700</v>
      </c>
      <c r="L295" t="str" cm="1">
        <f t="array" ref="L295">_xlfn.IFS(K295&lt;=580,"Poor",K295&lt;=670,"fair",K295&lt;=740,"Good",K295&lt;=800,"Very Good",K295&gt;=800,"Excellent")</f>
        <v>Good</v>
      </c>
      <c r="M295">
        <v>2</v>
      </c>
      <c r="N295" t="str">
        <f t="shared" si="17"/>
        <v>Yes</v>
      </c>
      <c r="O295">
        <v>0.14000000000000001</v>
      </c>
      <c r="P295" t="str" cm="1">
        <f t="array" ref="P295">_xlfn.IFS(O295&lt;=0.3,"Low Risk",O295&lt;=0.4,"medium Risk",O295&lt;=0.5,"High Risk",O295&gt;0.5,"Very High Risk")</f>
        <v>Low Risk</v>
      </c>
      <c r="Q295">
        <v>4102</v>
      </c>
      <c r="R295">
        <v>29058</v>
      </c>
      <c r="S295" t="str">
        <f t="shared" si="18"/>
        <v>Yes</v>
      </c>
      <c r="T295">
        <v>28025</v>
      </c>
      <c r="U295" t="str" cm="1">
        <f t="array" ref="U295">_xlfn.IFS(T295&lt;5000,"Small",T295&lt;20000,"Medium",T295&lt;35000,"Large",T295&gt;35000,"Very Large")</f>
        <v>Large</v>
      </c>
      <c r="V295">
        <v>84</v>
      </c>
      <c r="W295">
        <f t="shared" si="19"/>
        <v>7</v>
      </c>
      <c r="X295" t="s">
        <v>37</v>
      </c>
      <c r="Y295" t="s">
        <v>32</v>
      </c>
      <c r="Z295" t="s">
        <v>33</v>
      </c>
      <c r="AA295" t="s">
        <v>34</v>
      </c>
      <c r="AB295" t="s">
        <v>35</v>
      </c>
      <c r="AC295" t="s">
        <v>44</v>
      </c>
    </row>
    <row r="296" spans="1:29" x14ac:dyDescent="0.25">
      <c r="A296">
        <v>311</v>
      </c>
      <c r="B296">
        <v>0</v>
      </c>
      <c r="C296">
        <v>294</v>
      </c>
      <c r="D296">
        <f t="shared" si="16"/>
        <v>294</v>
      </c>
      <c r="E296" t="s">
        <v>29</v>
      </c>
      <c r="F296">
        <v>39</v>
      </c>
      <c r="G296" t="str" cm="1">
        <f t="array" ref="G296">_xlfn.IFS(F296&lt;25,"18-24",F296&lt;35,"25-35",F296&lt;45,"35-44",F296&lt;55,"44-54",F296&gt;=55,"55+")</f>
        <v>35-44</v>
      </c>
      <c r="H296" t="s">
        <v>41</v>
      </c>
      <c r="I296">
        <v>2</v>
      </c>
      <c r="J296" t="str" cm="1">
        <f t="array" ref="J296">_xlfn.IFS(I296&lt;=0,"No Dependents",I296&lt;=1,"One",I296&lt;=2,"Two",I296&gt;=3,"Third")</f>
        <v>Two</v>
      </c>
      <c r="K296">
        <v>705</v>
      </c>
      <c r="L296" t="str" cm="1">
        <f t="array" ref="L296">_xlfn.IFS(K296&lt;=580,"Poor",K296&lt;=670,"fair",K296&lt;=740,"Good",K296&lt;=800,"Very Good",K296&gt;=800,"Excellent")</f>
        <v>Good</v>
      </c>
      <c r="M296">
        <v>3</v>
      </c>
      <c r="N296" t="str">
        <f t="shared" si="17"/>
        <v>Yes</v>
      </c>
      <c r="O296">
        <v>0.35</v>
      </c>
      <c r="P296" t="str" cm="1">
        <f t="array" ref="P296">_xlfn.IFS(O296&lt;=0.3,"Low Risk",O296&lt;=0.4,"medium Risk",O296&lt;=0.5,"High Risk",O296&gt;0.5,"Very High Risk")</f>
        <v>medium Risk</v>
      </c>
      <c r="Q296">
        <v>3542</v>
      </c>
      <c r="R296">
        <v>39551</v>
      </c>
      <c r="S296" t="str">
        <f t="shared" si="18"/>
        <v>Yes</v>
      </c>
      <c r="T296">
        <v>29109</v>
      </c>
      <c r="U296" t="str" cm="1">
        <f t="array" ref="U296">_xlfn.IFS(T296&lt;5000,"Small",T296&lt;20000,"Medium",T296&lt;35000,"Large",T296&gt;35000,"Very Large")</f>
        <v>Large</v>
      </c>
      <c r="V296">
        <v>12</v>
      </c>
      <c r="W296">
        <f t="shared" si="19"/>
        <v>1</v>
      </c>
      <c r="X296" t="s">
        <v>37</v>
      </c>
      <c r="Y296" t="s">
        <v>32</v>
      </c>
      <c r="Z296" t="s">
        <v>39</v>
      </c>
      <c r="AA296" t="s">
        <v>40</v>
      </c>
      <c r="AB296" t="s">
        <v>43</v>
      </c>
      <c r="AC296" t="s">
        <v>36</v>
      </c>
    </row>
    <row r="297" spans="1:29" x14ac:dyDescent="0.25">
      <c r="A297">
        <v>312</v>
      </c>
      <c r="B297">
        <v>4491</v>
      </c>
      <c r="C297">
        <v>0</v>
      </c>
      <c r="D297">
        <f t="shared" si="16"/>
        <v>4491</v>
      </c>
      <c r="E297" t="s">
        <v>29</v>
      </c>
      <c r="F297">
        <v>40</v>
      </c>
      <c r="G297" t="str" cm="1">
        <f t="array" ref="G297">_xlfn.IFS(F297&lt;25,"18-24",F297&lt;35,"25-35",F297&lt;45,"35-44",F297&lt;55,"44-54",F297&gt;=55,"55+")</f>
        <v>35-44</v>
      </c>
      <c r="H297" t="s">
        <v>30</v>
      </c>
      <c r="I297">
        <v>2</v>
      </c>
      <c r="J297" t="str" cm="1">
        <f t="array" ref="J297">_xlfn.IFS(I297&lt;=0,"No Dependents",I297&lt;=1,"One",I297&lt;=2,"Two",I297&gt;=3,"Third")</f>
        <v>Two</v>
      </c>
      <c r="K297">
        <v>565</v>
      </c>
      <c r="L297" t="str" cm="1">
        <f t="array" ref="L297">_xlfn.IFS(K297&lt;=580,"Poor",K297&lt;=670,"fair",K297&lt;=740,"Good",K297&lt;=800,"Very Good",K297&gt;=800,"Excellent")</f>
        <v>Poor</v>
      </c>
      <c r="M297">
        <v>0</v>
      </c>
      <c r="N297" t="str">
        <f t="shared" si="17"/>
        <v>No</v>
      </c>
      <c r="O297">
        <v>0.31</v>
      </c>
      <c r="P297" t="str" cm="1">
        <f t="array" ref="P297">_xlfn.IFS(O297&lt;=0.3,"Low Risk",O297&lt;=0.4,"medium Risk",O297&lt;=0.5,"High Risk",O297&gt;0.5,"Very High Risk")</f>
        <v>medium Risk</v>
      </c>
      <c r="Q297">
        <v>19159</v>
      </c>
      <c r="R297">
        <v>38362</v>
      </c>
      <c r="S297" t="str">
        <f t="shared" si="18"/>
        <v>Yes</v>
      </c>
      <c r="T297">
        <v>21754</v>
      </c>
      <c r="U297" t="str" cm="1">
        <f t="array" ref="U297">_xlfn.IFS(T297&lt;5000,"Small",T297&lt;20000,"Medium",T297&lt;35000,"Large",T297&gt;35000,"Very Large")</f>
        <v>Large</v>
      </c>
      <c r="V297">
        <v>72</v>
      </c>
      <c r="W297">
        <f t="shared" si="19"/>
        <v>6</v>
      </c>
      <c r="X297" t="s">
        <v>50</v>
      </c>
      <c r="Y297" t="s">
        <v>32</v>
      </c>
      <c r="Z297" t="s">
        <v>39</v>
      </c>
      <c r="AA297" t="s">
        <v>40</v>
      </c>
      <c r="AB297" t="s">
        <v>35</v>
      </c>
      <c r="AC297" t="s">
        <v>36</v>
      </c>
    </row>
    <row r="298" spans="1:29" x14ac:dyDescent="0.25">
      <c r="A298">
        <v>313</v>
      </c>
      <c r="B298">
        <v>0</v>
      </c>
      <c r="C298">
        <v>9882</v>
      </c>
      <c r="D298">
        <f t="shared" si="16"/>
        <v>9882</v>
      </c>
      <c r="E298" t="s">
        <v>49</v>
      </c>
      <c r="F298">
        <v>25</v>
      </c>
      <c r="G298" t="str" cm="1">
        <f t="array" ref="G298">_xlfn.IFS(F298&lt;25,"18-24",F298&lt;35,"25-35",F298&lt;45,"35-44",F298&lt;55,"44-54",F298&gt;=55,"55+")</f>
        <v>25-35</v>
      </c>
      <c r="H298" t="s">
        <v>41</v>
      </c>
      <c r="I298">
        <v>0</v>
      </c>
      <c r="J298" t="str" cm="1">
        <f t="array" ref="J298">_xlfn.IFS(I298&lt;=0,"No Dependents",I298&lt;=1,"One",I298&lt;=2,"Two",I298&gt;=3,"Third")</f>
        <v>No Dependents</v>
      </c>
      <c r="K298">
        <v>714</v>
      </c>
      <c r="L298" t="str" cm="1">
        <f t="array" ref="L298">_xlfn.IFS(K298&lt;=580,"Poor",K298&lt;=670,"fair",K298&lt;=740,"Good",K298&lt;=800,"Very Good",K298&gt;=800,"Excellent")</f>
        <v>Good</v>
      </c>
      <c r="M298">
        <v>2</v>
      </c>
      <c r="N298" t="str">
        <f t="shared" si="17"/>
        <v>Yes</v>
      </c>
      <c r="O298">
        <v>0.4</v>
      </c>
      <c r="P298" t="str" cm="1">
        <f t="array" ref="P298">_xlfn.IFS(O298&lt;=0.3,"Low Risk",O298&lt;=0.4,"medium Risk",O298&lt;=0.5,"High Risk",O298&gt;0.5,"Very High Risk")</f>
        <v>medium Risk</v>
      </c>
      <c r="Q298">
        <v>6212</v>
      </c>
      <c r="R298">
        <v>28371</v>
      </c>
      <c r="S298" t="str">
        <f t="shared" si="18"/>
        <v>Yes</v>
      </c>
      <c r="T298">
        <v>5301</v>
      </c>
      <c r="U298" t="str" cm="1">
        <f t="array" ref="U298">_xlfn.IFS(T298&lt;5000,"Small",T298&lt;20000,"Medium",T298&lt;35000,"Large",T298&gt;35000,"Very Large")</f>
        <v>Medium</v>
      </c>
      <c r="V298">
        <v>36</v>
      </c>
      <c r="W298">
        <f t="shared" si="19"/>
        <v>3</v>
      </c>
      <c r="X298" t="s">
        <v>37</v>
      </c>
      <c r="Y298" t="s">
        <v>38</v>
      </c>
      <c r="Z298" t="s">
        <v>39</v>
      </c>
      <c r="AA298" t="s">
        <v>34</v>
      </c>
      <c r="AB298" t="s">
        <v>43</v>
      </c>
      <c r="AC298" t="s">
        <v>36</v>
      </c>
    </row>
    <row r="299" spans="1:29" x14ac:dyDescent="0.25">
      <c r="A299">
        <v>314</v>
      </c>
      <c r="B299">
        <v>16599</v>
      </c>
      <c r="C299">
        <v>1136</v>
      </c>
      <c r="D299">
        <f t="shared" si="16"/>
        <v>17735</v>
      </c>
      <c r="E299" t="s">
        <v>46</v>
      </c>
      <c r="F299">
        <v>22</v>
      </c>
      <c r="G299" t="str" cm="1">
        <f t="array" ref="G299">_xlfn.IFS(F299&lt;25,"18-24",F299&lt;35,"25-35",F299&lt;45,"35-44",F299&lt;55,"44-54",F299&gt;=55,"55+")</f>
        <v>18-24</v>
      </c>
      <c r="H299" t="s">
        <v>30</v>
      </c>
      <c r="I299">
        <v>1</v>
      </c>
      <c r="J299" t="str" cm="1">
        <f t="array" ref="J299">_xlfn.IFS(I299&lt;=0,"No Dependents",I299&lt;=1,"One",I299&lt;=2,"Two",I299&gt;=3,"Third")</f>
        <v>One</v>
      </c>
      <c r="K299">
        <v>698</v>
      </c>
      <c r="L299" t="str" cm="1">
        <f t="array" ref="L299">_xlfn.IFS(K299&lt;=580,"Poor",K299&lt;=670,"fair",K299&lt;=740,"Good",K299&lt;=800,"Very Good",K299&gt;=800,"Excellent")</f>
        <v>Good</v>
      </c>
      <c r="M299">
        <v>4</v>
      </c>
      <c r="N299" t="str">
        <f t="shared" si="17"/>
        <v>Yes</v>
      </c>
      <c r="O299">
        <v>0.14000000000000001</v>
      </c>
      <c r="P299" t="str" cm="1">
        <f t="array" ref="P299">_xlfn.IFS(O299&lt;=0.3,"Low Risk",O299&lt;=0.4,"medium Risk",O299&lt;=0.5,"High Risk",O299&gt;0.5,"Very High Risk")</f>
        <v>Low Risk</v>
      </c>
      <c r="Q299">
        <v>4637</v>
      </c>
      <c r="R299">
        <v>3822</v>
      </c>
      <c r="S299" t="str">
        <f t="shared" si="18"/>
        <v>Yes</v>
      </c>
      <c r="T299">
        <v>8207</v>
      </c>
      <c r="U299" t="str" cm="1">
        <f t="array" ref="U299">_xlfn.IFS(T299&lt;5000,"Small",T299&lt;20000,"Medium",T299&lt;35000,"Large",T299&gt;35000,"Very Large")</f>
        <v>Medium</v>
      </c>
      <c r="V299">
        <v>72</v>
      </c>
      <c r="W299">
        <f t="shared" si="19"/>
        <v>6</v>
      </c>
      <c r="X299" t="s">
        <v>42</v>
      </c>
      <c r="Y299" t="s">
        <v>32</v>
      </c>
      <c r="Z299" t="s">
        <v>39</v>
      </c>
      <c r="AA299" t="s">
        <v>40</v>
      </c>
      <c r="AB299" t="s">
        <v>35</v>
      </c>
      <c r="AC299" t="s">
        <v>44</v>
      </c>
    </row>
    <row r="300" spans="1:29" x14ac:dyDescent="0.25">
      <c r="A300">
        <v>315</v>
      </c>
      <c r="B300">
        <v>5051</v>
      </c>
      <c r="C300">
        <v>2064</v>
      </c>
      <c r="D300">
        <f t="shared" si="16"/>
        <v>7115</v>
      </c>
      <c r="E300" t="s">
        <v>49</v>
      </c>
      <c r="F300">
        <v>50</v>
      </c>
      <c r="G300" t="str" cm="1">
        <f t="array" ref="G300">_xlfn.IFS(F300&lt;25,"18-24",F300&lt;35,"25-35",F300&lt;45,"35-44",F300&lt;55,"44-54",F300&gt;=55,"55+")</f>
        <v>44-54</v>
      </c>
      <c r="H300" t="s">
        <v>41</v>
      </c>
      <c r="I300">
        <v>1</v>
      </c>
      <c r="J300" t="str" cm="1">
        <f t="array" ref="J300">_xlfn.IFS(I300&lt;=0,"No Dependents",I300&lt;=1,"One",I300&lt;=2,"Two",I300&gt;=3,"Third")</f>
        <v>One</v>
      </c>
      <c r="K300">
        <v>756</v>
      </c>
      <c r="L300" t="str" cm="1">
        <f t="array" ref="L300">_xlfn.IFS(K300&lt;=580,"Poor",K300&lt;=670,"fair",K300&lt;=740,"Good",K300&lt;=800,"Very Good",K300&gt;=800,"Excellent")</f>
        <v>Very Good</v>
      </c>
      <c r="M300">
        <v>2</v>
      </c>
      <c r="N300" t="str">
        <f t="shared" si="17"/>
        <v>Yes</v>
      </c>
      <c r="O300">
        <v>0.35</v>
      </c>
      <c r="P300" t="str" cm="1">
        <f t="array" ref="P300">_xlfn.IFS(O300&lt;=0.3,"Low Risk",O300&lt;=0.4,"medium Risk",O300&lt;=0.5,"High Risk",O300&gt;0.5,"Very High Risk")</f>
        <v>medium Risk</v>
      </c>
      <c r="Q300">
        <v>11525</v>
      </c>
      <c r="R300">
        <v>28878</v>
      </c>
      <c r="S300" t="str">
        <f t="shared" si="18"/>
        <v>Yes</v>
      </c>
      <c r="T300">
        <v>28920</v>
      </c>
      <c r="U300" t="str" cm="1">
        <f t="array" ref="U300">_xlfn.IFS(T300&lt;5000,"Small",T300&lt;20000,"Medium",T300&lt;35000,"Large",T300&gt;35000,"Very Large")</f>
        <v>Large</v>
      </c>
      <c r="V300">
        <v>12</v>
      </c>
      <c r="W300">
        <f t="shared" si="19"/>
        <v>1</v>
      </c>
      <c r="X300" t="s">
        <v>31</v>
      </c>
      <c r="Y300" t="s">
        <v>38</v>
      </c>
      <c r="Z300" t="s">
        <v>39</v>
      </c>
      <c r="AA300" t="s">
        <v>40</v>
      </c>
      <c r="AB300" t="s">
        <v>42</v>
      </c>
      <c r="AC300" t="s">
        <v>36</v>
      </c>
    </row>
    <row r="301" spans="1:29" x14ac:dyDescent="0.25">
      <c r="A301">
        <v>316</v>
      </c>
      <c r="B301">
        <v>17979</v>
      </c>
      <c r="C301">
        <v>7009</v>
      </c>
      <c r="D301">
        <f t="shared" si="16"/>
        <v>24988</v>
      </c>
      <c r="E301" t="s">
        <v>49</v>
      </c>
      <c r="F301">
        <v>59</v>
      </c>
      <c r="G301" t="str" cm="1">
        <f t="array" ref="G301">_xlfn.IFS(F301&lt;25,"18-24",F301&lt;35,"25-35",F301&lt;45,"35-44",F301&lt;55,"44-54",F301&gt;=55,"55+")</f>
        <v>55+</v>
      </c>
      <c r="H301" t="s">
        <v>41</v>
      </c>
      <c r="I301">
        <v>2</v>
      </c>
      <c r="J301" t="str" cm="1">
        <f t="array" ref="J301">_xlfn.IFS(I301&lt;=0,"No Dependents",I301&lt;=1,"One",I301&lt;=2,"Two",I301&gt;=3,"Third")</f>
        <v>Two</v>
      </c>
      <c r="K301">
        <v>694</v>
      </c>
      <c r="L301" t="str" cm="1">
        <f t="array" ref="L301">_xlfn.IFS(K301&lt;=580,"Poor",K301&lt;=670,"fair",K301&lt;=740,"Good",K301&lt;=800,"Very Good",K301&gt;=800,"Excellent")</f>
        <v>Good</v>
      </c>
      <c r="M301">
        <v>2</v>
      </c>
      <c r="N301" t="str">
        <f t="shared" si="17"/>
        <v>Yes</v>
      </c>
      <c r="O301">
        <v>0.14000000000000001</v>
      </c>
      <c r="P301" t="str" cm="1">
        <f t="array" ref="P301">_xlfn.IFS(O301&lt;=0.3,"Low Risk",O301&lt;=0.4,"medium Risk",O301&lt;=0.5,"High Risk",O301&gt;0.5,"Very High Risk")</f>
        <v>Low Risk</v>
      </c>
      <c r="Q301">
        <v>11471</v>
      </c>
      <c r="R301">
        <v>36157</v>
      </c>
      <c r="S301" t="str">
        <f t="shared" si="18"/>
        <v>Yes</v>
      </c>
      <c r="T301">
        <v>23203</v>
      </c>
      <c r="U301" t="str" cm="1">
        <f t="array" ref="U301">_xlfn.IFS(T301&lt;5000,"Small",T301&lt;20000,"Medium",T301&lt;35000,"Large",T301&gt;35000,"Very Large")</f>
        <v>Large</v>
      </c>
      <c r="V301">
        <v>24</v>
      </c>
      <c r="W301">
        <f t="shared" si="19"/>
        <v>2</v>
      </c>
      <c r="X301" t="s">
        <v>50</v>
      </c>
      <c r="Y301" t="s">
        <v>45</v>
      </c>
      <c r="Z301" t="s">
        <v>39</v>
      </c>
      <c r="AA301" t="s">
        <v>40</v>
      </c>
      <c r="AB301" t="s">
        <v>35</v>
      </c>
      <c r="AC301" t="s">
        <v>44</v>
      </c>
    </row>
    <row r="302" spans="1:29" x14ac:dyDescent="0.25">
      <c r="A302">
        <v>317</v>
      </c>
      <c r="B302">
        <v>18388</v>
      </c>
      <c r="C302">
        <v>4543</v>
      </c>
      <c r="D302">
        <f t="shared" si="16"/>
        <v>22931</v>
      </c>
      <c r="E302" t="s">
        <v>29</v>
      </c>
      <c r="F302">
        <v>24</v>
      </c>
      <c r="G302" t="str" cm="1">
        <f t="array" ref="G302">_xlfn.IFS(F302&lt;25,"18-24",F302&lt;35,"25-35",F302&lt;45,"35-44",F302&lt;55,"44-54",F302&gt;=55,"55+")</f>
        <v>18-24</v>
      </c>
      <c r="H302" t="s">
        <v>41</v>
      </c>
      <c r="I302">
        <v>3</v>
      </c>
      <c r="J302" t="str" cm="1">
        <f t="array" ref="J302">_xlfn.IFS(I302&lt;=0,"No Dependents",I302&lt;=1,"One",I302&lt;=2,"Two",I302&gt;=3,"Third")</f>
        <v>Third</v>
      </c>
      <c r="K302">
        <v>791</v>
      </c>
      <c r="L302" t="str" cm="1">
        <f t="array" ref="L302">_xlfn.IFS(K302&lt;=580,"Poor",K302&lt;=670,"fair",K302&lt;=740,"Good",K302&lt;=800,"Very Good",K302&gt;=800,"Excellent")</f>
        <v>Very Good</v>
      </c>
      <c r="M302">
        <v>2</v>
      </c>
      <c r="N302" t="str">
        <f t="shared" si="17"/>
        <v>Yes</v>
      </c>
      <c r="O302">
        <v>0.57999999999999996</v>
      </c>
      <c r="P302" t="str" cm="1">
        <f t="array" ref="P302">_xlfn.IFS(O302&lt;=0.3,"Low Risk",O302&lt;=0.4,"medium Risk",O302&lt;=0.5,"High Risk",O302&gt;0.5,"Very High Risk")</f>
        <v>Very High Risk</v>
      </c>
      <c r="Q302">
        <v>12500</v>
      </c>
      <c r="R302">
        <v>5914</v>
      </c>
      <c r="S302" t="str">
        <f t="shared" si="18"/>
        <v>Yes</v>
      </c>
      <c r="T302">
        <v>22545</v>
      </c>
      <c r="U302" t="str" cm="1">
        <f t="array" ref="U302">_xlfn.IFS(T302&lt;5000,"Small",T302&lt;20000,"Medium",T302&lt;35000,"Large",T302&gt;35000,"Very Large")</f>
        <v>Large</v>
      </c>
      <c r="V302">
        <v>24</v>
      </c>
      <c r="W302">
        <f t="shared" si="19"/>
        <v>2</v>
      </c>
      <c r="X302" t="s">
        <v>42</v>
      </c>
      <c r="Y302" t="s">
        <v>38</v>
      </c>
      <c r="Z302" t="s">
        <v>39</v>
      </c>
      <c r="AA302" t="s">
        <v>40</v>
      </c>
      <c r="AB302" t="s">
        <v>35</v>
      </c>
      <c r="AC302" t="s">
        <v>36</v>
      </c>
    </row>
    <row r="303" spans="1:29" x14ac:dyDescent="0.25">
      <c r="A303">
        <v>318</v>
      </c>
      <c r="B303">
        <v>2876</v>
      </c>
      <c r="C303">
        <v>1007</v>
      </c>
      <c r="D303">
        <f t="shared" si="16"/>
        <v>3883</v>
      </c>
      <c r="E303" t="s">
        <v>29</v>
      </c>
      <c r="F303">
        <v>53</v>
      </c>
      <c r="G303" t="str" cm="1">
        <f t="array" ref="G303">_xlfn.IFS(F303&lt;25,"18-24",F303&lt;35,"25-35",F303&lt;45,"35-44",F303&lt;55,"44-54",F303&gt;=55,"55+")</f>
        <v>44-54</v>
      </c>
      <c r="H303" t="s">
        <v>30</v>
      </c>
      <c r="I303">
        <v>1</v>
      </c>
      <c r="J303" t="str" cm="1">
        <f t="array" ref="J303">_xlfn.IFS(I303&lt;=0,"No Dependents",I303&lt;=1,"One",I303&lt;=2,"Two",I303&gt;=3,"Third")</f>
        <v>One</v>
      </c>
      <c r="K303">
        <v>586</v>
      </c>
      <c r="L303" t="str" cm="1">
        <f t="array" ref="L303">_xlfn.IFS(K303&lt;=580,"Poor",K303&lt;=670,"fair",K303&lt;=740,"Good",K303&lt;=800,"Very Good",K303&gt;=800,"Excellent")</f>
        <v>fair</v>
      </c>
      <c r="M303">
        <v>1</v>
      </c>
      <c r="N303" t="str">
        <f t="shared" si="17"/>
        <v>Yes</v>
      </c>
      <c r="O303">
        <v>0.5</v>
      </c>
      <c r="P303" t="str" cm="1">
        <f t="array" ref="P303">_xlfn.IFS(O303&lt;=0.3,"Low Risk",O303&lt;=0.4,"medium Risk",O303&lt;=0.5,"High Risk",O303&gt;0.5,"Very High Risk")</f>
        <v>High Risk</v>
      </c>
      <c r="Q303">
        <v>15247</v>
      </c>
      <c r="R303">
        <v>18164</v>
      </c>
      <c r="S303" t="str">
        <f t="shared" si="18"/>
        <v>Yes</v>
      </c>
      <c r="T303">
        <v>25016</v>
      </c>
      <c r="U303" t="str" cm="1">
        <f t="array" ref="U303">_xlfn.IFS(T303&lt;5000,"Small",T303&lt;20000,"Medium",T303&lt;35000,"Large",T303&gt;35000,"Very Large")</f>
        <v>Large</v>
      </c>
      <c r="V303">
        <v>72</v>
      </c>
      <c r="W303">
        <f t="shared" si="19"/>
        <v>6</v>
      </c>
      <c r="X303" t="s">
        <v>42</v>
      </c>
      <c r="Y303" t="s">
        <v>32</v>
      </c>
      <c r="Z303" t="s">
        <v>39</v>
      </c>
      <c r="AA303" t="s">
        <v>40</v>
      </c>
      <c r="AB303" t="s">
        <v>43</v>
      </c>
      <c r="AC303" t="s">
        <v>36</v>
      </c>
    </row>
    <row r="304" spans="1:29" x14ac:dyDescent="0.25">
      <c r="A304">
        <v>319</v>
      </c>
      <c r="B304">
        <v>6142</v>
      </c>
      <c r="C304">
        <v>5445</v>
      </c>
      <c r="D304">
        <f t="shared" si="16"/>
        <v>11587</v>
      </c>
      <c r="E304" t="s">
        <v>46</v>
      </c>
      <c r="F304">
        <v>33</v>
      </c>
      <c r="G304" t="str" cm="1">
        <f t="array" ref="G304">_xlfn.IFS(F304&lt;25,"18-24",F304&lt;35,"25-35",F304&lt;45,"35-44",F304&lt;55,"44-54",F304&gt;=55,"55+")</f>
        <v>25-35</v>
      </c>
      <c r="H304" t="s">
        <v>41</v>
      </c>
      <c r="I304">
        <v>1</v>
      </c>
      <c r="J304" t="str" cm="1">
        <f t="array" ref="J304">_xlfn.IFS(I304&lt;=0,"No Dependents",I304&lt;=1,"One",I304&lt;=2,"Two",I304&gt;=3,"Third")</f>
        <v>One</v>
      </c>
      <c r="K304">
        <v>550</v>
      </c>
      <c r="L304" t="str" cm="1">
        <f t="array" ref="L304">_xlfn.IFS(K304&lt;=580,"Poor",K304&lt;=670,"fair",K304&lt;=740,"Good",K304&lt;=800,"Very Good",K304&gt;=800,"Excellent")</f>
        <v>Poor</v>
      </c>
      <c r="M304">
        <v>2</v>
      </c>
      <c r="N304" t="str">
        <f t="shared" si="17"/>
        <v>Yes</v>
      </c>
      <c r="O304">
        <v>0.33</v>
      </c>
      <c r="P304" t="str" cm="1">
        <f t="array" ref="P304">_xlfn.IFS(O304&lt;=0.3,"Low Risk",O304&lt;=0.4,"medium Risk",O304&lt;=0.5,"High Risk",O304&gt;0.5,"Very High Risk")</f>
        <v>medium Risk</v>
      </c>
      <c r="Q304">
        <v>10532</v>
      </c>
      <c r="R304">
        <v>27180</v>
      </c>
      <c r="S304" t="str">
        <f t="shared" si="18"/>
        <v>Yes</v>
      </c>
      <c r="T304">
        <v>32098</v>
      </c>
      <c r="U304" t="str" cm="1">
        <f t="array" ref="U304">_xlfn.IFS(T304&lt;5000,"Small",T304&lt;20000,"Medium",T304&lt;35000,"Large",T304&gt;35000,"Very Large")</f>
        <v>Large</v>
      </c>
      <c r="V304">
        <v>72</v>
      </c>
      <c r="W304">
        <f t="shared" si="19"/>
        <v>6</v>
      </c>
      <c r="X304" t="s">
        <v>42</v>
      </c>
      <c r="Y304" t="s">
        <v>32</v>
      </c>
      <c r="Z304" t="s">
        <v>33</v>
      </c>
      <c r="AA304" t="s">
        <v>40</v>
      </c>
      <c r="AB304" t="s">
        <v>35</v>
      </c>
      <c r="AC304" t="s">
        <v>36</v>
      </c>
    </row>
    <row r="305" spans="1:29" x14ac:dyDescent="0.25">
      <c r="A305">
        <v>320</v>
      </c>
      <c r="B305">
        <v>17202</v>
      </c>
      <c r="C305">
        <v>5352</v>
      </c>
      <c r="D305">
        <f t="shared" si="16"/>
        <v>22554</v>
      </c>
      <c r="E305" t="s">
        <v>29</v>
      </c>
      <c r="F305">
        <v>40</v>
      </c>
      <c r="G305" t="str" cm="1">
        <f t="array" ref="G305">_xlfn.IFS(F305&lt;25,"18-24",F305&lt;35,"25-35",F305&lt;45,"35-44",F305&lt;55,"44-54",F305&gt;=55,"55+")</f>
        <v>35-44</v>
      </c>
      <c r="H305" t="s">
        <v>30</v>
      </c>
      <c r="I305">
        <v>0</v>
      </c>
      <c r="J305" t="str" cm="1">
        <f t="array" ref="J305">_xlfn.IFS(I305&lt;=0,"No Dependents",I305&lt;=1,"One",I305&lt;=2,"Two",I305&gt;=3,"Third")</f>
        <v>No Dependents</v>
      </c>
      <c r="K305">
        <v>696</v>
      </c>
      <c r="L305" t="str" cm="1">
        <f t="array" ref="L305">_xlfn.IFS(K305&lt;=580,"Poor",K305&lt;=670,"fair",K305&lt;=740,"Good",K305&lt;=800,"Very Good",K305&gt;=800,"Excellent")</f>
        <v>Good</v>
      </c>
      <c r="M305">
        <v>2</v>
      </c>
      <c r="N305" t="str">
        <f t="shared" si="17"/>
        <v>Yes</v>
      </c>
      <c r="O305">
        <v>0.21</v>
      </c>
      <c r="P305" t="str" cm="1">
        <f t="array" ref="P305">_xlfn.IFS(O305&lt;=0.3,"Low Risk",O305&lt;=0.4,"medium Risk",O305&lt;=0.5,"High Risk",O305&gt;0.5,"Very High Risk")</f>
        <v>Low Risk</v>
      </c>
      <c r="Q305">
        <v>13518</v>
      </c>
      <c r="R305">
        <v>3688</v>
      </c>
      <c r="S305" t="str">
        <f t="shared" si="18"/>
        <v>Yes</v>
      </c>
      <c r="T305">
        <v>9556</v>
      </c>
      <c r="U305" t="str" cm="1">
        <f t="array" ref="U305">_xlfn.IFS(T305&lt;5000,"Small",T305&lt;20000,"Medium",T305&lt;35000,"Large",T305&gt;35000,"Very Large")</f>
        <v>Medium</v>
      </c>
      <c r="V305">
        <v>48</v>
      </c>
      <c r="W305">
        <f t="shared" si="19"/>
        <v>4</v>
      </c>
      <c r="X305" t="s">
        <v>47</v>
      </c>
      <c r="Y305" t="s">
        <v>38</v>
      </c>
      <c r="Z305" t="s">
        <v>39</v>
      </c>
      <c r="AA305" t="s">
        <v>34</v>
      </c>
      <c r="AB305" t="s">
        <v>35</v>
      </c>
      <c r="AC305" t="s">
        <v>44</v>
      </c>
    </row>
    <row r="306" spans="1:29" x14ac:dyDescent="0.25">
      <c r="A306">
        <v>321</v>
      </c>
      <c r="B306">
        <v>0</v>
      </c>
      <c r="C306">
        <v>9439</v>
      </c>
      <c r="D306">
        <f t="shared" si="16"/>
        <v>9439</v>
      </c>
      <c r="E306" t="s">
        <v>29</v>
      </c>
      <c r="F306">
        <v>27</v>
      </c>
      <c r="G306" t="str" cm="1">
        <f t="array" ref="G306">_xlfn.IFS(F306&lt;25,"18-24",F306&lt;35,"25-35",F306&lt;45,"35-44",F306&lt;55,"44-54",F306&gt;=55,"55+")</f>
        <v>25-35</v>
      </c>
      <c r="H306" t="s">
        <v>41</v>
      </c>
      <c r="I306">
        <v>0</v>
      </c>
      <c r="J306" t="str" cm="1">
        <f t="array" ref="J306">_xlfn.IFS(I306&lt;=0,"No Dependents",I306&lt;=1,"One",I306&lt;=2,"Two",I306&gt;=3,"Third")</f>
        <v>No Dependents</v>
      </c>
      <c r="K306">
        <v>707</v>
      </c>
      <c r="L306" t="str" cm="1">
        <f t="array" ref="L306">_xlfn.IFS(K306&lt;=580,"Poor",K306&lt;=670,"fair",K306&lt;=740,"Good",K306&lt;=800,"Very Good",K306&gt;=800,"Excellent")</f>
        <v>Good</v>
      </c>
      <c r="M306">
        <v>1</v>
      </c>
      <c r="N306" t="str">
        <f t="shared" si="17"/>
        <v>Yes</v>
      </c>
      <c r="O306">
        <v>0.56999999999999995</v>
      </c>
      <c r="P306" t="str" cm="1">
        <f t="array" ref="P306">_xlfn.IFS(O306&lt;=0.3,"Low Risk",O306&lt;=0.4,"medium Risk",O306&lt;=0.5,"High Risk",O306&gt;0.5,"Very High Risk")</f>
        <v>Very High Risk</v>
      </c>
      <c r="Q306">
        <v>6476</v>
      </c>
      <c r="R306">
        <v>14683</v>
      </c>
      <c r="S306" t="str">
        <f t="shared" si="18"/>
        <v>Yes</v>
      </c>
      <c r="T306">
        <v>21102</v>
      </c>
      <c r="U306" t="str" cm="1">
        <f t="array" ref="U306">_xlfn.IFS(T306&lt;5000,"Small",T306&lt;20000,"Medium",T306&lt;35000,"Large",T306&gt;35000,"Very Large")</f>
        <v>Large</v>
      </c>
      <c r="V306">
        <v>12</v>
      </c>
      <c r="W306">
        <f t="shared" si="19"/>
        <v>1</v>
      </c>
      <c r="X306" t="s">
        <v>42</v>
      </c>
      <c r="Y306" t="s">
        <v>32</v>
      </c>
      <c r="Z306" t="s">
        <v>39</v>
      </c>
      <c r="AA306" t="s">
        <v>40</v>
      </c>
      <c r="AB306" t="s">
        <v>51</v>
      </c>
      <c r="AC306" t="s">
        <v>36</v>
      </c>
    </row>
    <row r="307" spans="1:29" x14ac:dyDescent="0.25">
      <c r="A307">
        <v>322</v>
      </c>
      <c r="B307">
        <v>9079</v>
      </c>
      <c r="C307">
        <v>1435</v>
      </c>
      <c r="D307">
        <f t="shared" si="16"/>
        <v>10514</v>
      </c>
      <c r="E307" t="s">
        <v>48</v>
      </c>
      <c r="F307">
        <v>35</v>
      </c>
      <c r="G307" t="str" cm="1">
        <f t="array" ref="G307">_xlfn.IFS(F307&lt;25,"18-24",F307&lt;35,"25-35",F307&lt;45,"35-44",F307&lt;55,"44-54",F307&gt;=55,"55+")</f>
        <v>35-44</v>
      </c>
      <c r="H307" t="s">
        <v>30</v>
      </c>
      <c r="I307">
        <v>3</v>
      </c>
      <c r="J307" t="str" cm="1">
        <f t="array" ref="J307">_xlfn.IFS(I307&lt;=0,"No Dependents",I307&lt;=1,"One",I307&lt;=2,"Two",I307&gt;=3,"Third")</f>
        <v>Third</v>
      </c>
      <c r="K307">
        <v>594</v>
      </c>
      <c r="L307" t="str" cm="1">
        <f t="array" ref="L307">_xlfn.IFS(K307&lt;=580,"Poor",K307&lt;=670,"fair",K307&lt;=740,"Good",K307&lt;=800,"Very Good",K307&gt;=800,"Excellent")</f>
        <v>fair</v>
      </c>
      <c r="M307">
        <v>1</v>
      </c>
      <c r="N307" t="str">
        <f t="shared" si="17"/>
        <v>Yes</v>
      </c>
      <c r="O307">
        <v>0.27</v>
      </c>
      <c r="P307" t="str" cm="1">
        <f t="array" ref="P307">_xlfn.IFS(O307&lt;=0.3,"Low Risk",O307&lt;=0.4,"medium Risk",O307&lt;=0.5,"High Risk",O307&gt;0.5,"Very High Risk")</f>
        <v>Low Risk</v>
      </c>
      <c r="Q307">
        <v>19532</v>
      </c>
      <c r="R307">
        <v>13080</v>
      </c>
      <c r="S307" t="str">
        <f t="shared" si="18"/>
        <v>Yes</v>
      </c>
      <c r="T307">
        <v>39893</v>
      </c>
      <c r="U307" t="str" cm="1">
        <f t="array" ref="U307">_xlfn.IFS(T307&lt;5000,"Small",T307&lt;20000,"Medium",T307&lt;35000,"Large",T307&gt;35000,"Very Large")</f>
        <v>Very Large</v>
      </c>
      <c r="V307">
        <v>48</v>
      </c>
      <c r="W307">
        <f t="shared" si="19"/>
        <v>4</v>
      </c>
      <c r="X307" t="s">
        <v>47</v>
      </c>
      <c r="Y307" t="s">
        <v>32</v>
      </c>
      <c r="Z307" t="s">
        <v>39</v>
      </c>
      <c r="AA307" t="s">
        <v>34</v>
      </c>
      <c r="AB307" t="s">
        <v>51</v>
      </c>
      <c r="AC307" t="s">
        <v>36</v>
      </c>
    </row>
    <row r="308" spans="1:29" x14ac:dyDescent="0.25">
      <c r="A308">
        <v>323</v>
      </c>
      <c r="B308">
        <v>9987</v>
      </c>
      <c r="C308">
        <v>571</v>
      </c>
      <c r="D308">
        <f t="shared" si="16"/>
        <v>10558</v>
      </c>
      <c r="E308" t="s">
        <v>46</v>
      </c>
      <c r="F308">
        <v>43</v>
      </c>
      <c r="G308" t="str" cm="1">
        <f t="array" ref="G308">_xlfn.IFS(F308&lt;25,"18-24",F308&lt;35,"25-35",F308&lt;45,"35-44",F308&lt;55,"44-54",F308&gt;=55,"55+")</f>
        <v>35-44</v>
      </c>
      <c r="H308" t="s">
        <v>41</v>
      </c>
      <c r="I308">
        <v>1</v>
      </c>
      <c r="J308" t="str" cm="1">
        <f t="array" ref="J308">_xlfn.IFS(I308&lt;=0,"No Dependents",I308&lt;=1,"One",I308&lt;=2,"Two",I308&gt;=3,"Third")</f>
        <v>One</v>
      </c>
      <c r="K308">
        <v>695</v>
      </c>
      <c r="L308" t="str" cm="1">
        <f t="array" ref="L308">_xlfn.IFS(K308&lt;=580,"Poor",K308&lt;=670,"fair",K308&lt;=740,"Good",K308&lt;=800,"Very Good",K308&gt;=800,"Excellent")</f>
        <v>Good</v>
      </c>
      <c r="M308">
        <v>4</v>
      </c>
      <c r="N308" t="str">
        <f t="shared" si="17"/>
        <v>Yes</v>
      </c>
      <c r="O308">
        <v>0.18</v>
      </c>
      <c r="P308" t="str" cm="1">
        <f t="array" ref="P308">_xlfn.IFS(O308&lt;=0.3,"Low Risk",O308&lt;=0.4,"medium Risk",O308&lt;=0.5,"High Risk",O308&gt;0.5,"Very High Risk")</f>
        <v>Low Risk</v>
      </c>
      <c r="Q308">
        <v>19743</v>
      </c>
      <c r="R308">
        <v>30953</v>
      </c>
      <c r="S308" t="str">
        <f t="shared" si="18"/>
        <v>Yes</v>
      </c>
      <c r="T308">
        <v>2924</v>
      </c>
      <c r="U308" t="str" cm="1">
        <f t="array" ref="U308">_xlfn.IFS(T308&lt;5000,"Small",T308&lt;20000,"Medium",T308&lt;35000,"Large",T308&gt;35000,"Very Large")</f>
        <v>Small</v>
      </c>
      <c r="V308">
        <v>36</v>
      </c>
      <c r="W308">
        <f t="shared" si="19"/>
        <v>3</v>
      </c>
      <c r="X308" t="s">
        <v>37</v>
      </c>
      <c r="Y308" t="s">
        <v>32</v>
      </c>
      <c r="Z308" t="s">
        <v>39</v>
      </c>
      <c r="AA308" t="s">
        <v>40</v>
      </c>
      <c r="AB308" t="s">
        <v>35</v>
      </c>
      <c r="AC308" t="s">
        <v>44</v>
      </c>
    </row>
    <row r="309" spans="1:29" x14ac:dyDescent="0.25">
      <c r="A309">
        <v>324</v>
      </c>
      <c r="B309">
        <v>0</v>
      </c>
      <c r="C309">
        <v>2382</v>
      </c>
      <c r="D309">
        <f t="shared" si="16"/>
        <v>2382</v>
      </c>
      <c r="E309" t="s">
        <v>49</v>
      </c>
      <c r="F309">
        <v>34</v>
      </c>
      <c r="G309" t="str" cm="1">
        <f t="array" ref="G309">_xlfn.IFS(F309&lt;25,"18-24",F309&lt;35,"25-35",F309&lt;45,"35-44",F309&lt;55,"44-54",F309&gt;=55,"55+")</f>
        <v>25-35</v>
      </c>
      <c r="H309" t="s">
        <v>41</v>
      </c>
      <c r="I309">
        <v>0</v>
      </c>
      <c r="J309" t="str" cm="1">
        <f t="array" ref="J309">_xlfn.IFS(I309&lt;=0,"No Dependents",I309&lt;=1,"One",I309&lt;=2,"Two",I309&gt;=3,"Third")</f>
        <v>No Dependents</v>
      </c>
      <c r="K309">
        <v>755</v>
      </c>
      <c r="L309" t="str" cm="1">
        <f t="array" ref="L309">_xlfn.IFS(K309&lt;=580,"Poor",K309&lt;=670,"fair",K309&lt;=740,"Good",K309&lt;=800,"Very Good",K309&gt;=800,"Excellent")</f>
        <v>Very Good</v>
      </c>
      <c r="M309">
        <v>3</v>
      </c>
      <c r="N309" t="str">
        <f t="shared" si="17"/>
        <v>Yes</v>
      </c>
      <c r="O309">
        <v>0.38</v>
      </c>
      <c r="P309" t="str" cm="1">
        <f t="array" ref="P309">_xlfn.IFS(O309&lt;=0.3,"Low Risk",O309&lt;=0.4,"medium Risk",O309&lt;=0.5,"High Risk",O309&gt;0.5,"Very High Risk")</f>
        <v>medium Risk</v>
      </c>
      <c r="Q309">
        <v>1004</v>
      </c>
      <c r="R309">
        <v>9916</v>
      </c>
      <c r="S309" t="str">
        <f t="shared" si="18"/>
        <v>Yes</v>
      </c>
      <c r="T309">
        <v>20479</v>
      </c>
      <c r="U309" t="str" cm="1">
        <f t="array" ref="U309">_xlfn.IFS(T309&lt;5000,"Small",T309&lt;20000,"Medium",T309&lt;35000,"Large",T309&gt;35000,"Very Large")</f>
        <v>Large</v>
      </c>
      <c r="V309">
        <v>84</v>
      </c>
      <c r="W309">
        <f t="shared" si="19"/>
        <v>7</v>
      </c>
      <c r="X309" t="s">
        <v>42</v>
      </c>
      <c r="Y309" t="s">
        <v>38</v>
      </c>
      <c r="Z309" t="s">
        <v>39</v>
      </c>
      <c r="AA309" t="s">
        <v>40</v>
      </c>
      <c r="AB309" t="s">
        <v>51</v>
      </c>
      <c r="AC309" t="s">
        <v>44</v>
      </c>
    </row>
    <row r="310" spans="1:29" x14ac:dyDescent="0.25">
      <c r="A310">
        <v>325</v>
      </c>
      <c r="B310">
        <v>6465</v>
      </c>
      <c r="C310">
        <v>9437</v>
      </c>
      <c r="D310">
        <f t="shared" si="16"/>
        <v>15902</v>
      </c>
      <c r="E310" t="s">
        <v>52</v>
      </c>
      <c r="F310">
        <v>43</v>
      </c>
      <c r="G310" t="str" cm="1">
        <f t="array" ref="G310">_xlfn.IFS(F310&lt;25,"18-24",F310&lt;35,"25-35",F310&lt;45,"35-44",F310&lt;55,"44-54",F310&gt;=55,"55+")</f>
        <v>35-44</v>
      </c>
      <c r="H310" t="s">
        <v>41</v>
      </c>
      <c r="I310">
        <v>3</v>
      </c>
      <c r="J310" t="str" cm="1">
        <f t="array" ref="J310">_xlfn.IFS(I310&lt;=0,"No Dependents",I310&lt;=1,"One",I310&lt;=2,"Two",I310&gt;=3,"Third")</f>
        <v>Third</v>
      </c>
      <c r="K310">
        <v>611</v>
      </c>
      <c r="L310" t="str" cm="1">
        <f t="array" ref="L310">_xlfn.IFS(K310&lt;=580,"Poor",K310&lt;=670,"fair",K310&lt;=740,"Good",K310&lt;=800,"Very Good",K310&gt;=800,"Excellent")</f>
        <v>fair</v>
      </c>
      <c r="M310">
        <v>0</v>
      </c>
      <c r="N310" t="str">
        <f t="shared" si="17"/>
        <v>No</v>
      </c>
      <c r="O310">
        <v>0.56999999999999995</v>
      </c>
      <c r="P310" t="str" cm="1">
        <f t="array" ref="P310">_xlfn.IFS(O310&lt;=0.3,"Low Risk",O310&lt;=0.4,"medium Risk",O310&lt;=0.5,"High Risk",O310&gt;0.5,"Very High Risk")</f>
        <v>Very High Risk</v>
      </c>
      <c r="Q310">
        <v>10286</v>
      </c>
      <c r="R310">
        <v>29677</v>
      </c>
      <c r="S310" t="str">
        <f t="shared" si="18"/>
        <v>Yes</v>
      </c>
      <c r="T310">
        <v>19922</v>
      </c>
      <c r="U310" t="str" cm="1">
        <f t="array" ref="U310">_xlfn.IFS(T310&lt;5000,"Small",T310&lt;20000,"Medium",T310&lt;35000,"Large",T310&gt;35000,"Very Large")</f>
        <v>Medium</v>
      </c>
      <c r="V310">
        <v>24</v>
      </c>
      <c r="W310">
        <f t="shared" si="19"/>
        <v>2</v>
      </c>
      <c r="X310" t="s">
        <v>42</v>
      </c>
      <c r="Y310" t="s">
        <v>45</v>
      </c>
      <c r="Z310" t="s">
        <v>39</v>
      </c>
      <c r="AA310" t="s">
        <v>40</v>
      </c>
      <c r="AB310" t="s">
        <v>43</v>
      </c>
      <c r="AC310" t="s">
        <v>36</v>
      </c>
    </row>
    <row r="311" spans="1:29" x14ac:dyDescent="0.25">
      <c r="A311">
        <v>326</v>
      </c>
      <c r="B311">
        <v>19019</v>
      </c>
      <c r="C311">
        <v>5084</v>
      </c>
      <c r="D311">
        <f t="shared" si="16"/>
        <v>24103</v>
      </c>
      <c r="E311" t="s">
        <v>46</v>
      </c>
      <c r="F311">
        <v>39</v>
      </c>
      <c r="G311" t="str" cm="1">
        <f t="array" ref="G311">_xlfn.IFS(F311&lt;25,"18-24",F311&lt;35,"25-35",F311&lt;45,"35-44",F311&lt;55,"44-54",F311&gt;=55,"55+")</f>
        <v>35-44</v>
      </c>
      <c r="H311" t="s">
        <v>30</v>
      </c>
      <c r="I311">
        <v>1</v>
      </c>
      <c r="J311" t="str" cm="1">
        <f t="array" ref="J311">_xlfn.IFS(I311&lt;=0,"No Dependents",I311&lt;=1,"One",I311&lt;=2,"Two",I311&gt;=3,"Third")</f>
        <v>One</v>
      </c>
      <c r="K311">
        <v>713</v>
      </c>
      <c r="L311" t="str" cm="1">
        <f t="array" ref="L311">_xlfn.IFS(K311&lt;=580,"Poor",K311&lt;=670,"fair",K311&lt;=740,"Good",K311&lt;=800,"Very Good",K311&gt;=800,"Excellent")</f>
        <v>Good</v>
      </c>
      <c r="M311">
        <v>0</v>
      </c>
      <c r="N311" t="str">
        <f t="shared" si="17"/>
        <v>No</v>
      </c>
      <c r="O311">
        <v>0.1</v>
      </c>
      <c r="P311" t="str" cm="1">
        <f t="array" ref="P311">_xlfn.IFS(O311&lt;=0.3,"Low Risk",O311&lt;=0.4,"medium Risk",O311&lt;=0.5,"High Risk",O311&gt;0.5,"Very High Risk")</f>
        <v>Low Risk</v>
      </c>
      <c r="Q311">
        <v>4717</v>
      </c>
      <c r="R311">
        <v>27360</v>
      </c>
      <c r="S311" t="str">
        <f t="shared" si="18"/>
        <v>Yes</v>
      </c>
      <c r="T311">
        <v>19660</v>
      </c>
      <c r="U311" t="str" cm="1">
        <f t="array" ref="U311">_xlfn.IFS(T311&lt;5000,"Small",T311&lt;20000,"Medium",T311&lt;35000,"Large",T311&gt;35000,"Very Large")</f>
        <v>Medium</v>
      </c>
      <c r="V311">
        <v>60</v>
      </c>
      <c r="W311">
        <f t="shared" si="19"/>
        <v>5</v>
      </c>
      <c r="X311" t="s">
        <v>31</v>
      </c>
      <c r="Y311" t="s">
        <v>45</v>
      </c>
      <c r="Z311" t="s">
        <v>39</v>
      </c>
      <c r="AA311" t="s">
        <v>34</v>
      </c>
      <c r="AB311" t="s">
        <v>35</v>
      </c>
      <c r="AC311" t="s">
        <v>44</v>
      </c>
    </row>
    <row r="312" spans="1:29" x14ac:dyDescent="0.25">
      <c r="A312">
        <v>327</v>
      </c>
      <c r="B312">
        <v>15417</v>
      </c>
      <c r="C312">
        <v>277</v>
      </c>
      <c r="D312">
        <f t="shared" si="16"/>
        <v>15694</v>
      </c>
      <c r="E312" t="s">
        <v>29</v>
      </c>
      <c r="F312">
        <v>49</v>
      </c>
      <c r="G312" t="str" cm="1">
        <f t="array" ref="G312">_xlfn.IFS(F312&lt;25,"18-24",F312&lt;35,"25-35",F312&lt;45,"35-44",F312&lt;55,"44-54",F312&gt;=55,"55+")</f>
        <v>44-54</v>
      </c>
      <c r="H312" t="s">
        <v>41</v>
      </c>
      <c r="I312">
        <v>2</v>
      </c>
      <c r="J312" t="str" cm="1">
        <f t="array" ref="J312">_xlfn.IFS(I312&lt;=0,"No Dependents",I312&lt;=1,"One",I312&lt;=2,"Two",I312&gt;=3,"Third")</f>
        <v>Two</v>
      </c>
      <c r="K312">
        <v>649</v>
      </c>
      <c r="L312" t="str" cm="1">
        <f t="array" ref="L312">_xlfn.IFS(K312&lt;=580,"Poor",K312&lt;=670,"fair",K312&lt;=740,"Good",K312&lt;=800,"Very Good",K312&gt;=800,"Excellent")</f>
        <v>fair</v>
      </c>
      <c r="M312">
        <v>2</v>
      </c>
      <c r="N312" t="str">
        <f t="shared" si="17"/>
        <v>Yes</v>
      </c>
      <c r="O312">
        <v>0.22</v>
      </c>
      <c r="P312" t="str" cm="1">
        <f t="array" ref="P312">_xlfn.IFS(O312&lt;=0.3,"Low Risk",O312&lt;=0.4,"medium Risk",O312&lt;=0.5,"High Risk",O312&gt;0.5,"Very High Risk")</f>
        <v>Low Risk</v>
      </c>
      <c r="Q312">
        <v>3271</v>
      </c>
      <c r="R312">
        <v>37805</v>
      </c>
      <c r="S312" t="str">
        <f t="shared" si="18"/>
        <v>Yes</v>
      </c>
      <c r="T312">
        <v>10945</v>
      </c>
      <c r="U312" t="str" cm="1">
        <f t="array" ref="U312">_xlfn.IFS(T312&lt;5000,"Small",T312&lt;20000,"Medium",T312&lt;35000,"Large",T312&gt;35000,"Very Large")</f>
        <v>Medium</v>
      </c>
      <c r="V312">
        <v>60</v>
      </c>
      <c r="W312">
        <f t="shared" si="19"/>
        <v>5</v>
      </c>
      <c r="X312" t="s">
        <v>42</v>
      </c>
      <c r="Y312" t="s">
        <v>45</v>
      </c>
      <c r="Z312" t="s">
        <v>39</v>
      </c>
      <c r="AA312" t="s">
        <v>34</v>
      </c>
      <c r="AB312" t="s">
        <v>48</v>
      </c>
      <c r="AC312" t="s">
        <v>36</v>
      </c>
    </row>
    <row r="313" spans="1:29" x14ac:dyDescent="0.25">
      <c r="A313">
        <v>328</v>
      </c>
      <c r="B313">
        <v>10311</v>
      </c>
      <c r="C313">
        <v>7059</v>
      </c>
      <c r="D313">
        <f t="shared" si="16"/>
        <v>17370</v>
      </c>
      <c r="E313" t="s">
        <v>29</v>
      </c>
      <c r="F313">
        <v>40</v>
      </c>
      <c r="G313" t="str" cm="1">
        <f t="array" ref="G313">_xlfn.IFS(F313&lt;25,"18-24",F313&lt;35,"25-35",F313&lt;45,"35-44",F313&lt;55,"44-54",F313&gt;=55,"55+")</f>
        <v>35-44</v>
      </c>
      <c r="H313" t="s">
        <v>30</v>
      </c>
      <c r="I313">
        <v>0</v>
      </c>
      <c r="J313" t="str" cm="1">
        <f t="array" ref="J313">_xlfn.IFS(I313&lt;=0,"No Dependents",I313&lt;=1,"One",I313&lt;=2,"Two",I313&gt;=3,"Third")</f>
        <v>No Dependents</v>
      </c>
      <c r="K313">
        <v>761</v>
      </c>
      <c r="L313" t="str" cm="1">
        <f t="array" ref="L313">_xlfn.IFS(K313&lt;=580,"Poor",K313&lt;=670,"fair",K313&lt;=740,"Good",K313&lt;=800,"Very Good",K313&gt;=800,"Excellent")</f>
        <v>Very Good</v>
      </c>
      <c r="M313">
        <v>4</v>
      </c>
      <c r="N313" t="str">
        <f t="shared" si="17"/>
        <v>Yes</v>
      </c>
      <c r="O313">
        <v>0.56999999999999995</v>
      </c>
      <c r="P313" t="str" cm="1">
        <f t="array" ref="P313">_xlfn.IFS(O313&lt;=0.3,"Low Risk",O313&lt;=0.4,"medium Risk",O313&lt;=0.5,"High Risk",O313&gt;0.5,"Very High Risk")</f>
        <v>Very High Risk</v>
      </c>
      <c r="Q313">
        <v>12714</v>
      </c>
      <c r="R313">
        <v>13453</v>
      </c>
      <c r="S313" t="str">
        <f t="shared" si="18"/>
        <v>Yes</v>
      </c>
      <c r="T313">
        <v>1306</v>
      </c>
      <c r="U313" t="str" cm="1">
        <f t="array" ref="U313">_xlfn.IFS(T313&lt;5000,"Small",T313&lt;20000,"Medium",T313&lt;35000,"Large",T313&gt;35000,"Very Large")</f>
        <v>Small</v>
      </c>
      <c r="V313">
        <v>12</v>
      </c>
      <c r="W313">
        <f t="shared" si="19"/>
        <v>1</v>
      </c>
      <c r="X313" t="s">
        <v>37</v>
      </c>
      <c r="Y313" t="s">
        <v>32</v>
      </c>
      <c r="Z313" t="s">
        <v>33</v>
      </c>
      <c r="AA313" t="s">
        <v>34</v>
      </c>
      <c r="AB313" t="s">
        <v>51</v>
      </c>
      <c r="AC313" t="s">
        <v>36</v>
      </c>
    </row>
    <row r="314" spans="1:29" x14ac:dyDescent="0.25">
      <c r="A314">
        <v>329</v>
      </c>
      <c r="B314">
        <v>19214</v>
      </c>
      <c r="C314">
        <v>1887</v>
      </c>
      <c r="D314">
        <f t="shared" si="16"/>
        <v>21101</v>
      </c>
      <c r="E314" t="s">
        <v>29</v>
      </c>
      <c r="F314">
        <v>49</v>
      </c>
      <c r="G314" t="str" cm="1">
        <f t="array" ref="G314">_xlfn.IFS(F314&lt;25,"18-24",F314&lt;35,"25-35",F314&lt;45,"35-44",F314&lt;55,"44-54",F314&gt;=55,"55+")</f>
        <v>44-54</v>
      </c>
      <c r="H314" t="s">
        <v>30</v>
      </c>
      <c r="I314">
        <v>0</v>
      </c>
      <c r="J314" t="str" cm="1">
        <f t="array" ref="J314">_xlfn.IFS(I314&lt;=0,"No Dependents",I314&lt;=1,"One",I314&lt;=2,"Two",I314&gt;=3,"Third")</f>
        <v>No Dependents</v>
      </c>
      <c r="K314">
        <v>550</v>
      </c>
      <c r="L314" t="str" cm="1">
        <f t="array" ref="L314">_xlfn.IFS(K314&lt;=580,"Poor",K314&lt;=670,"fair",K314&lt;=740,"Good",K314&lt;=800,"Very Good",K314&gt;=800,"Excellent")</f>
        <v>Poor</v>
      </c>
      <c r="M314">
        <v>2</v>
      </c>
      <c r="N314" t="str">
        <f t="shared" si="17"/>
        <v>Yes</v>
      </c>
      <c r="O314">
        <v>0.19</v>
      </c>
      <c r="P314" t="str" cm="1">
        <f t="array" ref="P314">_xlfn.IFS(O314&lt;=0.3,"Low Risk",O314&lt;=0.4,"medium Risk",O314&lt;=0.5,"High Risk",O314&gt;0.5,"Very High Risk")</f>
        <v>Low Risk</v>
      </c>
      <c r="Q314">
        <v>209</v>
      </c>
      <c r="R314">
        <v>22703</v>
      </c>
      <c r="S314" t="str">
        <f t="shared" si="18"/>
        <v>Yes</v>
      </c>
      <c r="T314">
        <v>23959</v>
      </c>
      <c r="U314" t="str" cm="1">
        <f t="array" ref="U314">_xlfn.IFS(T314&lt;5000,"Small",T314&lt;20000,"Medium",T314&lt;35000,"Large",T314&gt;35000,"Very Large")</f>
        <v>Large</v>
      </c>
      <c r="V314">
        <v>12</v>
      </c>
      <c r="W314">
        <f t="shared" si="19"/>
        <v>1</v>
      </c>
      <c r="X314" t="s">
        <v>42</v>
      </c>
      <c r="Y314" t="s">
        <v>45</v>
      </c>
      <c r="Z314" t="s">
        <v>39</v>
      </c>
      <c r="AA314" t="s">
        <v>40</v>
      </c>
      <c r="AB314" t="s">
        <v>48</v>
      </c>
      <c r="AC314" t="s">
        <v>36</v>
      </c>
    </row>
    <row r="315" spans="1:29" x14ac:dyDescent="0.25">
      <c r="A315">
        <v>330</v>
      </c>
      <c r="B315">
        <v>16098</v>
      </c>
      <c r="C315">
        <v>1265</v>
      </c>
      <c r="D315">
        <f t="shared" si="16"/>
        <v>17363</v>
      </c>
      <c r="E315" t="s">
        <v>52</v>
      </c>
      <c r="F315">
        <v>44</v>
      </c>
      <c r="G315" t="str" cm="1">
        <f t="array" ref="G315">_xlfn.IFS(F315&lt;25,"18-24",F315&lt;35,"25-35",F315&lt;45,"35-44",F315&lt;55,"44-54",F315&gt;=55,"55+")</f>
        <v>35-44</v>
      </c>
      <c r="H315" t="s">
        <v>30</v>
      </c>
      <c r="I315">
        <v>1</v>
      </c>
      <c r="J315" t="str" cm="1">
        <f t="array" ref="J315">_xlfn.IFS(I315&lt;=0,"No Dependents",I315&lt;=1,"One",I315&lt;=2,"Two",I315&gt;=3,"Third")</f>
        <v>One</v>
      </c>
      <c r="K315">
        <v>568</v>
      </c>
      <c r="L315" t="str" cm="1">
        <f t="array" ref="L315">_xlfn.IFS(K315&lt;=580,"Poor",K315&lt;=670,"fair",K315&lt;=740,"Good",K315&lt;=800,"Very Good",K315&gt;=800,"Excellent")</f>
        <v>Poor</v>
      </c>
      <c r="M315">
        <v>0</v>
      </c>
      <c r="N315" t="str">
        <f t="shared" si="17"/>
        <v>No</v>
      </c>
      <c r="O315">
        <v>0.16</v>
      </c>
      <c r="P315" t="str" cm="1">
        <f t="array" ref="P315">_xlfn.IFS(O315&lt;=0.3,"Low Risk",O315&lt;=0.4,"medium Risk",O315&lt;=0.5,"High Risk",O315&gt;0.5,"Very High Risk")</f>
        <v>Low Risk</v>
      </c>
      <c r="Q315">
        <v>5539</v>
      </c>
      <c r="R315">
        <v>8640</v>
      </c>
      <c r="S315" t="str">
        <f t="shared" si="18"/>
        <v>Yes</v>
      </c>
      <c r="T315">
        <v>5231</v>
      </c>
      <c r="U315" t="str" cm="1">
        <f t="array" ref="U315">_xlfn.IFS(T315&lt;5000,"Small",T315&lt;20000,"Medium",T315&lt;35000,"Large",T315&gt;35000,"Very Large")</f>
        <v>Medium</v>
      </c>
      <c r="V315">
        <v>60</v>
      </c>
      <c r="W315">
        <f t="shared" si="19"/>
        <v>5</v>
      </c>
      <c r="X315" t="s">
        <v>47</v>
      </c>
      <c r="Y315" t="s">
        <v>32</v>
      </c>
      <c r="Z315" t="s">
        <v>39</v>
      </c>
      <c r="AA315" t="s">
        <v>34</v>
      </c>
      <c r="AB315" t="s">
        <v>35</v>
      </c>
      <c r="AC315" t="s">
        <v>36</v>
      </c>
    </row>
    <row r="316" spans="1:29" x14ac:dyDescent="0.25">
      <c r="A316">
        <v>331</v>
      </c>
      <c r="B316">
        <v>7177</v>
      </c>
      <c r="C316">
        <v>7491</v>
      </c>
      <c r="D316">
        <f t="shared" si="16"/>
        <v>14668</v>
      </c>
      <c r="E316" t="s">
        <v>49</v>
      </c>
      <c r="F316">
        <v>38</v>
      </c>
      <c r="G316" t="str" cm="1">
        <f t="array" ref="G316">_xlfn.IFS(F316&lt;25,"18-24",F316&lt;35,"25-35",F316&lt;45,"35-44",F316&lt;55,"44-54",F316&gt;=55,"55+")</f>
        <v>35-44</v>
      </c>
      <c r="H316" t="s">
        <v>30</v>
      </c>
      <c r="I316">
        <v>1</v>
      </c>
      <c r="J316" t="str" cm="1">
        <f t="array" ref="J316">_xlfn.IFS(I316&lt;=0,"No Dependents",I316&lt;=1,"One",I316&lt;=2,"Two",I316&gt;=3,"Third")</f>
        <v>One</v>
      </c>
      <c r="K316">
        <v>550</v>
      </c>
      <c r="L316" t="str" cm="1">
        <f t="array" ref="L316">_xlfn.IFS(K316&lt;=580,"Poor",K316&lt;=670,"fair",K316&lt;=740,"Good",K316&lt;=800,"Very Good",K316&gt;=800,"Excellent")</f>
        <v>Poor</v>
      </c>
      <c r="M316">
        <v>1</v>
      </c>
      <c r="N316" t="str">
        <f t="shared" si="17"/>
        <v>Yes</v>
      </c>
      <c r="O316">
        <v>0.39</v>
      </c>
      <c r="P316" t="str" cm="1">
        <f t="array" ref="P316">_xlfn.IFS(O316&lt;=0.3,"Low Risk",O316&lt;=0.4,"medium Risk",O316&lt;=0.5,"High Risk",O316&gt;0.5,"Very High Risk")</f>
        <v>medium Risk</v>
      </c>
      <c r="Q316">
        <v>16537</v>
      </c>
      <c r="R316">
        <v>29263</v>
      </c>
      <c r="S316" t="str">
        <f t="shared" si="18"/>
        <v>Yes</v>
      </c>
      <c r="T316">
        <v>39796</v>
      </c>
      <c r="U316" t="str" cm="1">
        <f t="array" ref="U316">_xlfn.IFS(T316&lt;5000,"Small",T316&lt;20000,"Medium",T316&lt;35000,"Large",T316&gt;35000,"Very Large")</f>
        <v>Very Large</v>
      </c>
      <c r="V316">
        <v>48</v>
      </c>
      <c r="W316">
        <f t="shared" si="19"/>
        <v>4</v>
      </c>
      <c r="X316" t="s">
        <v>31</v>
      </c>
      <c r="Y316" t="s">
        <v>38</v>
      </c>
      <c r="Z316" t="s">
        <v>39</v>
      </c>
      <c r="AA316" t="s">
        <v>34</v>
      </c>
      <c r="AB316" t="s">
        <v>35</v>
      </c>
      <c r="AC316" t="s">
        <v>36</v>
      </c>
    </row>
    <row r="317" spans="1:29" x14ac:dyDescent="0.25">
      <c r="A317">
        <v>332</v>
      </c>
      <c r="B317">
        <v>16262</v>
      </c>
      <c r="C317">
        <v>1040</v>
      </c>
      <c r="D317">
        <f t="shared" si="16"/>
        <v>17302</v>
      </c>
      <c r="E317" t="s">
        <v>29</v>
      </c>
      <c r="F317">
        <v>30</v>
      </c>
      <c r="G317" t="str" cm="1">
        <f t="array" ref="G317">_xlfn.IFS(F317&lt;25,"18-24",F317&lt;35,"25-35",F317&lt;45,"35-44",F317&lt;55,"44-54",F317&gt;=55,"55+")</f>
        <v>25-35</v>
      </c>
      <c r="H317" t="s">
        <v>30</v>
      </c>
      <c r="I317">
        <v>0</v>
      </c>
      <c r="J317" t="str" cm="1">
        <f t="array" ref="J317">_xlfn.IFS(I317&lt;=0,"No Dependents",I317&lt;=1,"One",I317&lt;=2,"Two",I317&gt;=3,"Third")</f>
        <v>No Dependents</v>
      </c>
      <c r="K317">
        <v>593</v>
      </c>
      <c r="L317" t="str" cm="1">
        <f t="array" ref="L317">_xlfn.IFS(K317&lt;=580,"Poor",K317&lt;=670,"fair",K317&lt;=740,"Good",K317&lt;=800,"Very Good",K317&gt;=800,"Excellent")</f>
        <v>fair</v>
      </c>
      <c r="M317">
        <v>3</v>
      </c>
      <c r="N317" t="str">
        <f t="shared" si="17"/>
        <v>Yes</v>
      </c>
      <c r="O317">
        <v>0.53</v>
      </c>
      <c r="P317" t="str" cm="1">
        <f t="array" ref="P317">_xlfn.IFS(O317&lt;=0.3,"Low Risk",O317&lt;=0.4,"medium Risk",O317&lt;=0.5,"High Risk",O317&gt;0.5,"Very High Risk")</f>
        <v>Very High Risk</v>
      </c>
      <c r="Q317">
        <v>19977</v>
      </c>
      <c r="R317">
        <v>32849</v>
      </c>
      <c r="S317" t="str">
        <f t="shared" si="18"/>
        <v>Yes</v>
      </c>
      <c r="T317">
        <v>13207</v>
      </c>
      <c r="U317" t="str" cm="1">
        <f t="array" ref="U317">_xlfn.IFS(T317&lt;5000,"Small",T317&lt;20000,"Medium",T317&lt;35000,"Large",T317&gt;35000,"Very Large")</f>
        <v>Medium</v>
      </c>
      <c r="V317">
        <v>24</v>
      </c>
      <c r="W317">
        <f t="shared" si="19"/>
        <v>2</v>
      </c>
      <c r="X317" t="s">
        <v>50</v>
      </c>
      <c r="Y317" t="s">
        <v>32</v>
      </c>
      <c r="Z317" t="s">
        <v>33</v>
      </c>
      <c r="AA317" t="s">
        <v>40</v>
      </c>
      <c r="AB317" t="s">
        <v>43</v>
      </c>
      <c r="AC317" t="s">
        <v>36</v>
      </c>
    </row>
    <row r="318" spans="1:29" x14ac:dyDescent="0.25">
      <c r="A318">
        <v>333</v>
      </c>
      <c r="B318">
        <v>10308</v>
      </c>
      <c r="C318">
        <v>9109</v>
      </c>
      <c r="D318">
        <f t="shared" si="16"/>
        <v>19417</v>
      </c>
      <c r="E318" t="s">
        <v>29</v>
      </c>
      <c r="F318">
        <v>28</v>
      </c>
      <c r="G318" t="str" cm="1">
        <f t="array" ref="G318">_xlfn.IFS(F318&lt;25,"18-24",F318&lt;35,"25-35",F318&lt;45,"35-44",F318&lt;55,"44-54",F318&gt;=55,"55+")</f>
        <v>25-35</v>
      </c>
      <c r="H318" t="s">
        <v>30</v>
      </c>
      <c r="I318">
        <v>2</v>
      </c>
      <c r="J318" t="str" cm="1">
        <f t="array" ref="J318">_xlfn.IFS(I318&lt;=0,"No Dependents",I318&lt;=1,"One",I318&lt;=2,"Two",I318&gt;=3,"Third")</f>
        <v>Two</v>
      </c>
      <c r="K318">
        <v>556</v>
      </c>
      <c r="L318" t="str" cm="1">
        <f t="array" ref="L318">_xlfn.IFS(K318&lt;=580,"Poor",K318&lt;=670,"fair",K318&lt;=740,"Good",K318&lt;=800,"Very Good",K318&gt;=800,"Excellent")</f>
        <v>Poor</v>
      </c>
      <c r="M318">
        <v>4</v>
      </c>
      <c r="N318" t="str">
        <f t="shared" si="17"/>
        <v>Yes</v>
      </c>
      <c r="O318">
        <v>0.34</v>
      </c>
      <c r="P318" t="str" cm="1">
        <f t="array" ref="P318">_xlfn.IFS(O318&lt;=0.3,"Low Risk",O318&lt;=0.4,"medium Risk",O318&lt;=0.5,"High Risk",O318&gt;0.5,"Very High Risk")</f>
        <v>medium Risk</v>
      </c>
      <c r="Q318">
        <v>8606</v>
      </c>
      <c r="R318">
        <v>0</v>
      </c>
      <c r="S318" t="str">
        <f t="shared" si="18"/>
        <v>No</v>
      </c>
      <c r="T318">
        <v>7336</v>
      </c>
      <c r="U318" t="str" cm="1">
        <f t="array" ref="U318">_xlfn.IFS(T318&lt;5000,"Small",T318&lt;20000,"Medium",T318&lt;35000,"Large",T318&gt;35000,"Very Large")</f>
        <v>Medium</v>
      </c>
      <c r="V318">
        <v>36</v>
      </c>
      <c r="W318">
        <f t="shared" si="19"/>
        <v>3</v>
      </c>
      <c r="X318" t="s">
        <v>42</v>
      </c>
      <c r="Y318" t="s">
        <v>32</v>
      </c>
      <c r="Z318" t="s">
        <v>39</v>
      </c>
      <c r="AA318" t="s">
        <v>40</v>
      </c>
      <c r="AB318" t="s">
        <v>42</v>
      </c>
      <c r="AC318" t="s">
        <v>36</v>
      </c>
    </row>
    <row r="319" spans="1:29" x14ac:dyDescent="0.25">
      <c r="A319">
        <v>334</v>
      </c>
      <c r="B319">
        <v>7949</v>
      </c>
      <c r="C319">
        <v>8073</v>
      </c>
      <c r="D319">
        <f t="shared" si="16"/>
        <v>16022</v>
      </c>
      <c r="E319" t="s">
        <v>29</v>
      </c>
      <c r="F319">
        <v>46</v>
      </c>
      <c r="G319" t="str" cm="1">
        <f t="array" ref="G319">_xlfn.IFS(F319&lt;25,"18-24",F319&lt;35,"25-35",F319&lt;45,"35-44",F319&lt;55,"44-54",F319&gt;=55,"55+")</f>
        <v>44-54</v>
      </c>
      <c r="H319" t="s">
        <v>30</v>
      </c>
      <c r="I319">
        <v>2</v>
      </c>
      <c r="J319" t="str" cm="1">
        <f t="array" ref="J319">_xlfn.IFS(I319&lt;=0,"No Dependents",I319&lt;=1,"One",I319&lt;=2,"Two",I319&gt;=3,"Third")</f>
        <v>Two</v>
      </c>
      <c r="K319">
        <v>798</v>
      </c>
      <c r="L319" t="str" cm="1">
        <f t="array" ref="L319">_xlfn.IFS(K319&lt;=580,"Poor",K319&lt;=670,"fair",K319&lt;=740,"Good",K319&lt;=800,"Very Good",K319&gt;=800,"Excellent")</f>
        <v>Very Good</v>
      </c>
      <c r="M319">
        <v>0</v>
      </c>
      <c r="N319" t="str">
        <f t="shared" si="17"/>
        <v>No</v>
      </c>
      <c r="O319">
        <v>0.6</v>
      </c>
      <c r="P319" t="str" cm="1">
        <f t="array" ref="P319">_xlfn.IFS(O319&lt;=0.3,"Low Risk",O319&lt;=0.4,"medium Risk",O319&lt;=0.5,"High Risk",O319&gt;0.5,"Very High Risk")</f>
        <v>Very High Risk</v>
      </c>
      <c r="Q319">
        <v>11616</v>
      </c>
      <c r="R319">
        <v>16078</v>
      </c>
      <c r="S319" t="str">
        <f t="shared" si="18"/>
        <v>Yes</v>
      </c>
      <c r="T319">
        <v>10630</v>
      </c>
      <c r="U319" t="str" cm="1">
        <f t="array" ref="U319">_xlfn.IFS(T319&lt;5000,"Small",T319&lt;20000,"Medium",T319&lt;35000,"Large",T319&gt;35000,"Very Large")</f>
        <v>Medium</v>
      </c>
      <c r="V319">
        <v>36</v>
      </c>
      <c r="W319">
        <f t="shared" si="19"/>
        <v>3</v>
      </c>
      <c r="X319" t="s">
        <v>42</v>
      </c>
      <c r="Y319" t="s">
        <v>32</v>
      </c>
      <c r="Z319" t="s">
        <v>39</v>
      </c>
      <c r="AA319" t="s">
        <v>40</v>
      </c>
      <c r="AB319" t="s">
        <v>35</v>
      </c>
      <c r="AC319" t="s">
        <v>36</v>
      </c>
    </row>
    <row r="320" spans="1:29" x14ac:dyDescent="0.25">
      <c r="A320">
        <v>335</v>
      </c>
      <c r="B320">
        <v>3150</v>
      </c>
      <c r="C320">
        <v>9077</v>
      </c>
      <c r="D320">
        <f t="shared" si="16"/>
        <v>12227</v>
      </c>
      <c r="E320" t="s">
        <v>29</v>
      </c>
      <c r="F320">
        <v>49</v>
      </c>
      <c r="G320" t="str" cm="1">
        <f t="array" ref="G320">_xlfn.IFS(F320&lt;25,"18-24",F320&lt;35,"25-35",F320&lt;45,"35-44",F320&lt;55,"44-54",F320&gt;=55,"55+")</f>
        <v>44-54</v>
      </c>
      <c r="H320" t="s">
        <v>30</v>
      </c>
      <c r="I320">
        <v>3</v>
      </c>
      <c r="J320" t="str" cm="1">
        <f t="array" ref="J320">_xlfn.IFS(I320&lt;=0,"No Dependents",I320&lt;=1,"One",I320&lt;=2,"Two",I320&gt;=3,"Third")</f>
        <v>Third</v>
      </c>
      <c r="K320">
        <v>721</v>
      </c>
      <c r="L320" t="str" cm="1">
        <f t="array" ref="L320">_xlfn.IFS(K320&lt;=580,"Poor",K320&lt;=670,"fair",K320&lt;=740,"Good",K320&lt;=800,"Very Good",K320&gt;=800,"Excellent")</f>
        <v>Good</v>
      </c>
      <c r="M320">
        <v>0</v>
      </c>
      <c r="N320" t="str">
        <f t="shared" si="17"/>
        <v>No</v>
      </c>
      <c r="O320">
        <v>0.44</v>
      </c>
      <c r="P320" t="str" cm="1">
        <f t="array" ref="P320">_xlfn.IFS(O320&lt;=0.3,"Low Risk",O320&lt;=0.4,"medium Risk",O320&lt;=0.5,"High Risk",O320&gt;0.5,"Very High Risk")</f>
        <v>High Risk</v>
      </c>
      <c r="Q320">
        <v>1284</v>
      </c>
      <c r="R320">
        <v>23383</v>
      </c>
      <c r="S320" t="str">
        <f t="shared" si="18"/>
        <v>Yes</v>
      </c>
      <c r="T320">
        <v>18256</v>
      </c>
      <c r="U320" t="str" cm="1">
        <f t="array" ref="U320">_xlfn.IFS(T320&lt;5000,"Small",T320&lt;20000,"Medium",T320&lt;35000,"Large",T320&gt;35000,"Very Large")</f>
        <v>Medium</v>
      </c>
      <c r="V320">
        <v>48</v>
      </c>
      <c r="W320">
        <f t="shared" si="19"/>
        <v>4</v>
      </c>
      <c r="X320" t="s">
        <v>50</v>
      </c>
      <c r="Y320" t="s">
        <v>32</v>
      </c>
      <c r="Z320" t="s">
        <v>33</v>
      </c>
      <c r="AA320" t="s">
        <v>34</v>
      </c>
      <c r="AB320" t="s">
        <v>51</v>
      </c>
      <c r="AC320" t="s">
        <v>36</v>
      </c>
    </row>
    <row r="321" spans="1:29" x14ac:dyDescent="0.25">
      <c r="A321">
        <v>336</v>
      </c>
      <c r="B321">
        <v>3931</v>
      </c>
      <c r="C321">
        <v>2752</v>
      </c>
      <c r="D321">
        <f t="shared" si="16"/>
        <v>6683</v>
      </c>
      <c r="E321" t="s">
        <v>29</v>
      </c>
      <c r="F321">
        <v>30</v>
      </c>
      <c r="G321" t="str" cm="1">
        <f t="array" ref="G321">_xlfn.IFS(F321&lt;25,"18-24",F321&lt;35,"25-35",F321&lt;45,"35-44",F321&lt;55,"44-54",F321&gt;=55,"55+")</f>
        <v>25-35</v>
      </c>
      <c r="H321" t="s">
        <v>30</v>
      </c>
      <c r="I321">
        <v>1</v>
      </c>
      <c r="J321" t="str" cm="1">
        <f t="array" ref="J321">_xlfn.IFS(I321&lt;=0,"No Dependents",I321&lt;=1,"One",I321&lt;=2,"Two",I321&gt;=3,"Third")</f>
        <v>One</v>
      </c>
      <c r="K321">
        <v>666</v>
      </c>
      <c r="L321" t="str" cm="1">
        <f t="array" ref="L321">_xlfn.IFS(K321&lt;=580,"Poor",K321&lt;=670,"fair",K321&lt;=740,"Good",K321&lt;=800,"Very Good",K321&gt;=800,"Excellent")</f>
        <v>fair</v>
      </c>
      <c r="M321">
        <v>4</v>
      </c>
      <c r="N321" t="str">
        <f t="shared" si="17"/>
        <v>Yes</v>
      </c>
      <c r="O321">
        <v>0.14000000000000001</v>
      </c>
      <c r="P321" t="str" cm="1">
        <f t="array" ref="P321">_xlfn.IFS(O321&lt;=0.3,"Low Risk",O321&lt;=0.4,"medium Risk",O321&lt;=0.5,"High Risk",O321&gt;0.5,"Very High Risk")</f>
        <v>Low Risk</v>
      </c>
      <c r="Q321">
        <v>3148</v>
      </c>
      <c r="R321">
        <v>15536</v>
      </c>
      <c r="S321" t="str">
        <f t="shared" si="18"/>
        <v>Yes</v>
      </c>
      <c r="T321">
        <v>34909</v>
      </c>
      <c r="U321" t="str" cm="1">
        <f t="array" ref="U321">_xlfn.IFS(T321&lt;5000,"Small",T321&lt;20000,"Medium",T321&lt;35000,"Large",T321&gt;35000,"Very Large")</f>
        <v>Large</v>
      </c>
      <c r="V321">
        <v>24</v>
      </c>
      <c r="W321">
        <f t="shared" si="19"/>
        <v>2</v>
      </c>
      <c r="X321" t="s">
        <v>31</v>
      </c>
      <c r="Y321" t="s">
        <v>45</v>
      </c>
      <c r="Z321" t="s">
        <v>39</v>
      </c>
      <c r="AA321" t="s">
        <v>40</v>
      </c>
      <c r="AB321" t="s">
        <v>43</v>
      </c>
      <c r="AC321" t="s">
        <v>36</v>
      </c>
    </row>
    <row r="322" spans="1:29" x14ac:dyDescent="0.25">
      <c r="A322">
        <v>337</v>
      </c>
      <c r="B322">
        <v>11204</v>
      </c>
      <c r="C322">
        <v>8213</v>
      </c>
      <c r="D322">
        <f t="shared" si="16"/>
        <v>19417</v>
      </c>
      <c r="E322" t="s">
        <v>29</v>
      </c>
      <c r="F322">
        <v>37</v>
      </c>
      <c r="G322" t="str" cm="1">
        <f t="array" ref="G322">_xlfn.IFS(F322&lt;25,"18-24",F322&lt;35,"25-35",F322&lt;45,"35-44",F322&lt;55,"44-54",F322&gt;=55,"55+")</f>
        <v>35-44</v>
      </c>
      <c r="H322" t="s">
        <v>41</v>
      </c>
      <c r="I322">
        <v>2</v>
      </c>
      <c r="J322" t="str" cm="1">
        <f t="array" ref="J322">_xlfn.IFS(I322&lt;=0,"No Dependents",I322&lt;=1,"One",I322&lt;=2,"Two",I322&gt;=3,"Third")</f>
        <v>Two</v>
      </c>
      <c r="K322">
        <v>617</v>
      </c>
      <c r="L322" t="str" cm="1">
        <f t="array" ref="L322">_xlfn.IFS(K322&lt;=580,"Poor",K322&lt;=670,"fair",K322&lt;=740,"Good",K322&lt;=800,"Very Good",K322&gt;=800,"Excellent")</f>
        <v>fair</v>
      </c>
      <c r="M322">
        <v>4</v>
      </c>
      <c r="N322" t="str">
        <f t="shared" si="17"/>
        <v>Yes</v>
      </c>
      <c r="O322">
        <v>0.6</v>
      </c>
      <c r="P322" t="str" cm="1">
        <f t="array" ref="P322">_xlfn.IFS(O322&lt;=0.3,"Low Risk",O322&lt;=0.4,"medium Risk",O322&lt;=0.5,"High Risk",O322&gt;0.5,"Very High Risk")</f>
        <v>Very High Risk</v>
      </c>
      <c r="Q322">
        <v>768</v>
      </c>
      <c r="R322">
        <v>7410</v>
      </c>
      <c r="S322" t="str">
        <f t="shared" si="18"/>
        <v>Yes</v>
      </c>
      <c r="T322">
        <v>34719</v>
      </c>
      <c r="U322" t="str" cm="1">
        <f t="array" ref="U322">_xlfn.IFS(T322&lt;5000,"Small",T322&lt;20000,"Medium",T322&lt;35000,"Large",T322&gt;35000,"Very Large")</f>
        <v>Large</v>
      </c>
      <c r="V322">
        <v>84</v>
      </c>
      <c r="W322">
        <f t="shared" si="19"/>
        <v>7</v>
      </c>
      <c r="X322" t="s">
        <v>42</v>
      </c>
      <c r="Y322" t="s">
        <v>32</v>
      </c>
      <c r="Z322" t="s">
        <v>39</v>
      </c>
      <c r="AA322" t="s">
        <v>34</v>
      </c>
      <c r="AB322" t="s">
        <v>43</v>
      </c>
      <c r="AC322" t="s">
        <v>36</v>
      </c>
    </row>
    <row r="323" spans="1:29" x14ac:dyDescent="0.25">
      <c r="A323">
        <v>338</v>
      </c>
      <c r="B323">
        <v>3081</v>
      </c>
      <c r="C323">
        <v>4569</v>
      </c>
      <c r="D323">
        <f t="shared" ref="D323:D386" si="20">B323+C323</f>
        <v>7650</v>
      </c>
      <c r="E323" t="s">
        <v>29</v>
      </c>
      <c r="F323">
        <v>22</v>
      </c>
      <c r="G323" t="str" cm="1">
        <f t="array" ref="G323">_xlfn.IFS(F323&lt;25,"18-24",F323&lt;35,"25-35",F323&lt;45,"35-44",F323&lt;55,"44-54",F323&gt;=55,"55+")</f>
        <v>18-24</v>
      </c>
      <c r="H323" t="s">
        <v>41</v>
      </c>
      <c r="I323">
        <v>3</v>
      </c>
      <c r="J323" t="str" cm="1">
        <f t="array" ref="J323">_xlfn.IFS(I323&lt;=0,"No Dependents",I323&lt;=1,"One",I323&lt;=2,"Two",I323&gt;=3,"Third")</f>
        <v>Third</v>
      </c>
      <c r="K323">
        <v>583</v>
      </c>
      <c r="L323" t="str" cm="1">
        <f t="array" ref="L323">_xlfn.IFS(K323&lt;=580,"Poor",K323&lt;=670,"fair",K323&lt;=740,"Good",K323&lt;=800,"Very Good",K323&gt;=800,"Excellent")</f>
        <v>fair</v>
      </c>
      <c r="M323">
        <v>0</v>
      </c>
      <c r="N323" t="str">
        <f t="shared" ref="N323:N386" si="21">IF(M323&gt;0,"Yes","No")</f>
        <v>No</v>
      </c>
      <c r="O323">
        <v>0.3</v>
      </c>
      <c r="P323" t="str" cm="1">
        <f t="array" ref="P323">_xlfn.IFS(O323&lt;=0.3,"Low Risk",O323&lt;=0.4,"medium Risk",O323&lt;=0.5,"High Risk",O323&gt;0.5,"Very High Risk")</f>
        <v>Low Risk</v>
      </c>
      <c r="Q323">
        <v>5607</v>
      </c>
      <c r="R323">
        <v>15926</v>
      </c>
      <c r="S323" t="str">
        <f t="shared" ref="S323:S386" si="22">IF(R323&gt;100,"Yes","No")</f>
        <v>Yes</v>
      </c>
      <c r="T323">
        <v>31013</v>
      </c>
      <c r="U323" t="str" cm="1">
        <f t="array" ref="U323">_xlfn.IFS(T323&lt;5000,"Small",T323&lt;20000,"Medium",T323&lt;35000,"Large",T323&gt;35000,"Very Large")</f>
        <v>Large</v>
      </c>
      <c r="V323">
        <v>12</v>
      </c>
      <c r="W323">
        <f t="shared" ref="W323:W386" si="23">V323/12</f>
        <v>1</v>
      </c>
      <c r="X323" t="s">
        <v>37</v>
      </c>
      <c r="Y323" t="s">
        <v>32</v>
      </c>
      <c r="Z323" t="s">
        <v>39</v>
      </c>
      <c r="AA323" t="s">
        <v>40</v>
      </c>
      <c r="AB323" t="s">
        <v>42</v>
      </c>
      <c r="AC323" t="s">
        <v>36</v>
      </c>
    </row>
    <row r="324" spans="1:29" x14ac:dyDescent="0.25">
      <c r="A324">
        <v>339</v>
      </c>
      <c r="B324">
        <v>18896</v>
      </c>
      <c r="C324">
        <v>6353</v>
      </c>
      <c r="D324">
        <f t="shared" si="20"/>
        <v>25249</v>
      </c>
      <c r="E324" t="s">
        <v>29</v>
      </c>
      <c r="F324">
        <v>26</v>
      </c>
      <c r="G324" t="str" cm="1">
        <f t="array" ref="G324">_xlfn.IFS(F324&lt;25,"18-24",F324&lt;35,"25-35",F324&lt;45,"35-44",F324&lt;55,"44-54",F324&gt;=55,"55+")</f>
        <v>25-35</v>
      </c>
      <c r="H324" t="s">
        <v>30</v>
      </c>
      <c r="I324">
        <v>2</v>
      </c>
      <c r="J324" t="str" cm="1">
        <f t="array" ref="J324">_xlfn.IFS(I324&lt;=0,"No Dependents",I324&lt;=1,"One",I324&lt;=2,"Two",I324&gt;=3,"Third")</f>
        <v>Two</v>
      </c>
      <c r="K324">
        <v>743</v>
      </c>
      <c r="L324" t="str" cm="1">
        <f t="array" ref="L324">_xlfn.IFS(K324&lt;=580,"Poor",K324&lt;=670,"fair",K324&lt;=740,"Good",K324&lt;=800,"Very Good",K324&gt;=800,"Excellent")</f>
        <v>Very Good</v>
      </c>
      <c r="M324">
        <v>1</v>
      </c>
      <c r="N324" t="str">
        <f t="shared" si="21"/>
        <v>Yes</v>
      </c>
      <c r="O324">
        <v>0.24</v>
      </c>
      <c r="P324" t="str" cm="1">
        <f t="array" ref="P324">_xlfn.IFS(O324&lt;=0.3,"Low Risk",O324&lt;=0.4,"medium Risk",O324&lt;=0.5,"High Risk",O324&gt;0.5,"Very High Risk")</f>
        <v>Low Risk</v>
      </c>
      <c r="Q324">
        <v>19586</v>
      </c>
      <c r="R324">
        <v>48268</v>
      </c>
      <c r="S324" t="str">
        <f t="shared" si="22"/>
        <v>Yes</v>
      </c>
      <c r="T324">
        <v>15455</v>
      </c>
      <c r="U324" t="str" cm="1">
        <f t="array" ref="U324">_xlfn.IFS(T324&lt;5000,"Small",T324&lt;20000,"Medium",T324&lt;35000,"Large",T324&gt;35000,"Very Large")</f>
        <v>Medium</v>
      </c>
      <c r="V324">
        <v>12</v>
      </c>
      <c r="W324">
        <f t="shared" si="23"/>
        <v>1</v>
      </c>
      <c r="X324" t="s">
        <v>47</v>
      </c>
      <c r="Y324" t="s">
        <v>32</v>
      </c>
      <c r="Z324" t="s">
        <v>39</v>
      </c>
      <c r="AA324" t="s">
        <v>40</v>
      </c>
      <c r="AB324" t="s">
        <v>42</v>
      </c>
      <c r="AC324" t="s">
        <v>44</v>
      </c>
    </row>
    <row r="325" spans="1:29" x14ac:dyDescent="0.25">
      <c r="A325">
        <v>340</v>
      </c>
      <c r="B325">
        <v>15407</v>
      </c>
      <c r="C325">
        <v>2353</v>
      </c>
      <c r="D325">
        <f t="shared" si="20"/>
        <v>17760</v>
      </c>
      <c r="E325" t="s">
        <v>29</v>
      </c>
      <c r="F325">
        <v>25</v>
      </c>
      <c r="G325" t="str" cm="1">
        <f t="array" ref="G325">_xlfn.IFS(F325&lt;25,"18-24",F325&lt;35,"25-35",F325&lt;45,"35-44",F325&lt;55,"44-54",F325&gt;=55,"55+")</f>
        <v>25-35</v>
      </c>
      <c r="H325" t="s">
        <v>30</v>
      </c>
      <c r="I325">
        <v>1</v>
      </c>
      <c r="J325" t="str" cm="1">
        <f t="array" ref="J325">_xlfn.IFS(I325&lt;=0,"No Dependents",I325&lt;=1,"One",I325&lt;=2,"Two",I325&gt;=3,"Third")</f>
        <v>One</v>
      </c>
      <c r="K325">
        <v>618</v>
      </c>
      <c r="L325" t="str" cm="1">
        <f t="array" ref="L325">_xlfn.IFS(K325&lt;=580,"Poor",K325&lt;=670,"fair",K325&lt;=740,"Good",K325&lt;=800,"Very Good",K325&gt;=800,"Excellent")</f>
        <v>fair</v>
      </c>
      <c r="M325">
        <v>4</v>
      </c>
      <c r="N325" t="str">
        <f t="shared" si="21"/>
        <v>Yes</v>
      </c>
      <c r="O325">
        <v>0.38</v>
      </c>
      <c r="P325" t="str" cm="1">
        <f t="array" ref="P325">_xlfn.IFS(O325&lt;=0.3,"Low Risk",O325&lt;=0.4,"medium Risk",O325&lt;=0.5,"High Risk",O325&gt;0.5,"Very High Risk")</f>
        <v>medium Risk</v>
      </c>
      <c r="Q325">
        <v>19171</v>
      </c>
      <c r="R325">
        <v>34248</v>
      </c>
      <c r="S325" t="str">
        <f t="shared" si="22"/>
        <v>Yes</v>
      </c>
      <c r="T325">
        <v>5722</v>
      </c>
      <c r="U325" t="str" cm="1">
        <f t="array" ref="U325">_xlfn.IFS(T325&lt;5000,"Small",T325&lt;20000,"Medium",T325&lt;35000,"Large",T325&gt;35000,"Very Large")</f>
        <v>Medium</v>
      </c>
      <c r="V325">
        <v>84</v>
      </c>
      <c r="W325">
        <f t="shared" si="23"/>
        <v>7</v>
      </c>
      <c r="X325" t="s">
        <v>47</v>
      </c>
      <c r="Y325" t="s">
        <v>45</v>
      </c>
      <c r="Z325" t="s">
        <v>33</v>
      </c>
      <c r="AA325" t="s">
        <v>40</v>
      </c>
      <c r="AB325" t="s">
        <v>35</v>
      </c>
      <c r="AC325" t="s">
        <v>36</v>
      </c>
    </row>
    <row r="326" spans="1:29" x14ac:dyDescent="0.25">
      <c r="A326">
        <v>341</v>
      </c>
      <c r="B326">
        <v>9805</v>
      </c>
      <c r="C326">
        <v>7437</v>
      </c>
      <c r="D326">
        <f t="shared" si="20"/>
        <v>17242</v>
      </c>
      <c r="E326" t="s">
        <v>49</v>
      </c>
      <c r="F326">
        <v>48</v>
      </c>
      <c r="G326" t="str" cm="1">
        <f t="array" ref="G326">_xlfn.IFS(F326&lt;25,"18-24",F326&lt;35,"25-35",F326&lt;45,"35-44",F326&lt;55,"44-54",F326&gt;=55,"55+")</f>
        <v>44-54</v>
      </c>
      <c r="H326" t="s">
        <v>30</v>
      </c>
      <c r="I326">
        <v>3</v>
      </c>
      <c r="J326" t="str" cm="1">
        <f t="array" ref="J326">_xlfn.IFS(I326&lt;=0,"No Dependents",I326&lt;=1,"One",I326&lt;=2,"Two",I326&gt;=3,"Third")</f>
        <v>Third</v>
      </c>
      <c r="K326">
        <v>604</v>
      </c>
      <c r="L326" t="str" cm="1">
        <f t="array" ref="L326">_xlfn.IFS(K326&lt;=580,"Poor",K326&lt;=670,"fair",K326&lt;=740,"Good",K326&lt;=800,"Very Good",K326&gt;=800,"Excellent")</f>
        <v>fair</v>
      </c>
      <c r="M326">
        <v>0</v>
      </c>
      <c r="N326" t="str">
        <f t="shared" si="21"/>
        <v>No</v>
      </c>
      <c r="O326">
        <v>0.25</v>
      </c>
      <c r="P326" t="str" cm="1">
        <f t="array" ref="P326">_xlfn.IFS(O326&lt;=0.3,"Low Risk",O326&lt;=0.4,"medium Risk",O326&lt;=0.5,"High Risk",O326&gt;0.5,"Very High Risk")</f>
        <v>Low Risk</v>
      </c>
      <c r="Q326">
        <v>18594</v>
      </c>
      <c r="R326">
        <v>31159</v>
      </c>
      <c r="S326" t="str">
        <f t="shared" si="22"/>
        <v>Yes</v>
      </c>
      <c r="T326">
        <v>13812</v>
      </c>
      <c r="U326" t="str" cm="1">
        <f t="array" ref="U326">_xlfn.IFS(T326&lt;5000,"Small",T326&lt;20000,"Medium",T326&lt;35000,"Large",T326&gt;35000,"Very Large")</f>
        <v>Medium</v>
      </c>
      <c r="V326">
        <v>48</v>
      </c>
      <c r="W326">
        <f t="shared" si="23"/>
        <v>4</v>
      </c>
      <c r="X326" t="s">
        <v>31</v>
      </c>
      <c r="Y326" t="s">
        <v>32</v>
      </c>
      <c r="Z326" t="s">
        <v>33</v>
      </c>
      <c r="AA326" t="s">
        <v>40</v>
      </c>
      <c r="AB326" t="s">
        <v>48</v>
      </c>
      <c r="AC326" t="s">
        <v>36</v>
      </c>
    </row>
    <row r="327" spans="1:29" x14ac:dyDescent="0.25">
      <c r="A327">
        <v>342</v>
      </c>
      <c r="B327">
        <v>7237</v>
      </c>
      <c r="C327">
        <v>4799</v>
      </c>
      <c r="D327">
        <f t="shared" si="20"/>
        <v>12036</v>
      </c>
      <c r="E327" t="s">
        <v>29</v>
      </c>
      <c r="F327">
        <v>25</v>
      </c>
      <c r="G327" t="str" cm="1">
        <f t="array" ref="G327">_xlfn.IFS(F327&lt;25,"18-24",F327&lt;35,"25-35",F327&lt;45,"35-44",F327&lt;55,"44-54",F327&gt;=55,"55+")</f>
        <v>25-35</v>
      </c>
      <c r="H327" t="s">
        <v>30</v>
      </c>
      <c r="I327">
        <v>3</v>
      </c>
      <c r="J327" t="str" cm="1">
        <f t="array" ref="J327">_xlfn.IFS(I327&lt;=0,"No Dependents",I327&lt;=1,"One",I327&lt;=2,"Two",I327&gt;=3,"Third")</f>
        <v>Third</v>
      </c>
      <c r="K327">
        <v>559</v>
      </c>
      <c r="L327" t="str" cm="1">
        <f t="array" ref="L327">_xlfn.IFS(K327&lt;=580,"Poor",K327&lt;=670,"fair",K327&lt;=740,"Good",K327&lt;=800,"Very Good",K327&gt;=800,"Excellent")</f>
        <v>Poor</v>
      </c>
      <c r="M327">
        <v>3</v>
      </c>
      <c r="N327" t="str">
        <f t="shared" si="21"/>
        <v>Yes</v>
      </c>
      <c r="O327">
        <v>0.14000000000000001</v>
      </c>
      <c r="P327" t="str" cm="1">
        <f t="array" ref="P327">_xlfn.IFS(O327&lt;=0.3,"Low Risk",O327&lt;=0.4,"medium Risk",O327&lt;=0.5,"High Risk",O327&gt;0.5,"Very High Risk")</f>
        <v>Low Risk</v>
      </c>
      <c r="Q327">
        <v>7399</v>
      </c>
      <c r="R327">
        <v>0</v>
      </c>
      <c r="S327" t="str">
        <f t="shared" si="22"/>
        <v>No</v>
      </c>
      <c r="T327">
        <v>31276</v>
      </c>
      <c r="U327" t="str" cm="1">
        <f t="array" ref="U327">_xlfn.IFS(T327&lt;5000,"Small",T327&lt;20000,"Medium",T327&lt;35000,"Large",T327&gt;35000,"Very Large")</f>
        <v>Large</v>
      </c>
      <c r="V327">
        <v>48</v>
      </c>
      <c r="W327">
        <f t="shared" si="23"/>
        <v>4</v>
      </c>
      <c r="X327" t="s">
        <v>50</v>
      </c>
      <c r="Y327" t="s">
        <v>45</v>
      </c>
      <c r="Z327" t="s">
        <v>33</v>
      </c>
      <c r="AA327" t="s">
        <v>40</v>
      </c>
      <c r="AB327" t="s">
        <v>35</v>
      </c>
      <c r="AC327" t="s">
        <v>36</v>
      </c>
    </row>
    <row r="328" spans="1:29" x14ac:dyDescent="0.25">
      <c r="A328">
        <v>343</v>
      </c>
      <c r="B328">
        <v>18943</v>
      </c>
      <c r="C328">
        <v>686</v>
      </c>
      <c r="D328">
        <f t="shared" si="20"/>
        <v>19629</v>
      </c>
      <c r="E328" t="s">
        <v>29</v>
      </c>
      <c r="F328">
        <v>38</v>
      </c>
      <c r="G328" t="str" cm="1">
        <f t="array" ref="G328">_xlfn.IFS(F328&lt;25,"18-24",F328&lt;35,"25-35",F328&lt;45,"35-44",F328&lt;55,"44-54",F328&gt;=55,"55+")</f>
        <v>35-44</v>
      </c>
      <c r="H328" t="s">
        <v>41</v>
      </c>
      <c r="I328">
        <v>3</v>
      </c>
      <c r="J328" t="str" cm="1">
        <f t="array" ref="J328">_xlfn.IFS(I328&lt;=0,"No Dependents",I328&lt;=1,"One",I328&lt;=2,"Two",I328&gt;=3,"Third")</f>
        <v>Third</v>
      </c>
      <c r="K328">
        <v>773</v>
      </c>
      <c r="L328" t="str" cm="1">
        <f t="array" ref="L328">_xlfn.IFS(K328&lt;=580,"Poor",K328&lt;=670,"fair",K328&lt;=740,"Good",K328&lt;=800,"Very Good",K328&gt;=800,"Excellent")</f>
        <v>Very Good</v>
      </c>
      <c r="M328">
        <v>0</v>
      </c>
      <c r="N328" t="str">
        <f t="shared" si="21"/>
        <v>No</v>
      </c>
      <c r="O328">
        <v>0.1</v>
      </c>
      <c r="P328" t="str" cm="1">
        <f t="array" ref="P328">_xlfn.IFS(O328&lt;=0.3,"Low Risk",O328&lt;=0.4,"medium Risk",O328&lt;=0.5,"High Risk",O328&gt;0.5,"Very High Risk")</f>
        <v>Low Risk</v>
      </c>
      <c r="Q328">
        <v>358</v>
      </c>
      <c r="R328">
        <v>36366</v>
      </c>
      <c r="S328" t="str">
        <f t="shared" si="22"/>
        <v>Yes</v>
      </c>
      <c r="T328">
        <v>37776</v>
      </c>
      <c r="U328" t="str" cm="1">
        <f t="array" ref="U328">_xlfn.IFS(T328&lt;5000,"Small",T328&lt;20000,"Medium",T328&lt;35000,"Large",T328&gt;35000,"Very Large")</f>
        <v>Very Large</v>
      </c>
      <c r="V328">
        <v>12</v>
      </c>
      <c r="W328">
        <f t="shared" si="23"/>
        <v>1</v>
      </c>
      <c r="X328" t="s">
        <v>42</v>
      </c>
      <c r="Y328" t="s">
        <v>32</v>
      </c>
      <c r="Z328" t="s">
        <v>33</v>
      </c>
      <c r="AA328" t="s">
        <v>40</v>
      </c>
      <c r="AB328" t="s">
        <v>35</v>
      </c>
      <c r="AC328" t="s">
        <v>44</v>
      </c>
    </row>
    <row r="329" spans="1:29" x14ac:dyDescent="0.25">
      <c r="A329">
        <v>344</v>
      </c>
      <c r="B329">
        <v>14775</v>
      </c>
      <c r="C329">
        <v>8476</v>
      </c>
      <c r="D329">
        <f t="shared" si="20"/>
        <v>23251</v>
      </c>
      <c r="E329" t="s">
        <v>46</v>
      </c>
      <c r="F329">
        <v>46</v>
      </c>
      <c r="G329" t="str" cm="1">
        <f t="array" ref="G329">_xlfn.IFS(F329&lt;25,"18-24",F329&lt;35,"25-35",F329&lt;45,"35-44",F329&lt;55,"44-54",F329&gt;=55,"55+")</f>
        <v>44-54</v>
      </c>
      <c r="H329" t="s">
        <v>41</v>
      </c>
      <c r="I329">
        <v>2</v>
      </c>
      <c r="J329" t="str" cm="1">
        <f t="array" ref="J329">_xlfn.IFS(I329&lt;=0,"No Dependents",I329&lt;=1,"One",I329&lt;=2,"Two",I329&gt;=3,"Third")</f>
        <v>Two</v>
      </c>
      <c r="K329">
        <v>591</v>
      </c>
      <c r="L329" t="str" cm="1">
        <f t="array" ref="L329">_xlfn.IFS(K329&lt;=580,"Poor",K329&lt;=670,"fair",K329&lt;=740,"Good",K329&lt;=800,"Very Good",K329&gt;=800,"Excellent")</f>
        <v>fair</v>
      </c>
      <c r="M329">
        <v>2</v>
      </c>
      <c r="N329" t="str">
        <f t="shared" si="21"/>
        <v>Yes</v>
      </c>
      <c r="O329">
        <v>0.32</v>
      </c>
      <c r="P329" t="str" cm="1">
        <f t="array" ref="P329">_xlfn.IFS(O329&lt;=0.3,"Low Risk",O329&lt;=0.4,"medium Risk",O329&lt;=0.5,"High Risk",O329&gt;0.5,"Very High Risk")</f>
        <v>medium Risk</v>
      </c>
      <c r="Q329">
        <v>849</v>
      </c>
      <c r="R329">
        <v>47800</v>
      </c>
      <c r="S329" t="str">
        <f t="shared" si="22"/>
        <v>Yes</v>
      </c>
      <c r="T329">
        <v>11060</v>
      </c>
      <c r="U329" t="str" cm="1">
        <f t="array" ref="U329">_xlfn.IFS(T329&lt;5000,"Small",T329&lt;20000,"Medium",T329&lt;35000,"Large",T329&gt;35000,"Very Large")</f>
        <v>Medium</v>
      </c>
      <c r="V329">
        <v>12</v>
      </c>
      <c r="W329">
        <f t="shared" si="23"/>
        <v>1</v>
      </c>
      <c r="X329" t="s">
        <v>42</v>
      </c>
      <c r="Y329" t="s">
        <v>32</v>
      </c>
      <c r="Z329" t="s">
        <v>39</v>
      </c>
      <c r="AA329" t="s">
        <v>34</v>
      </c>
      <c r="AB329" t="s">
        <v>51</v>
      </c>
      <c r="AC329" t="s">
        <v>36</v>
      </c>
    </row>
    <row r="330" spans="1:29" x14ac:dyDescent="0.25">
      <c r="A330">
        <v>345</v>
      </c>
      <c r="B330">
        <v>18244</v>
      </c>
      <c r="C330">
        <v>4811</v>
      </c>
      <c r="D330">
        <f t="shared" si="20"/>
        <v>23055</v>
      </c>
      <c r="E330" t="s">
        <v>29</v>
      </c>
      <c r="F330">
        <v>40</v>
      </c>
      <c r="G330" t="str" cm="1">
        <f t="array" ref="G330">_xlfn.IFS(F330&lt;25,"18-24",F330&lt;35,"25-35",F330&lt;45,"35-44",F330&lt;55,"44-54",F330&gt;=55,"55+")</f>
        <v>35-44</v>
      </c>
      <c r="H330" t="s">
        <v>30</v>
      </c>
      <c r="I330">
        <v>0</v>
      </c>
      <c r="J330" t="str" cm="1">
        <f t="array" ref="J330">_xlfn.IFS(I330&lt;=0,"No Dependents",I330&lt;=1,"One",I330&lt;=2,"Two",I330&gt;=3,"Third")</f>
        <v>No Dependents</v>
      </c>
      <c r="K330">
        <v>590</v>
      </c>
      <c r="L330" t="str" cm="1">
        <f t="array" ref="L330">_xlfn.IFS(K330&lt;=580,"Poor",K330&lt;=670,"fair",K330&lt;=740,"Good",K330&lt;=800,"Very Good",K330&gt;=800,"Excellent")</f>
        <v>fair</v>
      </c>
      <c r="M330">
        <v>0</v>
      </c>
      <c r="N330" t="str">
        <f t="shared" si="21"/>
        <v>No</v>
      </c>
      <c r="O330">
        <v>0.52</v>
      </c>
      <c r="P330" t="str" cm="1">
        <f t="array" ref="P330">_xlfn.IFS(O330&lt;=0.3,"Low Risk",O330&lt;=0.4,"medium Risk",O330&lt;=0.5,"High Risk",O330&gt;0.5,"Very High Risk")</f>
        <v>Very High Risk</v>
      </c>
      <c r="Q330">
        <v>7498</v>
      </c>
      <c r="R330">
        <v>40761</v>
      </c>
      <c r="S330" t="str">
        <f t="shared" si="22"/>
        <v>Yes</v>
      </c>
      <c r="T330">
        <v>14056</v>
      </c>
      <c r="U330" t="str" cm="1">
        <f t="array" ref="U330">_xlfn.IFS(T330&lt;5000,"Small",T330&lt;20000,"Medium",T330&lt;35000,"Large",T330&gt;35000,"Very Large")</f>
        <v>Medium</v>
      </c>
      <c r="V330">
        <v>84</v>
      </c>
      <c r="W330">
        <f t="shared" si="23"/>
        <v>7</v>
      </c>
      <c r="X330" t="s">
        <v>42</v>
      </c>
      <c r="Y330" t="s">
        <v>32</v>
      </c>
      <c r="Z330" t="s">
        <v>33</v>
      </c>
      <c r="AA330" t="s">
        <v>40</v>
      </c>
      <c r="AB330" t="s">
        <v>48</v>
      </c>
      <c r="AC330" t="s">
        <v>36</v>
      </c>
    </row>
    <row r="331" spans="1:29" x14ac:dyDescent="0.25">
      <c r="A331">
        <v>346</v>
      </c>
      <c r="B331">
        <v>15184</v>
      </c>
      <c r="C331">
        <v>8954</v>
      </c>
      <c r="D331">
        <f t="shared" si="20"/>
        <v>24138</v>
      </c>
      <c r="E331" t="s">
        <v>49</v>
      </c>
      <c r="F331">
        <v>47</v>
      </c>
      <c r="G331" t="str" cm="1">
        <f t="array" ref="G331">_xlfn.IFS(F331&lt;25,"18-24",F331&lt;35,"25-35",F331&lt;45,"35-44",F331&lt;55,"44-54",F331&gt;=55,"55+")</f>
        <v>44-54</v>
      </c>
      <c r="H331" t="s">
        <v>30</v>
      </c>
      <c r="I331">
        <v>3</v>
      </c>
      <c r="J331" t="str" cm="1">
        <f t="array" ref="J331">_xlfn.IFS(I331&lt;=0,"No Dependents",I331&lt;=1,"One",I331&lt;=2,"Two",I331&gt;=3,"Third")</f>
        <v>Third</v>
      </c>
      <c r="K331">
        <v>754</v>
      </c>
      <c r="L331" t="str" cm="1">
        <f t="array" ref="L331">_xlfn.IFS(K331&lt;=580,"Poor",K331&lt;=670,"fair",K331&lt;=740,"Good",K331&lt;=800,"Very Good",K331&gt;=800,"Excellent")</f>
        <v>Very Good</v>
      </c>
      <c r="M331">
        <v>2</v>
      </c>
      <c r="N331" t="str">
        <f t="shared" si="21"/>
        <v>Yes</v>
      </c>
      <c r="O331">
        <v>0.39</v>
      </c>
      <c r="P331" t="str" cm="1">
        <f t="array" ref="P331">_xlfn.IFS(O331&lt;=0.3,"Low Risk",O331&lt;=0.4,"medium Risk",O331&lt;=0.5,"High Risk",O331&gt;0.5,"Very High Risk")</f>
        <v>medium Risk</v>
      </c>
      <c r="Q331">
        <v>4522</v>
      </c>
      <c r="R331">
        <v>29090</v>
      </c>
      <c r="S331" t="str">
        <f t="shared" si="22"/>
        <v>Yes</v>
      </c>
      <c r="T331">
        <v>7655</v>
      </c>
      <c r="U331" t="str" cm="1">
        <f t="array" ref="U331">_xlfn.IFS(T331&lt;5000,"Small",T331&lt;20000,"Medium",T331&lt;35000,"Large",T331&gt;35000,"Very Large")</f>
        <v>Medium</v>
      </c>
      <c r="V331">
        <v>24</v>
      </c>
      <c r="W331">
        <f t="shared" si="23"/>
        <v>2</v>
      </c>
      <c r="X331" t="s">
        <v>37</v>
      </c>
      <c r="Y331" t="s">
        <v>38</v>
      </c>
      <c r="Z331" t="s">
        <v>39</v>
      </c>
      <c r="AA331" t="s">
        <v>40</v>
      </c>
      <c r="AB331" t="s">
        <v>51</v>
      </c>
      <c r="AC331" t="s">
        <v>36</v>
      </c>
    </row>
    <row r="332" spans="1:29" x14ac:dyDescent="0.25">
      <c r="A332">
        <v>347</v>
      </c>
      <c r="B332">
        <v>5343</v>
      </c>
      <c r="C332">
        <v>5346</v>
      </c>
      <c r="D332">
        <f t="shared" si="20"/>
        <v>10689</v>
      </c>
      <c r="E332" t="s">
        <v>52</v>
      </c>
      <c r="F332">
        <v>32</v>
      </c>
      <c r="G332" t="str" cm="1">
        <f t="array" ref="G332">_xlfn.IFS(F332&lt;25,"18-24",F332&lt;35,"25-35",F332&lt;45,"35-44",F332&lt;55,"44-54",F332&gt;=55,"55+")</f>
        <v>25-35</v>
      </c>
      <c r="H332" t="s">
        <v>30</v>
      </c>
      <c r="I332">
        <v>0</v>
      </c>
      <c r="J332" t="str" cm="1">
        <f t="array" ref="J332">_xlfn.IFS(I332&lt;=0,"No Dependents",I332&lt;=1,"One",I332&lt;=2,"Two",I332&gt;=3,"Third")</f>
        <v>No Dependents</v>
      </c>
      <c r="K332">
        <v>780</v>
      </c>
      <c r="L332" t="str" cm="1">
        <f t="array" ref="L332">_xlfn.IFS(K332&lt;=580,"Poor",K332&lt;=670,"fair",K332&lt;=740,"Good",K332&lt;=800,"Very Good",K332&gt;=800,"Excellent")</f>
        <v>Very Good</v>
      </c>
      <c r="M332">
        <v>1</v>
      </c>
      <c r="N332" t="str">
        <f t="shared" si="21"/>
        <v>Yes</v>
      </c>
      <c r="O332">
        <v>0.35</v>
      </c>
      <c r="P332" t="str" cm="1">
        <f t="array" ref="P332">_xlfn.IFS(O332&lt;=0.3,"Low Risk",O332&lt;=0.4,"medium Risk",O332&lt;=0.5,"High Risk",O332&gt;0.5,"Very High Risk")</f>
        <v>medium Risk</v>
      </c>
      <c r="Q332">
        <v>18928</v>
      </c>
      <c r="R332">
        <v>20567</v>
      </c>
      <c r="S332" t="str">
        <f t="shared" si="22"/>
        <v>Yes</v>
      </c>
      <c r="T332">
        <v>23574</v>
      </c>
      <c r="U332" t="str" cm="1">
        <f t="array" ref="U332">_xlfn.IFS(T332&lt;5000,"Small",T332&lt;20000,"Medium",T332&lt;35000,"Large",T332&gt;35000,"Very Large")</f>
        <v>Large</v>
      </c>
      <c r="V332">
        <v>84</v>
      </c>
      <c r="W332">
        <f t="shared" si="23"/>
        <v>7</v>
      </c>
      <c r="X332" t="s">
        <v>37</v>
      </c>
      <c r="Y332" t="s">
        <v>45</v>
      </c>
      <c r="Z332" t="s">
        <v>39</v>
      </c>
      <c r="AA332" t="s">
        <v>40</v>
      </c>
      <c r="AB332" t="s">
        <v>51</v>
      </c>
      <c r="AC332" t="s">
        <v>36</v>
      </c>
    </row>
    <row r="333" spans="1:29" x14ac:dyDescent="0.25">
      <c r="A333">
        <v>348</v>
      </c>
      <c r="B333">
        <v>15500</v>
      </c>
      <c r="C333">
        <v>5043</v>
      </c>
      <c r="D333">
        <f t="shared" si="20"/>
        <v>20543</v>
      </c>
      <c r="E333" t="s">
        <v>29</v>
      </c>
      <c r="F333">
        <v>27</v>
      </c>
      <c r="G333" t="str" cm="1">
        <f t="array" ref="G333">_xlfn.IFS(F333&lt;25,"18-24",F333&lt;35,"25-35",F333&lt;45,"35-44",F333&lt;55,"44-54",F333&gt;=55,"55+")</f>
        <v>25-35</v>
      </c>
      <c r="H333" t="s">
        <v>41</v>
      </c>
      <c r="I333">
        <v>1</v>
      </c>
      <c r="J333" t="str" cm="1">
        <f t="array" ref="J333">_xlfn.IFS(I333&lt;=0,"No Dependents",I333&lt;=1,"One",I333&lt;=2,"Two",I333&gt;=3,"Third")</f>
        <v>One</v>
      </c>
      <c r="K333">
        <v>746</v>
      </c>
      <c r="L333" t="str" cm="1">
        <f t="array" ref="L333">_xlfn.IFS(K333&lt;=580,"Poor",K333&lt;=670,"fair",K333&lt;=740,"Good",K333&lt;=800,"Very Good",K333&gt;=800,"Excellent")</f>
        <v>Very Good</v>
      </c>
      <c r="M333">
        <v>1</v>
      </c>
      <c r="N333" t="str">
        <f t="shared" si="21"/>
        <v>Yes</v>
      </c>
      <c r="O333">
        <v>0.24</v>
      </c>
      <c r="P333" t="str" cm="1">
        <f t="array" ref="P333">_xlfn.IFS(O333&lt;=0.3,"Low Risk",O333&lt;=0.4,"medium Risk",O333&lt;=0.5,"High Risk",O333&gt;0.5,"Very High Risk")</f>
        <v>Low Risk</v>
      </c>
      <c r="Q333">
        <v>12773</v>
      </c>
      <c r="R333">
        <v>43663</v>
      </c>
      <c r="S333" t="str">
        <f t="shared" si="22"/>
        <v>Yes</v>
      </c>
      <c r="T333">
        <v>14027</v>
      </c>
      <c r="U333" t="str" cm="1">
        <f t="array" ref="U333">_xlfn.IFS(T333&lt;5000,"Small",T333&lt;20000,"Medium",T333&lt;35000,"Large",T333&gt;35000,"Very Large")</f>
        <v>Medium</v>
      </c>
      <c r="V333">
        <v>48</v>
      </c>
      <c r="W333">
        <f t="shared" si="23"/>
        <v>4</v>
      </c>
      <c r="X333" t="s">
        <v>42</v>
      </c>
      <c r="Y333" t="s">
        <v>32</v>
      </c>
      <c r="Z333" t="s">
        <v>39</v>
      </c>
      <c r="AA333" t="s">
        <v>40</v>
      </c>
      <c r="AB333" t="s">
        <v>42</v>
      </c>
      <c r="AC333" t="s">
        <v>44</v>
      </c>
    </row>
    <row r="334" spans="1:29" x14ac:dyDescent="0.25">
      <c r="A334">
        <v>349</v>
      </c>
      <c r="B334">
        <v>11662</v>
      </c>
      <c r="C334">
        <v>2428</v>
      </c>
      <c r="D334">
        <f t="shared" si="20"/>
        <v>14090</v>
      </c>
      <c r="E334" t="s">
        <v>46</v>
      </c>
      <c r="F334">
        <v>23</v>
      </c>
      <c r="G334" t="str" cm="1">
        <f t="array" ref="G334">_xlfn.IFS(F334&lt;25,"18-24",F334&lt;35,"25-35",F334&lt;45,"35-44",F334&lt;55,"44-54",F334&gt;=55,"55+")</f>
        <v>18-24</v>
      </c>
      <c r="H334" t="s">
        <v>41</v>
      </c>
      <c r="I334">
        <v>0</v>
      </c>
      <c r="J334" t="str" cm="1">
        <f t="array" ref="J334">_xlfn.IFS(I334&lt;=0,"No Dependents",I334&lt;=1,"One",I334&lt;=2,"Two",I334&gt;=3,"Third")</f>
        <v>No Dependents</v>
      </c>
      <c r="K334">
        <v>550</v>
      </c>
      <c r="L334" t="str" cm="1">
        <f t="array" ref="L334">_xlfn.IFS(K334&lt;=580,"Poor",K334&lt;=670,"fair",K334&lt;=740,"Good",K334&lt;=800,"Very Good",K334&gt;=800,"Excellent")</f>
        <v>Poor</v>
      </c>
      <c r="M334">
        <v>0</v>
      </c>
      <c r="N334" t="str">
        <f t="shared" si="21"/>
        <v>No</v>
      </c>
      <c r="O334">
        <v>0.24</v>
      </c>
      <c r="P334" t="str" cm="1">
        <f t="array" ref="P334">_xlfn.IFS(O334&lt;=0.3,"Low Risk",O334&lt;=0.4,"medium Risk",O334&lt;=0.5,"High Risk",O334&gt;0.5,"Very High Risk")</f>
        <v>Low Risk</v>
      </c>
      <c r="Q334">
        <v>18215</v>
      </c>
      <c r="R334">
        <v>15367</v>
      </c>
      <c r="S334" t="str">
        <f t="shared" si="22"/>
        <v>Yes</v>
      </c>
      <c r="T334">
        <v>5030</v>
      </c>
      <c r="U334" t="str" cm="1">
        <f t="array" ref="U334">_xlfn.IFS(T334&lt;5000,"Small",T334&lt;20000,"Medium",T334&lt;35000,"Large",T334&gt;35000,"Very Large")</f>
        <v>Medium</v>
      </c>
      <c r="V334">
        <v>84</v>
      </c>
      <c r="W334">
        <f t="shared" si="23"/>
        <v>7</v>
      </c>
      <c r="X334" t="s">
        <v>31</v>
      </c>
      <c r="Y334" t="s">
        <v>45</v>
      </c>
      <c r="Z334" t="s">
        <v>39</v>
      </c>
      <c r="AA334" t="s">
        <v>40</v>
      </c>
      <c r="AB334" t="s">
        <v>48</v>
      </c>
      <c r="AC334" t="s">
        <v>44</v>
      </c>
    </row>
    <row r="335" spans="1:29" x14ac:dyDescent="0.25">
      <c r="A335">
        <v>350</v>
      </c>
      <c r="B335">
        <v>0</v>
      </c>
      <c r="C335">
        <v>5126</v>
      </c>
      <c r="D335">
        <f t="shared" si="20"/>
        <v>5126</v>
      </c>
      <c r="E335" t="s">
        <v>29</v>
      </c>
      <c r="F335">
        <v>30</v>
      </c>
      <c r="G335" t="str" cm="1">
        <f t="array" ref="G335">_xlfn.IFS(F335&lt;25,"18-24",F335&lt;35,"25-35",F335&lt;45,"35-44",F335&lt;55,"44-54",F335&gt;=55,"55+")</f>
        <v>25-35</v>
      </c>
      <c r="H335" t="s">
        <v>30</v>
      </c>
      <c r="I335">
        <v>0</v>
      </c>
      <c r="J335" t="str" cm="1">
        <f t="array" ref="J335">_xlfn.IFS(I335&lt;=0,"No Dependents",I335&lt;=1,"One",I335&lt;=2,"Two",I335&gt;=3,"Third")</f>
        <v>No Dependents</v>
      </c>
      <c r="K335">
        <v>687</v>
      </c>
      <c r="L335" t="str" cm="1">
        <f t="array" ref="L335">_xlfn.IFS(K335&lt;=580,"Poor",K335&lt;=670,"fair",K335&lt;=740,"Good",K335&lt;=800,"Very Good",K335&gt;=800,"Excellent")</f>
        <v>Good</v>
      </c>
      <c r="M335">
        <v>1</v>
      </c>
      <c r="N335" t="str">
        <f t="shared" si="21"/>
        <v>Yes</v>
      </c>
      <c r="O335">
        <v>0.18</v>
      </c>
      <c r="P335" t="str" cm="1">
        <f t="array" ref="P335">_xlfn.IFS(O335&lt;=0.3,"Low Risk",O335&lt;=0.4,"medium Risk",O335&lt;=0.5,"High Risk",O335&gt;0.5,"Very High Risk")</f>
        <v>Low Risk</v>
      </c>
      <c r="Q335">
        <v>0</v>
      </c>
      <c r="R335">
        <v>40412</v>
      </c>
      <c r="S335" t="str">
        <f t="shared" si="22"/>
        <v>Yes</v>
      </c>
      <c r="T335">
        <v>25243</v>
      </c>
      <c r="U335" t="str" cm="1">
        <f t="array" ref="U335">_xlfn.IFS(T335&lt;5000,"Small",T335&lt;20000,"Medium",T335&lt;35000,"Large",T335&gt;35000,"Very Large")</f>
        <v>Large</v>
      </c>
      <c r="V335">
        <v>84</v>
      </c>
      <c r="W335">
        <f t="shared" si="23"/>
        <v>7</v>
      </c>
      <c r="X335" t="s">
        <v>42</v>
      </c>
      <c r="Y335" t="s">
        <v>38</v>
      </c>
      <c r="Z335" t="s">
        <v>33</v>
      </c>
      <c r="AA335" t="s">
        <v>40</v>
      </c>
      <c r="AB335" t="s">
        <v>35</v>
      </c>
      <c r="AC335" t="s">
        <v>44</v>
      </c>
    </row>
    <row r="336" spans="1:29" x14ac:dyDescent="0.25">
      <c r="A336">
        <v>351</v>
      </c>
      <c r="B336">
        <v>17125</v>
      </c>
      <c r="C336">
        <v>8220</v>
      </c>
      <c r="D336">
        <f t="shared" si="20"/>
        <v>25345</v>
      </c>
      <c r="E336" t="s">
        <v>46</v>
      </c>
      <c r="F336">
        <v>54</v>
      </c>
      <c r="G336" t="str" cm="1">
        <f t="array" ref="G336">_xlfn.IFS(F336&lt;25,"18-24",F336&lt;35,"25-35",F336&lt;45,"35-44",F336&lt;55,"44-54",F336&gt;=55,"55+")</f>
        <v>44-54</v>
      </c>
      <c r="H336" t="s">
        <v>30</v>
      </c>
      <c r="I336">
        <v>3</v>
      </c>
      <c r="J336" t="str" cm="1">
        <f t="array" ref="J336">_xlfn.IFS(I336&lt;=0,"No Dependents",I336&lt;=1,"One",I336&lt;=2,"Two",I336&gt;=3,"Third")</f>
        <v>Third</v>
      </c>
      <c r="K336">
        <v>559</v>
      </c>
      <c r="L336" t="str" cm="1">
        <f t="array" ref="L336">_xlfn.IFS(K336&lt;=580,"Poor",K336&lt;=670,"fair",K336&lt;=740,"Good",K336&lt;=800,"Very Good",K336&gt;=800,"Excellent")</f>
        <v>Poor</v>
      </c>
      <c r="M336">
        <v>4</v>
      </c>
      <c r="N336" t="str">
        <f t="shared" si="21"/>
        <v>Yes</v>
      </c>
      <c r="O336">
        <v>0.18</v>
      </c>
      <c r="P336" t="str" cm="1">
        <f t="array" ref="P336">_xlfn.IFS(O336&lt;=0.3,"Low Risk",O336&lt;=0.4,"medium Risk",O336&lt;=0.5,"High Risk",O336&gt;0.5,"Very High Risk")</f>
        <v>Low Risk</v>
      </c>
      <c r="Q336">
        <v>9628</v>
      </c>
      <c r="R336">
        <v>44716</v>
      </c>
      <c r="S336" t="str">
        <f t="shared" si="22"/>
        <v>Yes</v>
      </c>
      <c r="T336">
        <v>34289</v>
      </c>
      <c r="U336" t="str" cm="1">
        <f t="array" ref="U336">_xlfn.IFS(T336&lt;5000,"Small",T336&lt;20000,"Medium",T336&lt;35000,"Large",T336&gt;35000,"Very Large")</f>
        <v>Large</v>
      </c>
      <c r="V336">
        <v>48</v>
      </c>
      <c r="W336">
        <f t="shared" si="23"/>
        <v>4</v>
      </c>
      <c r="X336" t="s">
        <v>37</v>
      </c>
      <c r="Y336" t="s">
        <v>32</v>
      </c>
      <c r="Z336" t="s">
        <v>39</v>
      </c>
      <c r="AA336" t="s">
        <v>40</v>
      </c>
      <c r="AB336" t="s">
        <v>51</v>
      </c>
      <c r="AC336" t="s">
        <v>36</v>
      </c>
    </row>
    <row r="337" spans="1:29" x14ac:dyDescent="0.25">
      <c r="A337">
        <v>352</v>
      </c>
      <c r="B337">
        <v>10130</v>
      </c>
      <c r="C337">
        <v>9098</v>
      </c>
      <c r="D337">
        <f t="shared" si="20"/>
        <v>19228</v>
      </c>
      <c r="E337" t="s">
        <v>29</v>
      </c>
      <c r="F337">
        <v>45</v>
      </c>
      <c r="G337" t="str" cm="1">
        <f t="array" ref="G337">_xlfn.IFS(F337&lt;25,"18-24",F337&lt;35,"25-35",F337&lt;45,"35-44",F337&lt;55,"44-54",F337&gt;=55,"55+")</f>
        <v>44-54</v>
      </c>
      <c r="H337" t="s">
        <v>41</v>
      </c>
      <c r="I337">
        <v>3</v>
      </c>
      <c r="J337" t="str" cm="1">
        <f t="array" ref="J337">_xlfn.IFS(I337&lt;=0,"No Dependents",I337&lt;=1,"One",I337&lt;=2,"Two",I337&gt;=3,"Third")</f>
        <v>Third</v>
      </c>
      <c r="K337">
        <v>651</v>
      </c>
      <c r="L337" t="str" cm="1">
        <f t="array" ref="L337">_xlfn.IFS(K337&lt;=580,"Poor",K337&lt;=670,"fair",K337&lt;=740,"Good",K337&lt;=800,"Very Good",K337&gt;=800,"Excellent")</f>
        <v>fair</v>
      </c>
      <c r="M337">
        <v>0</v>
      </c>
      <c r="N337" t="str">
        <f t="shared" si="21"/>
        <v>No</v>
      </c>
      <c r="O337">
        <v>0.35</v>
      </c>
      <c r="P337" t="str" cm="1">
        <f t="array" ref="P337">_xlfn.IFS(O337&lt;=0.3,"Low Risk",O337&lt;=0.4,"medium Risk",O337&lt;=0.5,"High Risk",O337&gt;0.5,"Very High Risk")</f>
        <v>medium Risk</v>
      </c>
      <c r="Q337">
        <v>329</v>
      </c>
      <c r="R337">
        <v>35367</v>
      </c>
      <c r="S337" t="str">
        <f t="shared" si="22"/>
        <v>Yes</v>
      </c>
      <c r="T337">
        <v>20739</v>
      </c>
      <c r="U337" t="str" cm="1">
        <f t="array" ref="U337">_xlfn.IFS(T337&lt;5000,"Small",T337&lt;20000,"Medium",T337&lt;35000,"Large",T337&gt;35000,"Very Large")</f>
        <v>Large</v>
      </c>
      <c r="V337">
        <v>24</v>
      </c>
      <c r="W337">
        <f t="shared" si="23"/>
        <v>2</v>
      </c>
      <c r="X337" t="s">
        <v>47</v>
      </c>
      <c r="Y337" t="s">
        <v>38</v>
      </c>
      <c r="Z337" t="s">
        <v>39</v>
      </c>
      <c r="AA337" t="s">
        <v>40</v>
      </c>
      <c r="AB337" t="s">
        <v>42</v>
      </c>
      <c r="AC337" t="s">
        <v>44</v>
      </c>
    </row>
    <row r="338" spans="1:29" x14ac:dyDescent="0.25">
      <c r="A338">
        <v>353</v>
      </c>
      <c r="B338">
        <v>3679</v>
      </c>
      <c r="C338">
        <v>7813</v>
      </c>
      <c r="D338">
        <f t="shared" si="20"/>
        <v>11492</v>
      </c>
      <c r="E338" t="s">
        <v>49</v>
      </c>
      <c r="F338">
        <v>55</v>
      </c>
      <c r="G338" t="str" cm="1">
        <f t="array" ref="G338">_xlfn.IFS(F338&lt;25,"18-24",F338&lt;35,"25-35",F338&lt;45,"35-44",F338&lt;55,"44-54",F338&gt;=55,"55+")</f>
        <v>55+</v>
      </c>
      <c r="H338" t="s">
        <v>41</v>
      </c>
      <c r="I338">
        <v>2</v>
      </c>
      <c r="J338" t="str" cm="1">
        <f t="array" ref="J338">_xlfn.IFS(I338&lt;=0,"No Dependents",I338&lt;=1,"One",I338&lt;=2,"Two",I338&gt;=3,"Third")</f>
        <v>Two</v>
      </c>
      <c r="K338">
        <v>768</v>
      </c>
      <c r="L338" t="str" cm="1">
        <f t="array" ref="L338">_xlfn.IFS(K338&lt;=580,"Poor",K338&lt;=670,"fair",K338&lt;=740,"Good",K338&lt;=800,"Very Good",K338&gt;=800,"Excellent")</f>
        <v>Very Good</v>
      </c>
      <c r="M338">
        <v>1</v>
      </c>
      <c r="N338" t="str">
        <f t="shared" si="21"/>
        <v>Yes</v>
      </c>
      <c r="O338">
        <v>0.5</v>
      </c>
      <c r="P338" t="str" cm="1">
        <f t="array" ref="P338">_xlfn.IFS(O338&lt;=0.3,"Low Risk",O338&lt;=0.4,"medium Risk",O338&lt;=0.5,"High Risk",O338&gt;0.5,"Very High Risk")</f>
        <v>High Risk</v>
      </c>
      <c r="Q338">
        <v>5851</v>
      </c>
      <c r="R338">
        <v>5813</v>
      </c>
      <c r="S338" t="str">
        <f t="shared" si="22"/>
        <v>Yes</v>
      </c>
      <c r="T338">
        <v>35168</v>
      </c>
      <c r="U338" t="str" cm="1">
        <f t="array" ref="U338">_xlfn.IFS(T338&lt;5000,"Small",T338&lt;20000,"Medium",T338&lt;35000,"Large",T338&gt;35000,"Very Large")</f>
        <v>Very Large</v>
      </c>
      <c r="V338">
        <v>72</v>
      </c>
      <c r="W338">
        <f t="shared" si="23"/>
        <v>6</v>
      </c>
      <c r="X338" t="s">
        <v>47</v>
      </c>
      <c r="Y338" t="s">
        <v>32</v>
      </c>
      <c r="Z338" t="s">
        <v>39</v>
      </c>
      <c r="AA338" t="s">
        <v>34</v>
      </c>
      <c r="AB338" t="s">
        <v>35</v>
      </c>
      <c r="AC338" t="s">
        <v>36</v>
      </c>
    </row>
    <row r="339" spans="1:29" x14ac:dyDescent="0.25">
      <c r="A339">
        <v>354</v>
      </c>
      <c r="B339">
        <v>5506</v>
      </c>
      <c r="C339">
        <v>9645</v>
      </c>
      <c r="D339">
        <f t="shared" si="20"/>
        <v>15151</v>
      </c>
      <c r="E339" t="s">
        <v>29</v>
      </c>
      <c r="F339">
        <v>36</v>
      </c>
      <c r="G339" t="str" cm="1">
        <f t="array" ref="G339">_xlfn.IFS(F339&lt;25,"18-24",F339&lt;35,"25-35",F339&lt;45,"35-44",F339&lt;55,"44-54",F339&gt;=55,"55+")</f>
        <v>35-44</v>
      </c>
      <c r="H339" t="s">
        <v>30</v>
      </c>
      <c r="I339">
        <v>2</v>
      </c>
      <c r="J339" t="str" cm="1">
        <f t="array" ref="J339">_xlfn.IFS(I339&lt;=0,"No Dependents",I339&lt;=1,"One",I339&lt;=2,"Two",I339&gt;=3,"Third")</f>
        <v>Two</v>
      </c>
      <c r="K339">
        <v>737</v>
      </c>
      <c r="L339" t="str" cm="1">
        <f t="array" ref="L339">_xlfn.IFS(K339&lt;=580,"Poor",K339&lt;=670,"fair",K339&lt;=740,"Good",K339&lt;=800,"Very Good",K339&gt;=800,"Excellent")</f>
        <v>Good</v>
      </c>
      <c r="M339">
        <v>0</v>
      </c>
      <c r="N339" t="str">
        <f t="shared" si="21"/>
        <v>No</v>
      </c>
      <c r="O339">
        <v>0.35</v>
      </c>
      <c r="P339" t="str" cm="1">
        <f t="array" ref="P339">_xlfn.IFS(O339&lt;=0.3,"Low Risk",O339&lt;=0.4,"medium Risk",O339&lt;=0.5,"High Risk",O339&gt;0.5,"Very High Risk")</f>
        <v>medium Risk</v>
      </c>
      <c r="Q339">
        <v>7032</v>
      </c>
      <c r="R339">
        <v>36621</v>
      </c>
      <c r="S339" t="str">
        <f t="shared" si="22"/>
        <v>Yes</v>
      </c>
      <c r="T339">
        <v>37491</v>
      </c>
      <c r="U339" t="str" cm="1">
        <f t="array" ref="U339">_xlfn.IFS(T339&lt;5000,"Small",T339&lt;20000,"Medium",T339&lt;35000,"Large",T339&gt;35000,"Very Large")</f>
        <v>Very Large</v>
      </c>
      <c r="V339">
        <v>12</v>
      </c>
      <c r="W339">
        <f t="shared" si="23"/>
        <v>1</v>
      </c>
      <c r="X339" t="s">
        <v>31</v>
      </c>
      <c r="Y339" t="s">
        <v>38</v>
      </c>
      <c r="Z339" t="s">
        <v>33</v>
      </c>
      <c r="AA339" t="s">
        <v>40</v>
      </c>
      <c r="AB339" t="s">
        <v>43</v>
      </c>
      <c r="AC339" t="s">
        <v>36</v>
      </c>
    </row>
    <row r="340" spans="1:29" x14ac:dyDescent="0.25">
      <c r="A340">
        <v>355</v>
      </c>
      <c r="B340">
        <v>15284</v>
      </c>
      <c r="C340">
        <v>3356</v>
      </c>
      <c r="D340">
        <f t="shared" si="20"/>
        <v>18640</v>
      </c>
      <c r="E340" t="s">
        <v>46</v>
      </c>
      <c r="F340">
        <v>22</v>
      </c>
      <c r="G340" t="str" cm="1">
        <f t="array" ref="G340">_xlfn.IFS(F340&lt;25,"18-24",F340&lt;35,"25-35",F340&lt;45,"35-44",F340&lt;55,"44-54",F340&gt;=55,"55+")</f>
        <v>18-24</v>
      </c>
      <c r="H340" t="s">
        <v>30</v>
      </c>
      <c r="I340">
        <v>2</v>
      </c>
      <c r="J340" t="str" cm="1">
        <f t="array" ref="J340">_xlfn.IFS(I340&lt;=0,"No Dependents",I340&lt;=1,"One",I340&lt;=2,"Two",I340&gt;=3,"Third")</f>
        <v>Two</v>
      </c>
      <c r="K340">
        <v>677</v>
      </c>
      <c r="L340" t="str" cm="1">
        <f t="array" ref="L340">_xlfn.IFS(K340&lt;=580,"Poor",K340&lt;=670,"fair",K340&lt;=740,"Good",K340&lt;=800,"Very Good",K340&gt;=800,"Excellent")</f>
        <v>Good</v>
      </c>
      <c r="M340">
        <v>0</v>
      </c>
      <c r="N340" t="str">
        <f t="shared" si="21"/>
        <v>No</v>
      </c>
      <c r="O340">
        <v>0.59</v>
      </c>
      <c r="P340" t="str" cm="1">
        <f t="array" ref="P340">_xlfn.IFS(O340&lt;=0.3,"Low Risk",O340&lt;=0.4,"medium Risk",O340&lt;=0.5,"High Risk",O340&gt;0.5,"Very High Risk")</f>
        <v>Very High Risk</v>
      </c>
      <c r="Q340">
        <v>15326</v>
      </c>
      <c r="R340">
        <v>0</v>
      </c>
      <c r="S340" t="str">
        <f t="shared" si="22"/>
        <v>No</v>
      </c>
      <c r="T340">
        <v>31013</v>
      </c>
      <c r="U340" t="str" cm="1">
        <f t="array" ref="U340">_xlfn.IFS(T340&lt;5000,"Small",T340&lt;20000,"Medium",T340&lt;35000,"Large",T340&gt;35000,"Very Large")</f>
        <v>Large</v>
      </c>
      <c r="V340">
        <v>60</v>
      </c>
      <c r="W340">
        <f t="shared" si="23"/>
        <v>5</v>
      </c>
      <c r="X340" t="s">
        <v>37</v>
      </c>
      <c r="Y340" t="s">
        <v>45</v>
      </c>
      <c r="Z340" t="s">
        <v>39</v>
      </c>
      <c r="AA340" t="s">
        <v>40</v>
      </c>
      <c r="AB340" t="s">
        <v>43</v>
      </c>
      <c r="AC340" t="s">
        <v>36</v>
      </c>
    </row>
    <row r="341" spans="1:29" x14ac:dyDescent="0.25">
      <c r="A341">
        <v>357</v>
      </c>
      <c r="B341">
        <v>11435</v>
      </c>
      <c r="C341">
        <v>7266</v>
      </c>
      <c r="D341">
        <f t="shared" si="20"/>
        <v>18701</v>
      </c>
      <c r="E341" t="s">
        <v>29</v>
      </c>
      <c r="F341">
        <v>30</v>
      </c>
      <c r="G341" t="str" cm="1">
        <f t="array" ref="G341">_xlfn.IFS(F341&lt;25,"18-24",F341&lt;35,"25-35",F341&lt;45,"35-44",F341&lt;55,"44-54",F341&gt;=55,"55+")</f>
        <v>25-35</v>
      </c>
      <c r="H341" t="s">
        <v>30</v>
      </c>
      <c r="I341">
        <v>2</v>
      </c>
      <c r="J341" t="str" cm="1">
        <f t="array" ref="J341">_xlfn.IFS(I341&lt;=0,"No Dependents",I341&lt;=1,"One",I341&lt;=2,"Two",I341&gt;=3,"Third")</f>
        <v>Two</v>
      </c>
      <c r="K341">
        <v>698</v>
      </c>
      <c r="L341" t="str" cm="1">
        <f t="array" ref="L341">_xlfn.IFS(K341&lt;=580,"Poor",K341&lt;=670,"fair",K341&lt;=740,"Good",K341&lt;=800,"Very Good",K341&gt;=800,"Excellent")</f>
        <v>Good</v>
      </c>
      <c r="M341">
        <v>0</v>
      </c>
      <c r="N341" t="str">
        <f t="shared" si="21"/>
        <v>No</v>
      </c>
      <c r="O341">
        <v>0.54</v>
      </c>
      <c r="P341" t="str" cm="1">
        <f t="array" ref="P341">_xlfn.IFS(O341&lt;=0.3,"Low Risk",O341&lt;=0.4,"medium Risk",O341&lt;=0.5,"High Risk",O341&gt;0.5,"Very High Risk")</f>
        <v>Very High Risk</v>
      </c>
      <c r="Q341">
        <v>4354</v>
      </c>
      <c r="R341">
        <v>40318</v>
      </c>
      <c r="S341" t="str">
        <f t="shared" si="22"/>
        <v>Yes</v>
      </c>
      <c r="T341">
        <v>19242</v>
      </c>
      <c r="U341" t="str" cm="1">
        <f t="array" ref="U341">_xlfn.IFS(T341&lt;5000,"Small",T341&lt;20000,"Medium",T341&lt;35000,"Large",T341&gt;35000,"Very Large")</f>
        <v>Medium</v>
      </c>
      <c r="V341">
        <v>60</v>
      </c>
      <c r="W341">
        <f t="shared" si="23"/>
        <v>5</v>
      </c>
      <c r="X341" t="s">
        <v>50</v>
      </c>
      <c r="Y341" t="s">
        <v>32</v>
      </c>
      <c r="Z341" t="s">
        <v>39</v>
      </c>
      <c r="AA341" t="s">
        <v>40</v>
      </c>
      <c r="AB341" t="s">
        <v>35</v>
      </c>
      <c r="AC341" t="s">
        <v>36</v>
      </c>
    </row>
    <row r="342" spans="1:29" x14ac:dyDescent="0.25">
      <c r="A342">
        <v>358</v>
      </c>
      <c r="B342">
        <v>13310</v>
      </c>
      <c r="C342">
        <v>6540</v>
      </c>
      <c r="D342">
        <f t="shared" si="20"/>
        <v>19850</v>
      </c>
      <c r="E342" t="s">
        <v>29</v>
      </c>
      <c r="F342">
        <v>58</v>
      </c>
      <c r="G342" t="str" cm="1">
        <f t="array" ref="G342">_xlfn.IFS(F342&lt;25,"18-24",F342&lt;35,"25-35",F342&lt;45,"35-44",F342&lt;55,"44-54",F342&gt;=55,"55+")</f>
        <v>55+</v>
      </c>
      <c r="H342" t="s">
        <v>30</v>
      </c>
      <c r="I342">
        <v>0</v>
      </c>
      <c r="J342" t="str" cm="1">
        <f t="array" ref="J342">_xlfn.IFS(I342&lt;=0,"No Dependents",I342&lt;=1,"One",I342&lt;=2,"Two",I342&gt;=3,"Third")</f>
        <v>No Dependents</v>
      </c>
      <c r="K342">
        <v>685</v>
      </c>
      <c r="L342" t="str" cm="1">
        <f t="array" ref="L342">_xlfn.IFS(K342&lt;=580,"Poor",K342&lt;=670,"fair",K342&lt;=740,"Good",K342&lt;=800,"Very Good",K342&gt;=800,"Excellent")</f>
        <v>Good</v>
      </c>
      <c r="M342">
        <v>1</v>
      </c>
      <c r="N342" t="str">
        <f t="shared" si="21"/>
        <v>Yes</v>
      </c>
      <c r="O342">
        <v>0.26</v>
      </c>
      <c r="P342" t="str" cm="1">
        <f t="array" ref="P342">_xlfn.IFS(O342&lt;=0.3,"Low Risk",O342&lt;=0.4,"medium Risk",O342&lt;=0.5,"High Risk",O342&gt;0.5,"Very High Risk")</f>
        <v>Low Risk</v>
      </c>
      <c r="Q342">
        <v>15082</v>
      </c>
      <c r="R342">
        <v>37018</v>
      </c>
      <c r="S342" t="str">
        <f t="shared" si="22"/>
        <v>Yes</v>
      </c>
      <c r="T342">
        <v>5781</v>
      </c>
      <c r="U342" t="str" cm="1">
        <f t="array" ref="U342">_xlfn.IFS(T342&lt;5000,"Small",T342&lt;20000,"Medium",T342&lt;35000,"Large",T342&gt;35000,"Very Large")</f>
        <v>Medium</v>
      </c>
      <c r="V342">
        <v>72</v>
      </c>
      <c r="W342">
        <f t="shared" si="23"/>
        <v>6</v>
      </c>
      <c r="X342" t="s">
        <v>31</v>
      </c>
      <c r="Y342" t="s">
        <v>38</v>
      </c>
      <c r="Z342" t="s">
        <v>39</v>
      </c>
      <c r="AA342" t="s">
        <v>34</v>
      </c>
      <c r="AB342" t="s">
        <v>51</v>
      </c>
      <c r="AC342" t="s">
        <v>44</v>
      </c>
    </row>
    <row r="343" spans="1:29" x14ac:dyDescent="0.25">
      <c r="A343">
        <v>359</v>
      </c>
      <c r="B343">
        <v>15296</v>
      </c>
      <c r="C343">
        <v>38</v>
      </c>
      <c r="D343">
        <f t="shared" si="20"/>
        <v>15334</v>
      </c>
      <c r="E343" t="s">
        <v>49</v>
      </c>
      <c r="F343">
        <v>40</v>
      </c>
      <c r="G343" t="str" cm="1">
        <f t="array" ref="G343">_xlfn.IFS(F343&lt;25,"18-24",F343&lt;35,"25-35",F343&lt;45,"35-44",F343&lt;55,"44-54",F343&gt;=55,"55+")</f>
        <v>35-44</v>
      </c>
      <c r="H343" t="s">
        <v>30</v>
      </c>
      <c r="I343">
        <v>2</v>
      </c>
      <c r="J343" t="str" cm="1">
        <f t="array" ref="J343">_xlfn.IFS(I343&lt;=0,"No Dependents",I343&lt;=1,"One",I343&lt;=2,"Two",I343&gt;=3,"Third")</f>
        <v>Two</v>
      </c>
      <c r="K343">
        <v>742</v>
      </c>
      <c r="L343" t="str" cm="1">
        <f t="array" ref="L343">_xlfn.IFS(K343&lt;=580,"Poor",K343&lt;=670,"fair",K343&lt;=740,"Good",K343&lt;=800,"Very Good",K343&gt;=800,"Excellent")</f>
        <v>Very Good</v>
      </c>
      <c r="M343">
        <v>1</v>
      </c>
      <c r="N343" t="str">
        <f t="shared" si="21"/>
        <v>Yes</v>
      </c>
      <c r="O343">
        <v>0.16</v>
      </c>
      <c r="P343" t="str" cm="1">
        <f t="array" ref="P343">_xlfn.IFS(O343&lt;=0.3,"Low Risk",O343&lt;=0.4,"medium Risk",O343&lt;=0.5,"High Risk",O343&gt;0.5,"Very High Risk")</f>
        <v>Low Risk</v>
      </c>
      <c r="Q343">
        <v>4722</v>
      </c>
      <c r="R343">
        <v>39759</v>
      </c>
      <c r="S343" t="str">
        <f t="shared" si="22"/>
        <v>Yes</v>
      </c>
      <c r="T343">
        <v>21448</v>
      </c>
      <c r="U343" t="str" cm="1">
        <f t="array" ref="U343">_xlfn.IFS(T343&lt;5000,"Small",T343&lt;20000,"Medium",T343&lt;35000,"Large",T343&gt;35000,"Very Large")</f>
        <v>Large</v>
      </c>
      <c r="V343">
        <v>12</v>
      </c>
      <c r="W343">
        <f t="shared" si="23"/>
        <v>1</v>
      </c>
      <c r="X343" t="s">
        <v>31</v>
      </c>
      <c r="Y343" t="s">
        <v>45</v>
      </c>
      <c r="Z343" t="s">
        <v>39</v>
      </c>
      <c r="AA343" t="s">
        <v>40</v>
      </c>
      <c r="AB343" t="s">
        <v>35</v>
      </c>
      <c r="AC343" t="s">
        <v>44</v>
      </c>
    </row>
    <row r="344" spans="1:29" x14ac:dyDescent="0.25">
      <c r="A344">
        <v>360</v>
      </c>
      <c r="B344">
        <v>15245</v>
      </c>
      <c r="C344">
        <v>3342</v>
      </c>
      <c r="D344">
        <f t="shared" si="20"/>
        <v>18587</v>
      </c>
      <c r="E344" t="s">
        <v>49</v>
      </c>
      <c r="F344">
        <v>46</v>
      </c>
      <c r="G344" t="str" cm="1">
        <f t="array" ref="G344">_xlfn.IFS(F344&lt;25,"18-24",F344&lt;35,"25-35",F344&lt;45,"35-44",F344&lt;55,"44-54",F344&gt;=55,"55+")</f>
        <v>44-54</v>
      </c>
      <c r="H344" t="s">
        <v>30</v>
      </c>
      <c r="I344">
        <v>3</v>
      </c>
      <c r="J344" t="str" cm="1">
        <f t="array" ref="J344">_xlfn.IFS(I344&lt;=0,"No Dependents",I344&lt;=1,"One",I344&lt;=2,"Two",I344&gt;=3,"Third")</f>
        <v>Third</v>
      </c>
      <c r="K344">
        <v>641</v>
      </c>
      <c r="L344" t="str" cm="1">
        <f t="array" ref="L344">_xlfn.IFS(K344&lt;=580,"Poor",K344&lt;=670,"fair",K344&lt;=740,"Good",K344&lt;=800,"Very Good",K344&gt;=800,"Excellent")</f>
        <v>fair</v>
      </c>
      <c r="M344">
        <v>1</v>
      </c>
      <c r="N344" t="str">
        <f t="shared" si="21"/>
        <v>Yes</v>
      </c>
      <c r="O344">
        <v>0.54</v>
      </c>
      <c r="P344" t="str" cm="1">
        <f t="array" ref="P344">_xlfn.IFS(O344&lt;=0.3,"Low Risk",O344&lt;=0.4,"medium Risk",O344&lt;=0.5,"High Risk",O344&gt;0.5,"Very High Risk")</f>
        <v>Very High Risk</v>
      </c>
      <c r="Q344">
        <v>17772</v>
      </c>
      <c r="R344">
        <v>16498</v>
      </c>
      <c r="S344" t="str">
        <f t="shared" si="22"/>
        <v>Yes</v>
      </c>
      <c r="T344">
        <v>0</v>
      </c>
      <c r="U344" t="str" cm="1">
        <f t="array" ref="U344">_xlfn.IFS(T344&lt;5000,"Small",T344&lt;20000,"Medium",T344&lt;35000,"Large",T344&gt;35000,"Very Large")</f>
        <v>Small</v>
      </c>
      <c r="V344">
        <v>48</v>
      </c>
      <c r="W344">
        <f t="shared" si="23"/>
        <v>4</v>
      </c>
      <c r="X344" t="s">
        <v>50</v>
      </c>
      <c r="Y344" t="s">
        <v>45</v>
      </c>
      <c r="Z344" t="s">
        <v>39</v>
      </c>
      <c r="AA344" t="s">
        <v>40</v>
      </c>
      <c r="AB344" t="s">
        <v>43</v>
      </c>
      <c r="AC344" t="s">
        <v>36</v>
      </c>
    </row>
    <row r="345" spans="1:29" x14ac:dyDescent="0.25">
      <c r="A345">
        <v>361</v>
      </c>
      <c r="B345">
        <v>0</v>
      </c>
      <c r="C345">
        <v>9078</v>
      </c>
      <c r="D345">
        <f t="shared" si="20"/>
        <v>9078</v>
      </c>
      <c r="E345" t="s">
        <v>29</v>
      </c>
      <c r="F345">
        <v>40</v>
      </c>
      <c r="G345" t="str" cm="1">
        <f t="array" ref="G345">_xlfn.IFS(F345&lt;25,"18-24",F345&lt;35,"25-35",F345&lt;45,"35-44",F345&lt;55,"44-54",F345&gt;=55,"55+")</f>
        <v>35-44</v>
      </c>
      <c r="H345" t="s">
        <v>30</v>
      </c>
      <c r="I345">
        <v>2</v>
      </c>
      <c r="J345" t="str" cm="1">
        <f t="array" ref="J345">_xlfn.IFS(I345&lt;=0,"No Dependents",I345&lt;=1,"One",I345&lt;=2,"Two",I345&gt;=3,"Third")</f>
        <v>Two</v>
      </c>
      <c r="K345">
        <v>662</v>
      </c>
      <c r="L345" t="str" cm="1">
        <f t="array" ref="L345">_xlfn.IFS(K345&lt;=580,"Poor",K345&lt;=670,"fair",K345&lt;=740,"Good",K345&lt;=800,"Very Good",K345&gt;=800,"Excellent")</f>
        <v>fair</v>
      </c>
      <c r="M345">
        <v>2</v>
      </c>
      <c r="N345" t="str">
        <f t="shared" si="21"/>
        <v>Yes</v>
      </c>
      <c r="O345">
        <v>0.42</v>
      </c>
      <c r="P345" t="str" cm="1">
        <f t="array" ref="P345">_xlfn.IFS(O345&lt;=0.3,"Low Risk",O345&lt;=0.4,"medium Risk",O345&lt;=0.5,"High Risk",O345&gt;0.5,"Very High Risk")</f>
        <v>High Risk</v>
      </c>
      <c r="Q345">
        <v>8911</v>
      </c>
      <c r="R345">
        <v>25989</v>
      </c>
      <c r="S345" t="str">
        <f t="shared" si="22"/>
        <v>Yes</v>
      </c>
      <c r="T345">
        <v>12043</v>
      </c>
      <c r="U345" t="str" cm="1">
        <f t="array" ref="U345">_xlfn.IFS(T345&lt;5000,"Small",T345&lt;20000,"Medium",T345&lt;35000,"Large",T345&gt;35000,"Very Large")</f>
        <v>Medium</v>
      </c>
      <c r="V345">
        <v>60</v>
      </c>
      <c r="W345">
        <f t="shared" si="23"/>
        <v>5</v>
      </c>
      <c r="X345" t="s">
        <v>50</v>
      </c>
      <c r="Y345" t="s">
        <v>32</v>
      </c>
      <c r="Z345" t="s">
        <v>33</v>
      </c>
      <c r="AA345" t="s">
        <v>34</v>
      </c>
      <c r="AB345" t="s">
        <v>51</v>
      </c>
      <c r="AC345" t="s">
        <v>36</v>
      </c>
    </row>
    <row r="346" spans="1:29" x14ac:dyDescent="0.25">
      <c r="A346">
        <v>362</v>
      </c>
      <c r="B346">
        <v>12457</v>
      </c>
      <c r="C346">
        <v>2844</v>
      </c>
      <c r="D346">
        <f t="shared" si="20"/>
        <v>15301</v>
      </c>
      <c r="E346" t="s">
        <v>49</v>
      </c>
      <c r="F346">
        <v>47</v>
      </c>
      <c r="G346" t="str" cm="1">
        <f t="array" ref="G346">_xlfn.IFS(F346&lt;25,"18-24",F346&lt;35,"25-35",F346&lt;45,"35-44",F346&lt;55,"44-54",F346&gt;=55,"55+")</f>
        <v>44-54</v>
      </c>
      <c r="H346" t="s">
        <v>41</v>
      </c>
      <c r="I346">
        <v>1</v>
      </c>
      <c r="J346" t="str" cm="1">
        <f t="array" ref="J346">_xlfn.IFS(I346&lt;=0,"No Dependents",I346&lt;=1,"One",I346&lt;=2,"Two",I346&gt;=3,"Third")</f>
        <v>One</v>
      </c>
      <c r="K346">
        <v>780</v>
      </c>
      <c r="L346" t="str" cm="1">
        <f t="array" ref="L346">_xlfn.IFS(K346&lt;=580,"Poor",K346&lt;=670,"fair",K346&lt;=740,"Good",K346&lt;=800,"Very Good",K346&gt;=800,"Excellent")</f>
        <v>Very Good</v>
      </c>
      <c r="M346">
        <v>0</v>
      </c>
      <c r="N346" t="str">
        <f t="shared" si="21"/>
        <v>No</v>
      </c>
      <c r="O346">
        <v>0.18</v>
      </c>
      <c r="P346" t="str" cm="1">
        <f t="array" ref="P346">_xlfn.IFS(O346&lt;=0.3,"Low Risk",O346&lt;=0.4,"medium Risk",O346&lt;=0.5,"High Risk",O346&gt;0.5,"Very High Risk")</f>
        <v>Low Risk</v>
      </c>
      <c r="Q346">
        <v>3235</v>
      </c>
      <c r="R346">
        <v>37174</v>
      </c>
      <c r="S346" t="str">
        <f t="shared" si="22"/>
        <v>Yes</v>
      </c>
      <c r="T346">
        <v>20853</v>
      </c>
      <c r="U346" t="str" cm="1">
        <f t="array" ref="U346">_xlfn.IFS(T346&lt;5000,"Small",T346&lt;20000,"Medium",T346&lt;35000,"Large",T346&gt;35000,"Very Large")</f>
        <v>Large</v>
      </c>
      <c r="V346">
        <v>48</v>
      </c>
      <c r="W346">
        <f t="shared" si="23"/>
        <v>4</v>
      </c>
      <c r="X346" t="s">
        <v>47</v>
      </c>
      <c r="Y346" t="s">
        <v>32</v>
      </c>
      <c r="Z346" t="s">
        <v>39</v>
      </c>
      <c r="AA346" t="s">
        <v>40</v>
      </c>
      <c r="AB346" t="s">
        <v>43</v>
      </c>
      <c r="AC346" t="s">
        <v>44</v>
      </c>
    </row>
    <row r="347" spans="1:29" x14ac:dyDescent="0.25">
      <c r="A347">
        <v>363</v>
      </c>
      <c r="B347">
        <v>4479</v>
      </c>
      <c r="C347">
        <v>1098</v>
      </c>
      <c r="D347">
        <f t="shared" si="20"/>
        <v>5577</v>
      </c>
      <c r="E347" t="s">
        <v>48</v>
      </c>
      <c r="F347">
        <v>49</v>
      </c>
      <c r="G347" t="str" cm="1">
        <f t="array" ref="G347">_xlfn.IFS(F347&lt;25,"18-24",F347&lt;35,"25-35",F347&lt;45,"35-44",F347&lt;55,"44-54",F347&gt;=55,"55+")</f>
        <v>44-54</v>
      </c>
      <c r="H347" t="s">
        <v>30</v>
      </c>
      <c r="I347">
        <v>0</v>
      </c>
      <c r="J347" t="str" cm="1">
        <f t="array" ref="J347">_xlfn.IFS(I347&lt;=0,"No Dependents",I347&lt;=1,"One",I347&lt;=2,"Two",I347&gt;=3,"Third")</f>
        <v>No Dependents</v>
      </c>
      <c r="K347">
        <v>627</v>
      </c>
      <c r="L347" t="str" cm="1">
        <f t="array" ref="L347">_xlfn.IFS(K347&lt;=580,"Poor",K347&lt;=670,"fair",K347&lt;=740,"Good",K347&lt;=800,"Very Good",K347&gt;=800,"Excellent")</f>
        <v>fair</v>
      </c>
      <c r="M347">
        <v>3</v>
      </c>
      <c r="N347" t="str">
        <f t="shared" si="21"/>
        <v>Yes</v>
      </c>
      <c r="O347">
        <v>0.31</v>
      </c>
      <c r="P347" t="str" cm="1">
        <f t="array" ref="P347">_xlfn.IFS(O347&lt;=0.3,"Low Risk",O347&lt;=0.4,"medium Risk",O347&lt;=0.5,"High Risk",O347&gt;0.5,"Very High Risk")</f>
        <v>medium Risk</v>
      </c>
      <c r="Q347">
        <v>0</v>
      </c>
      <c r="R347">
        <v>25568</v>
      </c>
      <c r="S347" t="str">
        <f t="shared" si="22"/>
        <v>Yes</v>
      </c>
      <c r="T347">
        <v>21079</v>
      </c>
      <c r="U347" t="str" cm="1">
        <f t="array" ref="U347">_xlfn.IFS(T347&lt;5000,"Small",T347&lt;20000,"Medium",T347&lt;35000,"Large",T347&gt;35000,"Very Large")</f>
        <v>Large</v>
      </c>
      <c r="V347">
        <v>60</v>
      </c>
      <c r="W347">
        <f t="shared" si="23"/>
        <v>5</v>
      </c>
      <c r="X347" t="s">
        <v>31</v>
      </c>
      <c r="Y347" t="s">
        <v>32</v>
      </c>
      <c r="Z347" t="s">
        <v>39</v>
      </c>
      <c r="AA347" t="s">
        <v>34</v>
      </c>
      <c r="AB347" t="s">
        <v>35</v>
      </c>
      <c r="AC347" t="s">
        <v>36</v>
      </c>
    </row>
    <row r="348" spans="1:29" x14ac:dyDescent="0.25">
      <c r="A348">
        <v>364</v>
      </c>
      <c r="B348">
        <v>6452</v>
      </c>
      <c r="C348">
        <v>7027</v>
      </c>
      <c r="D348">
        <f t="shared" si="20"/>
        <v>13479</v>
      </c>
      <c r="E348" t="s">
        <v>49</v>
      </c>
      <c r="F348">
        <v>58</v>
      </c>
      <c r="G348" t="str" cm="1">
        <f t="array" ref="G348">_xlfn.IFS(F348&lt;25,"18-24",F348&lt;35,"25-35",F348&lt;45,"35-44",F348&lt;55,"44-54",F348&gt;=55,"55+")</f>
        <v>55+</v>
      </c>
      <c r="H348" t="s">
        <v>30</v>
      </c>
      <c r="I348">
        <v>0</v>
      </c>
      <c r="J348" t="str" cm="1">
        <f t="array" ref="J348">_xlfn.IFS(I348&lt;=0,"No Dependents",I348&lt;=1,"One",I348&lt;=2,"Two",I348&gt;=3,"Third")</f>
        <v>No Dependents</v>
      </c>
      <c r="K348">
        <v>634</v>
      </c>
      <c r="L348" t="str" cm="1">
        <f t="array" ref="L348">_xlfn.IFS(K348&lt;=580,"Poor",K348&lt;=670,"fair",K348&lt;=740,"Good",K348&lt;=800,"Very Good",K348&gt;=800,"Excellent")</f>
        <v>fair</v>
      </c>
      <c r="M348">
        <v>1</v>
      </c>
      <c r="N348" t="str">
        <f t="shared" si="21"/>
        <v>Yes</v>
      </c>
      <c r="O348">
        <v>0.24</v>
      </c>
      <c r="P348" t="str" cm="1">
        <f t="array" ref="P348">_xlfn.IFS(O348&lt;=0.3,"Low Risk",O348&lt;=0.4,"medium Risk",O348&lt;=0.5,"High Risk",O348&gt;0.5,"Very High Risk")</f>
        <v>Low Risk</v>
      </c>
      <c r="Q348">
        <v>1100</v>
      </c>
      <c r="R348">
        <v>1041</v>
      </c>
      <c r="S348" t="str">
        <f t="shared" si="22"/>
        <v>Yes</v>
      </c>
      <c r="T348">
        <v>18101</v>
      </c>
      <c r="U348" t="str" cm="1">
        <f t="array" ref="U348">_xlfn.IFS(T348&lt;5000,"Small",T348&lt;20000,"Medium",T348&lt;35000,"Large",T348&gt;35000,"Very Large")</f>
        <v>Medium</v>
      </c>
      <c r="V348">
        <v>48</v>
      </c>
      <c r="W348">
        <f t="shared" si="23"/>
        <v>4</v>
      </c>
      <c r="X348" t="s">
        <v>31</v>
      </c>
      <c r="Y348" t="s">
        <v>32</v>
      </c>
      <c r="Z348" t="s">
        <v>39</v>
      </c>
      <c r="AA348" t="s">
        <v>34</v>
      </c>
      <c r="AB348" t="s">
        <v>35</v>
      </c>
      <c r="AC348" t="s">
        <v>36</v>
      </c>
    </row>
    <row r="349" spans="1:29" x14ac:dyDescent="0.25">
      <c r="A349">
        <v>365</v>
      </c>
      <c r="B349">
        <v>7881</v>
      </c>
      <c r="C349">
        <v>1823</v>
      </c>
      <c r="D349">
        <f t="shared" si="20"/>
        <v>9704</v>
      </c>
      <c r="E349" t="s">
        <v>29</v>
      </c>
      <c r="F349">
        <v>40</v>
      </c>
      <c r="G349" t="str" cm="1">
        <f t="array" ref="G349">_xlfn.IFS(F349&lt;25,"18-24",F349&lt;35,"25-35",F349&lt;45,"35-44",F349&lt;55,"44-54",F349&gt;=55,"55+")</f>
        <v>35-44</v>
      </c>
      <c r="H349" t="s">
        <v>30</v>
      </c>
      <c r="I349">
        <v>1</v>
      </c>
      <c r="J349" t="str" cm="1">
        <f t="array" ref="J349">_xlfn.IFS(I349&lt;=0,"No Dependents",I349&lt;=1,"One",I349&lt;=2,"Two",I349&gt;=3,"Third")</f>
        <v>One</v>
      </c>
      <c r="K349">
        <v>579</v>
      </c>
      <c r="L349" t="str" cm="1">
        <f t="array" ref="L349">_xlfn.IFS(K349&lt;=580,"Poor",K349&lt;=670,"fair",K349&lt;=740,"Good",K349&lt;=800,"Very Good",K349&gt;=800,"Excellent")</f>
        <v>Poor</v>
      </c>
      <c r="M349">
        <v>0</v>
      </c>
      <c r="N349" t="str">
        <f t="shared" si="21"/>
        <v>No</v>
      </c>
      <c r="O349">
        <v>0.47</v>
      </c>
      <c r="P349" t="str" cm="1">
        <f t="array" ref="P349">_xlfn.IFS(O349&lt;=0.3,"Low Risk",O349&lt;=0.4,"medium Risk",O349&lt;=0.5,"High Risk",O349&gt;0.5,"Very High Risk")</f>
        <v>High Risk</v>
      </c>
      <c r="Q349">
        <v>8864</v>
      </c>
      <c r="R349">
        <v>39695</v>
      </c>
      <c r="S349" t="str">
        <f t="shared" si="22"/>
        <v>Yes</v>
      </c>
      <c r="T349">
        <v>0</v>
      </c>
      <c r="U349" t="str" cm="1">
        <f t="array" ref="U349">_xlfn.IFS(T349&lt;5000,"Small",T349&lt;20000,"Medium",T349&lt;35000,"Large",T349&gt;35000,"Very Large")</f>
        <v>Small</v>
      </c>
      <c r="V349">
        <v>84</v>
      </c>
      <c r="W349">
        <f t="shared" si="23"/>
        <v>7</v>
      </c>
      <c r="X349" t="s">
        <v>50</v>
      </c>
      <c r="Y349" t="s">
        <v>45</v>
      </c>
      <c r="Z349" t="s">
        <v>39</v>
      </c>
      <c r="AA349" t="s">
        <v>40</v>
      </c>
      <c r="AB349" t="s">
        <v>42</v>
      </c>
      <c r="AC349" t="s">
        <v>36</v>
      </c>
    </row>
    <row r="350" spans="1:29" x14ac:dyDescent="0.25">
      <c r="A350">
        <v>366</v>
      </c>
      <c r="B350">
        <v>16069</v>
      </c>
      <c r="C350">
        <v>3155</v>
      </c>
      <c r="D350">
        <f t="shared" si="20"/>
        <v>19224</v>
      </c>
      <c r="E350" t="s">
        <v>49</v>
      </c>
      <c r="F350">
        <v>47</v>
      </c>
      <c r="G350" t="str" cm="1">
        <f t="array" ref="G350">_xlfn.IFS(F350&lt;25,"18-24",F350&lt;35,"25-35",F350&lt;45,"35-44",F350&lt;55,"44-54",F350&gt;=55,"55+")</f>
        <v>44-54</v>
      </c>
      <c r="H350" t="s">
        <v>30</v>
      </c>
      <c r="I350">
        <v>2</v>
      </c>
      <c r="J350" t="str" cm="1">
        <f t="array" ref="J350">_xlfn.IFS(I350&lt;=0,"No Dependents",I350&lt;=1,"One",I350&lt;=2,"Two",I350&gt;=3,"Third")</f>
        <v>Two</v>
      </c>
      <c r="K350">
        <v>762</v>
      </c>
      <c r="L350" t="str" cm="1">
        <f t="array" ref="L350">_xlfn.IFS(K350&lt;=580,"Poor",K350&lt;=670,"fair",K350&lt;=740,"Good",K350&lt;=800,"Very Good",K350&gt;=800,"Excellent")</f>
        <v>Very Good</v>
      </c>
      <c r="M350">
        <v>4</v>
      </c>
      <c r="N350" t="str">
        <f t="shared" si="21"/>
        <v>Yes</v>
      </c>
      <c r="O350">
        <v>0.35</v>
      </c>
      <c r="P350" t="str" cm="1">
        <f t="array" ref="P350">_xlfn.IFS(O350&lt;=0.3,"Low Risk",O350&lt;=0.4,"medium Risk",O350&lt;=0.5,"High Risk",O350&gt;0.5,"Very High Risk")</f>
        <v>medium Risk</v>
      </c>
      <c r="Q350">
        <v>8708</v>
      </c>
      <c r="R350">
        <v>49163</v>
      </c>
      <c r="S350" t="str">
        <f t="shared" si="22"/>
        <v>Yes</v>
      </c>
      <c r="T350">
        <v>29016</v>
      </c>
      <c r="U350" t="str" cm="1">
        <f t="array" ref="U350">_xlfn.IFS(T350&lt;5000,"Small",T350&lt;20000,"Medium",T350&lt;35000,"Large",T350&gt;35000,"Very Large")</f>
        <v>Large</v>
      </c>
      <c r="V350">
        <v>60</v>
      </c>
      <c r="W350">
        <f t="shared" si="23"/>
        <v>5</v>
      </c>
      <c r="X350" t="s">
        <v>42</v>
      </c>
      <c r="Y350" t="s">
        <v>38</v>
      </c>
      <c r="Z350" t="s">
        <v>39</v>
      </c>
      <c r="AA350" t="s">
        <v>40</v>
      </c>
      <c r="AB350" t="s">
        <v>48</v>
      </c>
      <c r="AC350" t="s">
        <v>44</v>
      </c>
    </row>
    <row r="351" spans="1:29" x14ac:dyDescent="0.25">
      <c r="A351">
        <v>367</v>
      </c>
      <c r="B351">
        <v>4849</v>
      </c>
      <c r="C351">
        <v>3093</v>
      </c>
      <c r="D351">
        <f t="shared" si="20"/>
        <v>7942</v>
      </c>
      <c r="E351" t="s">
        <v>29</v>
      </c>
      <c r="F351">
        <v>40</v>
      </c>
      <c r="G351" t="str" cm="1">
        <f t="array" ref="G351">_xlfn.IFS(F351&lt;25,"18-24",F351&lt;35,"25-35",F351&lt;45,"35-44",F351&lt;55,"44-54",F351&gt;=55,"55+")</f>
        <v>35-44</v>
      </c>
      <c r="H351" t="s">
        <v>41</v>
      </c>
      <c r="I351">
        <v>3</v>
      </c>
      <c r="J351" t="str" cm="1">
        <f t="array" ref="J351">_xlfn.IFS(I351&lt;=0,"No Dependents",I351&lt;=1,"One",I351&lt;=2,"Two",I351&gt;=3,"Third")</f>
        <v>Third</v>
      </c>
      <c r="K351">
        <v>598</v>
      </c>
      <c r="L351" t="str" cm="1">
        <f t="array" ref="L351">_xlfn.IFS(K351&lt;=580,"Poor",K351&lt;=670,"fair",K351&lt;=740,"Good",K351&lt;=800,"Very Good",K351&gt;=800,"Excellent")</f>
        <v>fair</v>
      </c>
      <c r="M351">
        <v>1</v>
      </c>
      <c r="N351" t="str">
        <f t="shared" si="21"/>
        <v>Yes</v>
      </c>
      <c r="O351">
        <v>0.59</v>
      </c>
      <c r="P351" t="str" cm="1">
        <f t="array" ref="P351">_xlfn.IFS(O351&lt;=0.3,"Low Risk",O351&lt;=0.4,"medium Risk",O351&lt;=0.5,"High Risk",O351&gt;0.5,"Very High Risk")</f>
        <v>Very High Risk</v>
      </c>
      <c r="Q351">
        <v>18916</v>
      </c>
      <c r="R351">
        <v>30099</v>
      </c>
      <c r="S351" t="str">
        <f t="shared" si="22"/>
        <v>Yes</v>
      </c>
      <c r="T351">
        <v>19932</v>
      </c>
      <c r="U351" t="str" cm="1">
        <f t="array" ref="U351">_xlfn.IFS(T351&lt;5000,"Small",T351&lt;20000,"Medium",T351&lt;35000,"Large",T351&gt;35000,"Very Large")</f>
        <v>Medium</v>
      </c>
      <c r="V351">
        <v>48</v>
      </c>
      <c r="W351">
        <f t="shared" si="23"/>
        <v>4</v>
      </c>
      <c r="X351" t="s">
        <v>42</v>
      </c>
      <c r="Y351" t="s">
        <v>45</v>
      </c>
      <c r="Z351" t="s">
        <v>39</v>
      </c>
      <c r="AA351" t="s">
        <v>40</v>
      </c>
      <c r="AB351" t="s">
        <v>48</v>
      </c>
      <c r="AC351" t="s">
        <v>36</v>
      </c>
    </row>
    <row r="352" spans="1:29" x14ac:dyDescent="0.25">
      <c r="A352">
        <v>368</v>
      </c>
      <c r="B352">
        <v>9390</v>
      </c>
      <c r="C352">
        <v>5658</v>
      </c>
      <c r="D352">
        <f t="shared" si="20"/>
        <v>15048</v>
      </c>
      <c r="E352" t="s">
        <v>48</v>
      </c>
      <c r="F352">
        <v>39</v>
      </c>
      <c r="G352" t="str" cm="1">
        <f t="array" ref="G352">_xlfn.IFS(F352&lt;25,"18-24",F352&lt;35,"25-35",F352&lt;45,"35-44",F352&lt;55,"44-54",F352&gt;=55,"55+")</f>
        <v>35-44</v>
      </c>
      <c r="H352" t="s">
        <v>30</v>
      </c>
      <c r="I352">
        <v>1</v>
      </c>
      <c r="J352" t="str" cm="1">
        <f t="array" ref="J352">_xlfn.IFS(I352&lt;=0,"No Dependents",I352&lt;=1,"One",I352&lt;=2,"Two",I352&gt;=3,"Third")</f>
        <v>One</v>
      </c>
      <c r="K352">
        <v>558</v>
      </c>
      <c r="L352" t="str" cm="1">
        <f t="array" ref="L352">_xlfn.IFS(K352&lt;=580,"Poor",K352&lt;=670,"fair",K352&lt;=740,"Good",K352&lt;=800,"Very Good",K352&gt;=800,"Excellent")</f>
        <v>Poor</v>
      </c>
      <c r="M352">
        <v>1</v>
      </c>
      <c r="N352" t="str">
        <f t="shared" si="21"/>
        <v>Yes</v>
      </c>
      <c r="O352">
        <v>0.13</v>
      </c>
      <c r="P352" t="str" cm="1">
        <f t="array" ref="P352">_xlfn.IFS(O352&lt;=0.3,"Low Risk",O352&lt;=0.4,"medium Risk",O352&lt;=0.5,"High Risk",O352&gt;0.5,"Very High Risk")</f>
        <v>Low Risk</v>
      </c>
      <c r="Q352">
        <v>17165</v>
      </c>
      <c r="R352">
        <v>24364</v>
      </c>
      <c r="S352" t="str">
        <f t="shared" si="22"/>
        <v>Yes</v>
      </c>
      <c r="T352">
        <v>0</v>
      </c>
      <c r="U352" t="str" cm="1">
        <f t="array" ref="U352">_xlfn.IFS(T352&lt;5000,"Small",T352&lt;20000,"Medium",T352&lt;35000,"Large",T352&gt;35000,"Very Large")</f>
        <v>Small</v>
      </c>
      <c r="V352">
        <v>72</v>
      </c>
      <c r="W352">
        <f t="shared" si="23"/>
        <v>6</v>
      </c>
      <c r="X352" t="s">
        <v>47</v>
      </c>
      <c r="Y352" t="s">
        <v>32</v>
      </c>
      <c r="Z352" t="s">
        <v>39</v>
      </c>
      <c r="AA352" t="s">
        <v>40</v>
      </c>
      <c r="AB352" t="s">
        <v>42</v>
      </c>
      <c r="AC352" t="s">
        <v>36</v>
      </c>
    </row>
    <row r="353" spans="1:29" x14ac:dyDescent="0.25">
      <c r="A353">
        <v>369</v>
      </c>
      <c r="B353">
        <v>13922</v>
      </c>
      <c r="C353">
        <v>3778</v>
      </c>
      <c r="D353">
        <f t="shared" si="20"/>
        <v>17700</v>
      </c>
      <c r="E353" t="s">
        <v>29</v>
      </c>
      <c r="F353">
        <v>40</v>
      </c>
      <c r="G353" t="str" cm="1">
        <f t="array" ref="G353">_xlfn.IFS(F353&lt;25,"18-24",F353&lt;35,"25-35",F353&lt;45,"35-44",F353&lt;55,"44-54",F353&gt;=55,"55+")</f>
        <v>35-44</v>
      </c>
      <c r="H353" t="s">
        <v>30</v>
      </c>
      <c r="I353">
        <v>0</v>
      </c>
      <c r="J353" t="str" cm="1">
        <f t="array" ref="J353">_xlfn.IFS(I353&lt;=0,"No Dependents",I353&lt;=1,"One",I353&lt;=2,"Two",I353&gt;=3,"Third")</f>
        <v>No Dependents</v>
      </c>
      <c r="K353">
        <v>694</v>
      </c>
      <c r="L353" t="str" cm="1">
        <f t="array" ref="L353">_xlfn.IFS(K353&lt;=580,"Poor",K353&lt;=670,"fair",K353&lt;=740,"Good",K353&lt;=800,"Very Good",K353&gt;=800,"Excellent")</f>
        <v>Good</v>
      </c>
      <c r="M353">
        <v>3</v>
      </c>
      <c r="N353" t="str">
        <f t="shared" si="21"/>
        <v>Yes</v>
      </c>
      <c r="O353">
        <v>0.28000000000000003</v>
      </c>
      <c r="P353" t="str" cm="1">
        <f t="array" ref="P353">_xlfn.IFS(O353&lt;=0.3,"Low Risk",O353&lt;=0.4,"medium Risk",O353&lt;=0.5,"High Risk",O353&gt;0.5,"Very High Risk")</f>
        <v>Low Risk</v>
      </c>
      <c r="Q353">
        <v>14439</v>
      </c>
      <c r="R353">
        <v>40639</v>
      </c>
      <c r="S353" t="str">
        <f t="shared" si="22"/>
        <v>Yes</v>
      </c>
      <c r="T353">
        <v>8549</v>
      </c>
      <c r="U353" t="str" cm="1">
        <f t="array" ref="U353">_xlfn.IFS(T353&lt;5000,"Small",T353&lt;20000,"Medium",T353&lt;35000,"Large",T353&gt;35000,"Very Large")</f>
        <v>Medium</v>
      </c>
      <c r="V353">
        <v>24</v>
      </c>
      <c r="W353">
        <f t="shared" si="23"/>
        <v>2</v>
      </c>
      <c r="X353" t="s">
        <v>42</v>
      </c>
      <c r="Y353" t="s">
        <v>45</v>
      </c>
      <c r="Z353" t="s">
        <v>33</v>
      </c>
      <c r="AA353" t="s">
        <v>40</v>
      </c>
      <c r="AB353" t="s">
        <v>35</v>
      </c>
      <c r="AC353" t="s">
        <v>44</v>
      </c>
    </row>
    <row r="354" spans="1:29" x14ac:dyDescent="0.25">
      <c r="A354">
        <v>370</v>
      </c>
      <c r="B354">
        <v>4489</v>
      </c>
      <c r="C354">
        <v>2896</v>
      </c>
      <c r="D354">
        <f t="shared" si="20"/>
        <v>7385</v>
      </c>
      <c r="E354" t="s">
        <v>52</v>
      </c>
      <c r="F354">
        <v>55</v>
      </c>
      <c r="G354" t="str" cm="1">
        <f t="array" ref="G354">_xlfn.IFS(F354&lt;25,"18-24",F354&lt;35,"25-35",F354&lt;45,"35-44",F354&lt;55,"44-54",F354&gt;=55,"55+")</f>
        <v>55+</v>
      </c>
      <c r="H354" t="s">
        <v>41</v>
      </c>
      <c r="I354">
        <v>2</v>
      </c>
      <c r="J354" t="str" cm="1">
        <f t="array" ref="J354">_xlfn.IFS(I354&lt;=0,"No Dependents",I354&lt;=1,"One",I354&lt;=2,"Two",I354&gt;=3,"Third")</f>
        <v>Two</v>
      </c>
      <c r="K354">
        <v>618</v>
      </c>
      <c r="L354" t="str" cm="1">
        <f t="array" ref="L354">_xlfn.IFS(K354&lt;=580,"Poor",K354&lt;=670,"fair",K354&lt;=740,"Good",K354&lt;=800,"Very Good",K354&gt;=800,"Excellent")</f>
        <v>fair</v>
      </c>
      <c r="M354">
        <v>2</v>
      </c>
      <c r="N354" t="str">
        <f t="shared" si="21"/>
        <v>Yes</v>
      </c>
      <c r="O354">
        <v>0.34</v>
      </c>
      <c r="P354" t="str" cm="1">
        <f t="array" ref="P354">_xlfn.IFS(O354&lt;=0.3,"Low Risk",O354&lt;=0.4,"medium Risk",O354&lt;=0.5,"High Risk",O354&gt;0.5,"Very High Risk")</f>
        <v>medium Risk</v>
      </c>
      <c r="Q354">
        <v>19907</v>
      </c>
      <c r="R354">
        <v>39143</v>
      </c>
      <c r="S354" t="str">
        <f t="shared" si="22"/>
        <v>Yes</v>
      </c>
      <c r="T354">
        <v>14397</v>
      </c>
      <c r="U354" t="str" cm="1">
        <f t="array" ref="U354">_xlfn.IFS(T354&lt;5000,"Small",T354&lt;20000,"Medium",T354&lt;35000,"Large",T354&gt;35000,"Very Large")</f>
        <v>Medium</v>
      </c>
      <c r="V354">
        <v>48</v>
      </c>
      <c r="W354">
        <f t="shared" si="23"/>
        <v>4</v>
      </c>
      <c r="X354" t="s">
        <v>42</v>
      </c>
      <c r="Y354" t="s">
        <v>38</v>
      </c>
      <c r="Z354" t="s">
        <v>39</v>
      </c>
      <c r="AA354" t="s">
        <v>40</v>
      </c>
      <c r="AB354" t="s">
        <v>35</v>
      </c>
      <c r="AC354" t="s">
        <v>36</v>
      </c>
    </row>
    <row r="355" spans="1:29" x14ac:dyDescent="0.25">
      <c r="A355">
        <v>371</v>
      </c>
      <c r="B355">
        <v>11823</v>
      </c>
      <c r="C355">
        <v>988</v>
      </c>
      <c r="D355">
        <f t="shared" si="20"/>
        <v>12811</v>
      </c>
      <c r="E355" t="s">
        <v>49</v>
      </c>
      <c r="F355">
        <v>22</v>
      </c>
      <c r="G355" t="str" cm="1">
        <f t="array" ref="G355">_xlfn.IFS(F355&lt;25,"18-24",F355&lt;35,"25-35",F355&lt;45,"35-44",F355&lt;55,"44-54",F355&gt;=55,"55+")</f>
        <v>18-24</v>
      </c>
      <c r="H355" t="s">
        <v>30</v>
      </c>
      <c r="I355">
        <v>0</v>
      </c>
      <c r="J355" t="str" cm="1">
        <f t="array" ref="J355">_xlfn.IFS(I355&lt;=0,"No Dependents",I355&lt;=1,"One",I355&lt;=2,"Two",I355&gt;=3,"Third")</f>
        <v>No Dependents</v>
      </c>
      <c r="K355">
        <v>607</v>
      </c>
      <c r="L355" t="str" cm="1">
        <f t="array" ref="L355">_xlfn.IFS(K355&lt;=580,"Poor",K355&lt;=670,"fair",K355&lt;=740,"Good",K355&lt;=800,"Very Good",K355&gt;=800,"Excellent")</f>
        <v>fair</v>
      </c>
      <c r="M355">
        <v>2</v>
      </c>
      <c r="N355" t="str">
        <f t="shared" si="21"/>
        <v>Yes</v>
      </c>
      <c r="O355">
        <v>0.35</v>
      </c>
      <c r="P355" t="str" cm="1">
        <f t="array" ref="P355">_xlfn.IFS(O355&lt;=0.3,"Low Risk",O355&lt;=0.4,"medium Risk",O355&lt;=0.5,"High Risk",O355&gt;0.5,"Very High Risk")</f>
        <v>medium Risk</v>
      </c>
      <c r="Q355">
        <v>11750</v>
      </c>
      <c r="R355">
        <v>23482</v>
      </c>
      <c r="S355" t="str">
        <f t="shared" si="22"/>
        <v>Yes</v>
      </c>
      <c r="T355">
        <v>26362</v>
      </c>
      <c r="U355" t="str" cm="1">
        <f t="array" ref="U355">_xlfn.IFS(T355&lt;5000,"Small",T355&lt;20000,"Medium",T355&lt;35000,"Large",T355&gt;35000,"Very Large")</f>
        <v>Large</v>
      </c>
      <c r="V355">
        <v>24</v>
      </c>
      <c r="W355">
        <f t="shared" si="23"/>
        <v>2</v>
      </c>
      <c r="X355" t="s">
        <v>42</v>
      </c>
      <c r="Y355" t="s">
        <v>45</v>
      </c>
      <c r="Z355" t="s">
        <v>39</v>
      </c>
      <c r="AA355" t="s">
        <v>34</v>
      </c>
      <c r="AB355" t="s">
        <v>35</v>
      </c>
      <c r="AC355" t="s">
        <v>36</v>
      </c>
    </row>
    <row r="356" spans="1:29" x14ac:dyDescent="0.25">
      <c r="A356">
        <v>373</v>
      </c>
      <c r="B356">
        <v>11540</v>
      </c>
      <c r="C356">
        <v>6446</v>
      </c>
      <c r="D356">
        <f t="shared" si="20"/>
        <v>17986</v>
      </c>
      <c r="E356" t="s">
        <v>48</v>
      </c>
      <c r="F356">
        <v>54</v>
      </c>
      <c r="G356" t="str" cm="1">
        <f t="array" ref="G356">_xlfn.IFS(F356&lt;25,"18-24",F356&lt;35,"25-35",F356&lt;45,"35-44",F356&lt;55,"44-54",F356&gt;=55,"55+")</f>
        <v>44-54</v>
      </c>
      <c r="H356" t="s">
        <v>30</v>
      </c>
      <c r="I356">
        <v>1</v>
      </c>
      <c r="J356" t="str" cm="1">
        <f t="array" ref="J356">_xlfn.IFS(I356&lt;=0,"No Dependents",I356&lt;=1,"One",I356&lt;=2,"Two",I356&gt;=3,"Third")</f>
        <v>One</v>
      </c>
      <c r="K356">
        <v>611</v>
      </c>
      <c r="L356" t="str" cm="1">
        <f t="array" ref="L356">_xlfn.IFS(K356&lt;=580,"Poor",K356&lt;=670,"fair",K356&lt;=740,"Good",K356&lt;=800,"Very Good",K356&gt;=800,"Excellent")</f>
        <v>fair</v>
      </c>
      <c r="M356">
        <v>0</v>
      </c>
      <c r="N356" t="str">
        <f t="shared" si="21"/>
        <v>No</v>
      </c>
      <c r="O356">
        <v>0.46</v>
      </c>
      <c r="P356" t="str" cm="1">
        <f t="array" ref="P356">_xlfn.IFS(O356&lt;=0.3,"Low Risk",O356&lt;=0.4,"medium Risk",O356&lt;=0.5,"High Risk",O356&gt;0.5,"Very High Risk")</f>
        <v>High Risk</v>
      </c>
      <c r="Q356">
        <v>0</v>
      </c>
      <c r="R356">
        <v>45785</v>
      </c>
      <c r="S356" t="str">
        <f t="shared" si="22"/>
        <v>Yes</v>
      </c>
      <c r="T356">
        <v>24016</v>
      </c>
      <c r="U356" t="str" cm="1">
        <f t="array" ref="U356">_xlfn.IFS(T356&lt;5000,"Small",T356&lt;20000,"Medium",T356&lt;35000,"Large",T356&gt;35000,"Very Large")</f>
        <v>Large</v>
      </c>
      <c r="V356">
        <v>12</v>
      </c>
      <c r="W356">
        <f t="shared" si="23"/>
        <v>1</v>
      </c>
      <c r="X356" t="s">
        <v>47</v>
      </c>
      <c r="Y356" t="s">
        <v>38</v>
      </c>
      <c r="Z356" t="s">
        <v>39</v>
      </c>
      <c r="AA356" t="s">
        <v>34</v>
      </c>
      <c r="AB356" t="s">
        <v>35</v>
      </c>
      <c r="AC356" t="s">
        <v>36</v>
      </c>
    </row>
    <row r="357" spans="1:29" x14ac:dyDescent="0.25">
      <c r="A357">
        <v>374</v>
      </c>
      <c r="B357">
        <v>18364</v>
      </c>
      <c r="C357">
        <v>4179</v>
      </c>
      <c r="D357">
        <f t="shared" si="20"/>
        <v>22543</v>
      </c>
      <c r="E357" t="s">
        <v>48</v>
      </c>
      <c r="F357">
        <v>42</v>
      </c>
      <c r="G357" t="str" cm="1">
        <f t="array" ref="G357">_xlfn.IFS(F357&lt;25,"18-24",F357&lt;35,"25-35",F357&lt;45,"35-44",F357&lt;55,"44-54",F357&gt;=55,"55+")</f>
        <v>35-44</v>
      </c>
      <c r="H357" t="s">
        <v>30</v>
      </c>
      <c r="I357">
        <v>0</v>
      </c>
      <c r="J357" t="str" cm="1">
        <f t="array" ref="J357">_xlfn.IFS(I357&lt;=0,"No Dependents",I357&lt;=1,"One",I357&lt;=2,"Two",I357&gt;=3,"Third")</f>
        <v>No Dependents</v>
      </c>
      <c r="K357">
        <v>772</v>
      </c>
      <c r="L357" t="str" cm="1">
        <f t="array" ref="L357">_xlfn.IFS(K357&lt;=580,"Poor",K357&lt;=670,"fair",K357&lt;=740,"Good",K357&lt;=800,"Very Good",K357&gt;=800,"Excellent")</f>
        <v>Very Good</v>
      </c>
      <c r="M357">
        <v>4</v>
      </c>
      <c r="N357" t="str">
        <f t="shared" si="21"/>
        <v>Yes</v>
      </c>
      <c r="O357">
        <v>0.54</v>
      </c>
      <c r="P357" t="str" cm="1">
        <f t="array" ref="P357">_xlfn.IFS(O357&lt;=0.3,"Low Risk",O357&lt;=0.4,"medium Risk",O357&lt;=0.5,"High Risk",O357&gt;0.5,"Very High Risk")</f>
        <v>Very High Risk</v>
      </c>
      <c r="Q357">
        <v>17885</v>
      </c>
      <c r="R357">
        <v>21781</v>
      </c>
      <c r="S357" t="str">
        <f t="shared" si="22"/>
        <v>Yes</v>
      </c>
      <c r="T357">
        <v>15732</v>
      </c>
      <c r="U357" t="str" cm="1">
        <f t="array" ref="U357">_xlfn.IFS(T357&lt;5000,"Small",T357&lt;20000,"Medium",T357&lt;35000,"Large",T357&gt;35000,"Very Large")</f>
        <v>Medium</v>
      </c>
      <c r="V357">
        <v>84</v>
      </c>
      <c r="W357">
        <f t="shared" si="23"/>
        <v>7</v>
      </c>
      <c r="X357" t="s">
        <v>50</v>
      </c>
      <c r="Y357" t="s">
        <v>45</v>
      </c>
      <c r="Z357" t="s">
        <v>39</v>
      </c>
      <c r="AA357" t="s">
        <v>34</v>
      </c>
      <c r="AB357" t="s">
        <v>35</v>
      </c>
      <c r="AC357" t="s">
        <v>36</v>
      </c>
    </row>
    <row r="358" spans="1:29" x14ac:dyDescent="0.25">
      <c r="A358">
        <v>375</v>
      </c>
      <c r="B358">
        <v>6611</v>
      </c>
      <c r="C358">
        <v>1682</v>
      </c>
      <c r="D358">
        <f t="shared" si="20"/>
        <v>8293</v>
      </c>
      <c r="E358" t="s">
        <v>46</v>
      </c>
      <c r="F358">
        <v>23</v>
      </c>
      <c r="G358" t="str" cm="1">
        <f t="array" ref="G358">_xlfn.IFS(F358&lt;25,"18-24",F358&lt;35,"25-35",F358&lt;45,"35-44",F358&lt;55,"44-54",F358&gt;=55,"55+")</f>
        <v>18-24</v>
      </c>
      <c r="H358" t="s">
        <v>30</v>
      </c>
      <c r="I358">
        <v>2</v>
      </c>
      <c r="J358" t="str" cm="1">
        <f t="array" ref="J358">_xlfn.IFS(I358&lt;=0,"No Dependents",I358&lt;=1,"One",I358&lt;=2,"Two",I358&gt;=3,"Third")</f>
        <v>Two</v>
      </c>
      <c r="K358">
        <v>601</v>
      </c>
      <c r="L358" t="str" cm="1">
        <f t="array" ref="L358">_xlfn.IFS(K358&lt;=580,"Poor",K358&lt;=670,"fair",K358&lt;=740,"Good",K358&lt;=800,"Very Good",K358&gt;=800,"Excellent")</f>
        <v>fair</v>
      </c>
      <c r="M358">
        <v>4</v>
      </c>
      <c r="N358" t="str">
        <f t="shared" si="21"/>
        <v>Yes</v>
      </c>
      <c r="O358">
        <v>0.35</v>
      </c>
      <c r="P358" t="str" cm="1">
        <f t="array" ref="P358">_xlfn.IFS(O358&lt;=0.3,"Low Risk",O358&lt;=0.4,"medium Risk",O358&lt;=0.5,"High Risk",O358&gt;0.5,"Very High Risk")</f>
        <v>medium Risk</v>
      </c>
      <c r="Q358">
        <v>11986</v>
      </c>
      <c r="R358">
        <v>0</v>
      </c>
      <c r="S358" t="str">
        <f t="shared" si="22"/>
        <v>No</v>
      </c>
      <c r="T358">
        <v>27911</v>
      </c>
      <c r="U358" t="str" cm="1">
        <f t="array" ref="U358">_xlfn.IFS(T358&lt;5000,"Small",T358&lt;20000,"Medium",T358&lt;35000,"Large",T358&gt;35000,"Very Large")</f>
        <v>Large</v>
      </c>
      <c r="V358">
        <v>72</v>
      </c>
      <c r="W358">
        <f t="shared" si="23"/>
        <v>6</v>
      </c>
      <c r="X358" t="s">
        <v>42</v>
      </c>
      <c r="Y358" t="s">
        <v>32</v>
      </c>
      <c r="Z358" t="s">
        <v>39</v>
      </c>
      <c r="AA358" t="s">
        <v>34</v>
      </c>
      <c r="AB358" t="s">
        <v>42</v>
      </c>
      <c r="AC358" t="s">
        <v>36</v>
      </c>
    </row>
    <row r="359" spans="1:29" x14ac:dyDescent="0.25">
      <c r="A359">
        <v>376</v>
      </c>
      <c r="B359">
        <v>7878</v>
      </c>
      <c r="C359">
        <v>5626</v>
      </c>
      <c r="D359">
        <f t="shared" si="20"/>
        <v>13504</v>
      </c>
      <c r="E359" t="s">
        <v>29</v>
      </c>
      <c r="F359">
        <v>26</v>
      </c>
      <c r="G359" t="str" cm="1">
        <f t="array" ref="G359">_xlfn.IFS(F359&lt;25,"18-24",F359&lt;35,"25-35",F359&lt;45,"35-44",F359&lt;55,"44-54",F359&gt;=55,"55+")</f>
        <v>25-35</v>
      </c>
      <c r="H359" t="s">
        <v>30</v>
      </c>
      <c r="I359">
        <v>1</v>
      </c>
      <c r="J359" t="str" cm="1">
        <f t="array" ref="J359">_xlfn.IFS(I359&lt;=0,"No Dependents",I359&lt;=1,"One",I359&lt;=2,"Two",I359&gt;=3,"Third")</f>
        <v>One</v>
      </c>
      <c r="K359">
        <v>738</v>
      </c>
      <c r="L359" t="str" cm="1">
        <f t="array" ref="L359">_xlfn.IFS(K359&lt;=580,"Poor",K359&lt;=670,"fair",K359&lt;=740,"Good",K359&lt;=800,"Very Good",K359&gt;=800,"Excellent")</f>
        <v>Good</v>
      </c>
      <c r="M359">
        <v>0</v>
      </c>
      <c r="N359" t="str">
        <f t="shared" si="21"/>
        <v>No</v>
      </c>
      <c r="O359">
        <v>0.5</v>
      </c>
      <c r="P359" t="str" cm="1">
        <f t="array" ref="P359">_xlfn.IFS(O359&lt;=0.3,"Low Risk",O359&lt;=0.4,"medium Risk",O359&lt;=0.5,"High Risk",O359&gt;0.5,"Very High Risk")</f>
        <v>High Risk</v>
      </c>
      <c r="Q359">
        <v>12510</v>
      </c>
      <c r="R359">
        <v>3065</v>
      </c>
      <c r="S359" t="str">
        <f t="shared" si="22"/>
        <v>Yes</v>
      </c>
      <c r="T359">
        <v>18866</v>
      </c>
      <c r="U359" t="str" cm="1">
        <f t="array" ref="U359">_xlfn.IFS(T359&lt;5000,"Small",T359&lt;20000,"Medium",T359&lt;35000,"Large",T359&gt;35000,"Very Large")</f>
        <v>Medium</v>
      </c>
      <c r="V359">
        <v>24</v>
      </c>
      <c r="W359">
        <f t="shared" si="23"/>
        <v>2</v>
      </c>
      <c r="X359" t="s">
        <v>37</v>
      </c>
      <c r="Y359" t="s">
        <v>32</v>
      </c>
      <c r="Z359" t="s">
        <v>33</v>
      </c>
      <c r="AA359" t="s">
        <v>40</v>
      </c>
      <c r="AB359" t="s">
        <v>35</v>
      </c>
      <c r="AC359" t="s">
        <v>36</v>
      </c>
    </row>
    <row r="360" spans="1:29" x14ac:dyDescent="0.25">
      <c r="A360">
        <v>377</v>
      </c>
      <c r="B360">
        <v>18347</v>
      </c>
      <c r="C360">
        <v>7424</v>
      </c>
      <c r="D360">
        <f t="shared" si="20"/>
        <v>25771</v>
      </c>
      <c r="E360" t="s">
        <v>46</v>
      </c>
      <c r="F360">
        <v>35</v>
      </c>
      <c r="G360" t="str" cm="1">
        <f t="array" ref="G360">_xlfn.IFS(F360&lt;25,"18-24",F360&lt;35,"25-35",F360&lt;45,"35-44",F360&lt;55,"44-54",F360&gt;=55,"55+")</f>
        <v>35-44</v>
      </c>
      <c r="H360" t="s">
        <v>41</v>
      </c>
      <c r="I360">
        <v>3</v>
      </c>
      <c r="J360" t="str" cm="1">
        <f t="array" ref="J360">_xlfn.IFS(I360&lt;=0,"No Dependents",I360&lt;=1,"One",I360&lt;=2,"Two",I360&gt;=3,"Third")</f>
        <v>Third</v>
      </c>
      <c r="K360">
        <v>589</v>
      </c>
      <c r="L360" t="str" cm="1">
        <f t="array" ref="L360">_xlfn.IFS(K360&lt;=580,"Poor",K360&lt;=670,"fair",K360&lt;=740,"Good",K360&lt;=800,"Very Good",K360&gt;=800,"Excellent")</f>
        <v>fair</v>
      </c>
      <c r="M360">
        <v>1</v>
      </c>
      <c r="N360" t="str">
        <f t="shared" si="21"/>
        <v>Yes</v>
      </c>
      <c r="O360">
        <v>0.53</v>
      </c>
      <c r="P360" t="str" cm="1">
        <f t="array" ref="P360">_xlfn.IFS(O360&lt;=0.3,"Low Risk",O360&lt;=0.4,"medium Risk",O360&lt;=0.5,"High Risk",O360&gt;0.5,"Very High Risk")</f>
        <v>Very High Risk</v>
      </c>
      <c r="Q360">
        <v>19464</v>
      </c>
      <c r="R360">
        <v>2036</v>
      </c>
      <c r="S360" t="str">
        <f t="shared" si="22"/>
        <v>Yes</v>
      </c>
      <c r="T360">
        <v>28621</v>
      </c>
      <c r="U360" t="str" cm="1">
        <f t="array" ref="U360">_xlfn.IFS(T360&lt;5000,"Small",T360&lt;20000,"Medium",T360&lt;35000,"Large",T360&gt;35000,"Very Large")</f>
        <v>Large</v>
      </c>
      <c r="V360">
        <v>36</v>
      </c>
      <c r="W360">
        <f t="shared" si="23"/>
        <v>3</v>
      </c>
      <c r="X360" t="s">
        <v>42</v>
      </c>
      <c r="Y360" t="s">
        <v>38</v>
      </c>
      <c r="Z360" t="s">
        <v>39</v>
      </c>
      <c r="AA360" t="s">
        <v>40</v>
      </c>
      <c r="AB360" t="s">
        <v>42</v>
      </c>
      <c r="AC360" t="s">
        <v>36</v>
      </c>
    </row>
    <row r="361" spans="1:29" x14ac:dyDescent="0.25">
      <c r="A361">
        <v>378</v>
      </c>
      <c r="B361">
        <v>2851</v>
      </c>
      <c r="C361">
        <v>933</v>
      </c>
      <c r="D361">
        <f t="shared" si="20"/>
        <v>3784</v>
      </c>
      <c r="E361" t="s">
        <v>29</v>
      </c>
      <c r="F361">
        <v>47</v>
      </c>
      <c r="G361" t="str" cm="1">
        <f t="array" ref="G361">_xlfn.IFS(F361&lt;25,"18-24",F361&lt;35,"25-35",F361&lt;45,"35-44",F361&lt;55,"44-54",F361&gt;=55,"55+")</f>
        <v>44-54</v>
      </c>
      <c r="H361" t="s">
        <v>41</v>
      </c>
      <c r="I361">
        <v>1</v>
      </c>
      <c r="J361" t="str" cm="1">
        <f t="array" ref="J361">_xlfn.IFS(I361&lt;=0,"No Dependents",I361&lt;=1,"One",I361&lt;=2,"Two",I361&gt;=3,"Third")</f>
        <v>One</v>
      </c>
      <c r="K361">
        <v>715</v>
      </c>
      <c r="L361" t="str" cm="1">
        <f t="array" ref="L361">_xlfn.IFS(K361&lt;=580,"Poor",K361&lt;=670,"fair",K361&lt;=740,"Good",K361&lt;=800,"Very Good",K361&gt;=800,"Excellent")</f>
        <v>Good</v>
      </c>
      <c r="M361">
        <v>4</v>
      </c>
      <c r="N361" t="str">
        <f t="shared" si="21"/>
        <v>Yes</v>
      </c>
      <c r="O361">
        <v>0.38</v>
      </c>
      <c r="P361" t="str" cm="1">
        <f t="array" ref="P361">_xlfn.IFS(O361&lt;=0.3,"Low Risk",O361&lt;=0.4,"medium Risk",O361&lt;=0.5,"High Risk",O361&gt;0.5,"Very High Risk")</f>
        <v>medium Risk</v>
      </c>
      <c r="Q361">
        <v>9268</v>
      </c>
      <c r="R361">
        <v>35814</v>
      </c>
      <c r="S361" t="str">
        <f t="shared" si="22"/>
        <v>Yes</v>
      </c>
      <c r="T361">
        <v>13823</v>
      </c>
      <c r="U361" t="str" cm="1">
        <f t="array" ref="U361">_xlfn.IFS(T361&lt;5000,"Small",T361&lt;20000,"Medium",T361&lt;35000,"Large",T361&gt;35000,"Very Large")</f>
        <v>Medium</v>
      </c>
      <c r="V361">
        <v>84</v>
      </c>
      <c r="W361">
        <f t="shared" si="23"/>
        <v>7</v>
      </c>
      <c r="X361" t="s">
        <v>37</v>
      </c>
      <c r="Y361" t="s">
        <v>32</v>
      </c>
      <c r="Z361" t="s">
        <v>39</v>
      </c>
      <c r="AA361" t="s">
        <v>34</v>
      </c>
      <c r="AB361" t="s">
        <v>48</v>
      </c>
      <c r="AC361" t="s">
        <v>36</v>
      </c>
    </row>
    <row r="362" spans="1:29" x14ac:dyDescent="0.25">
      <c r="A362">
        <v>379</v>
      </c>
      <c r="B362">
        <v>8833</v>
      </c>
      <c r="C362">
        <v>3598</v>
      </c>
      <c r="D362">
        <f t="shared" si="20"/>
        <v>12431</v>
      </c>
      <c r="E362" t="s">
        <v>29</v>
      </c>
      <c r="F362">
        <v>30</v>
      </c>
      <c r="G362" t="str" cm="1">
        <f t="array" ref="G362">_xlfn.IFS(F362&lt;25,"18-24",F362&lt;35,"25-35",F362&lt;45,"35-44",F362&lt;55,"44-54",F362&gt;=55,"55+")</f>
        <v>25-35</v>
      </c>
      <c r="H362" t="s">
        <v>30</v>
      </c>
      <c r="I362">
        <v>2</v>
      </c>
      <c r="J362" t="str" cm="1">
        <f t="array" ref="J362">_xlfn.IFS(I362&lt;=0,"No Dependents",I362&lt;=1,"One",I362&lt;=2,"Two",I362&gt;=3,"Third")</f>
        <v>Two</v>
      </c>
      <c r="K362">
        <v>720</v>
      </c>
      <c r="L362" t="str" cm="1">
        <f t="array" ref="L362">_xlfn.IFS(K362&lt;=580,"Poor",K362&lt;=670,"fair",K362&lt;=740,"Good",K362&lt;=800,"Very Good",K362&gt;=800,"Excellent")</f>
        <v>Good</v>
      </c>
      <c r="M362">
        <v>2</v>
      </c>
      <c r="N362" t="str">
        <f t="shared" si="21"/>
        <v>Yes</v>
      </c>
      <c r="O362">
        <v>0.51</v>
      </c>
      <c r="P362" t="str" cm="1">
        <f t="array" ref="P362">_xlfn.IFS(O362&lt;=0.3,"Low Risk",O362&lt;=0.4,"medium Risk",O362&lt;=0.5,"High Risk",O362&gt;0.5,"Very High Risk")</f>
        <v>Very High Risk</v>
      </c>
      <c r="Q362">
        <v>502</v>
      </c>
      <c r="R362">
        <v>16924</v>
      </c>
      <c r="S362" t="str">
        <f t="shared" si="22"/>
        <v>Yes</v>
      </c>
      <c r="T362">
        <v>30986</v>
      </c>
      <c r="U362" t="str" cm="1">
        <f t="array" ref="U362">_xlfn.IFS(T362&lt;5000,"Small",T362&lt;20000,"Medium",T362&lt;35000,"Large",T362&gt;35000,"Very Large")</f>
        <v>Large</v>
      </c>
      <c r="V362">
        <v>24</v>
      </c>
      <c r="W362">
        <f t="shared" si="23"/>
        <v>2</v>
      </c>
      <c r="X362" t="s">
        <v>47</v>
      </c>
      <c r="Y362" t="s">
        <v>32</v>
      </c>
      <c r="Z362" t="s">
        <v>33</v>
      </c>
      <c r="AA362" t="s">
        <v>34</v>
      </c>
      <c r="AB362" t="s">
        <v>42</v>
      </c>
      <c r="AC362" t="s">
        <v>36</v>
      </c>
    </row>
    <row r="363" spans="1:29" x14ac:dyDescent="0.25">
      <c r="A363">
        <v>380</v>
      </c>
      <c r="B363">
        <v>13938</v>
      </c>
      <c r="C363">
        <v>1980</v>
      </c>
      <c r="D363">
        <f t="shared" si="20"/>
        <v>15918</v>
      </c>
      <c r="E363" t="s">
        <v>49</v>
      </c>
      <c r="F363">
        <v>29</v>
      </c>
      <c r="G363" t="str" cm="1">
        <f t="array" ref="G363">_xlfn.IFS(F363&lt;25,"18-24",F363&lt;35,"25-35",F363&lt;45,"35-44",F363&lt;55,"44-54",F363&gt;=55,"55+")</f>
        <v>25-35</v>
      </c>
      <c r="H363" t="s">
        <v>30</v>
      </c>
      <c r="I363">
        <v>1</v>
      </c>
      <c r="J363" t="str" cm="1">
        <f t="array" ref="J363">_xlfn.IFS(I363&lt;=0,"No Dependents",I363&lt;=1,"One",I363&lt;=2,"Two",I363&gt;=3,"Third")</f>
        <v>One</v>
      </c>
      <c r="K363">
        <v>612</v>
      </c>
      <c r="L363" t="str" cm="1">
        <f t="array" ref="L363">_xlfn.IFS(K363&lt;=580,"Poor",K363&lt;=670,"fair",K363&lt;=740,"Good",K363&lt;=800,"Very Good",K363&gt;=800,"Excellent")</f>
        <v>fair</v>
      </c>
      <c r="M363">
        <v>0</v>
      </c>
      <c r="N363" t="str">
        <f t="shared" si="21"/>
        <v>No</v>
      </c>
      <c r="O363">
        <v>0.25</v>
      </c>
      <c r="P363" t="str" cm="1">
        <f t="array" ref="P363">_xlfn.IFS(O363&lt;=0.3,"Low Risk",O363&lt;=0.4,"medium Risk",O363&lt;=0.5,"High Risk",O363&gt;0.5,"Very High Risk")</f>
        <v>Low Risk</v>
      </c>
      <c r="Q363">
        <v>9531</v>
      </c>
      <c r="R363">
        <v>32844</v>
      </c>
      <c r="S363" t="str">
        <f t="shared" si="22"/>
        <v>Yes</v>
      </c>
      <c r="T363">
        <v>15690</v>
      </c>
      <c r="U363" t="str" cm="1">
        <f t="array" ref="U363">_xlfn.IFS(T363&lt;5000,"Small",T363&lt;20000,"Medium",T363&lt;35000,"Large",T363&gt;35000,"Very Large")</f>
        <v>Medium</v>
      </c>
      <c r="V363">
        <v>48</v>
      </c>
      <c r="W363">
        <f t="shared" si="23"/>
        <v>4</v>
      </c>
      <c r="X363" t="s">
        <v>42</v>
      </c>
      <c r="Y363" t="s">
        <v>32</v>
      </c>
      <c r="Z363" t="s">
        <v>39</v>
      </c>
      <c r="AA363" t="s">
        <v>34</v>
      </c>
      <c r="AB363" t="s">
        <v>35</v>
      </c>
      <c r="AC363" t="s">
        <v>36</v>
      </c>
    </row>
    <row r="364" spans="1:29" x14ac:dyDescent="0.25">
      <c r="A364">
        <v>381</v>
      </c>
      <c r="B364">
        <v>4427</v>
      </c>
      <c r="C364">
        <v>3056</v>
      </c>
      <c r="D364">
        <f t="shared" si="20"/>
        <v>7483</v>
      </c>
      <c r="E364" t="s">
        <v>29</v>
      </c>
      <c r="F364">
        <v>53</v>
      </c>
      <c r="G364" t="str" cm="1">
        <f t="array" ref="G364">_xlfn.IFS(F364&lt;25,"18-24",F364&lt;35,"25-35",F364&lt;45,"35-44",F364&lt;55,"44-54",F364&gt;=55,"55+")</f>
        <v>44-54</v>
      </c>
      <c r="H364" t="s">
        <v>41</v>
      </c>
      <c r="I364">
        <v>0</v>
      </c>
      <c r="J364" t="str" cm="1">
        <f t="array" ref="J364">_xlfn.IFS(I364&lt;=0,"No Dependents",I364&lt;=1,"One",I364&lt;=2,"Two",I364&gt;=3,"Third")</f>
        <v>No Dependents</v>
      </c>
      <c r="K364">
        <v>696</v>
      </c>
      <c r="L364" t="str" cm="1">
        <f t="array" ref="L364">_xlfn.IFS(K364&lt;=580,"Poor",K364&lt;=670,"fair",K364&lt;=740,"Good",K364&lt;=800,"Very Good",K364&gt;=800,"Excellent")</f>
        <v>Good</v>
      </c>
      <c r="M364">
        <v>3</v>
      </c>
      <c r="N364" t="str">
        <f t="shared" si="21"/>
        <v>Yes</v>
      </c>
      <c r="O364">
        <v>0.3</v>
      </c>
      <c r="P364" t="str" cm="1">
        <f t="array" ref="P364">_xlfn.IFS(O364&lt;=0.3,"Low Risk",O364&lt;=0.4,"medium Risk",O364&lt;=0.5,"High Risk",O364&gt;0.5,"Very High Risk")</f>
        <v>Low Risk</v>
      </c>
      <c r="Q364">
        <v>8009</v>
      </c>
      <c r="R364">
        <v>48648</v>
      </c>
      <c r="S364" t="str">
        <f t="shared" si="22"/>
        <v>Yes</v>
      </c>
      <c r="T364">
        <v>0</v>
      </c>
      <c r="U364" t="str" cm="1">
        <f t="array" ref="U364">_xlfn.IFS(T364&lt;5000,"Small",T364&lt;20000,"Medium",T364&lt;35000,"Large",T364&gt;35000,"Very Large")</f>
        <v>Small</v>
      </c>
      <c r="V364">
        <v>24</v>
      </c>
      <c r="W364">
        <f t="shared" si="23"/>
        <v>2</v>
      </c>
      <c r="X364" t="s">
        <v>37</v>
      </c>
      <c r="Y364" t="s">
        <v>32</v>
      </c>
      <c r="Z364" t="s">
        <v>33</v>
      </c>
      <c r="AA364" t="s">
        <v>40</v>
      </c>
      <c r="AB364" t="s">
        <v>51</v>
      </c>
      <c r="AC364" t="s">
        <v>44</v>
      </c>
    </row>
    <row r="365" spans="1:29" x14ac:dyDescent="0.25">
      <c r="A365">
        <v>382</v>
      </c>
      <c r="B365">
        <v>6000</v>
      </c>
      <c r="C365">
        <v>8984</v>
      </c>
      <c r="D365">
        <f t="shared" si="20"/>
        <v>14984</v>
      </c>
      <c r="E365" t="s">
        <v>29</v>
      </c>
      <c r="F365">
        <v>52</v>
      </c>
      <c r="G365" t="str" cm="1">
        <f t="array" ref="G365">_xlfn.IFS(F365&lt;25,"18-24",F365&lt;35,"25-35",F365&lt;45,"35-44",F365&lt;55,"44-54",F365&gt;=55,"55+")</f>
        <v>44-54</v>
      </c>
      <c r="H365" t="s">
        <v>41</v>
      </c>
      <c r="I365">
        <v>1</v>
      </c>
      <c r="J365" t="str" cm="1">
        <f t="array" ref="J365">_xlfn.IFS(I365&lt;=0,"No Dependents",I365&lt;=1,"One",I365&lt;=2,"Two",I365&gt;=3,"Third")</f>
        <v>One</v>
      </c>
      <c r="K365">
        <v>777</v>
      </c>
      <c r="L365" t="str" cm="1">
        <f t="array" ref="L365">_xlfn.IFS(K365&lt;=580,"Poor",K365&lt;=670,"fair",K365&lt;=740,"Good",K365&lt;=800,"Very Good",K365&gt;=800,"Excellent")</f>
        <v>Very Good</v>
      </c>
      <c r="M365">
        <v>1</v>
      </c>
      <c r="N365" t="str">
        <f t="shared" si="21"/>
        <v>Yes</v>
      </c>
      <c r="O365">
        <v>0.26</v>
      </c>
      <c r="P365" t="str" cm="1">
        <f t="array" ref="P365">_xlfn.IFS(O365&lt;=0.3,"Low Risk",O365&lt;=0.4,"medium Risk",O365&lt;=0.5,"High Risk",O365&gt;0.5,"Very High Risk")</f>
        <v>Low Risk</v>
      </c>
      <c r="Q365">
        <v>17007</v>
      </c>
      <c r="R365">
        <v>16407</v>
      </c>
      <c r="S365" t="str">
        <f t="shared" si="22"/>
        <v>Yes</v>
      </c>
      <c r="T365">
        <v>22303</v>
      </c>
      <c r="U365" t="str" cm="1">
        <f t="array" ref="U365">_xlfn.IFS(T365&lt;5000,"Small",T365&lt;20000,"Medium",T365&lt;35000,"Large",T365&gt;35000,"Very Large")</f>
        <v>Large</v>
      </c>
      <c r="V365">
        <v>48</v>
      </c>
      <c r="W365">
        <f t="shared" si="23"/>
        <v>4</v>
      </c>
      <c r="X365" t="s">
        <v>31</v>
      </c>
      <c r="Y365" t="s">
        <v>38</v>
      </c>
      <c r="Z365" t="s">
        <v>39</v>
      </c>
      <c r="AA365" t="s">
        <v>40</v>
      </c>
      <c r="AB365" t="s">
        <v>35</v>
      </c>
      <c r="AC365" t="s">
        <v>44</v>
      </c>
    </row>
    <row r="366" spans="1:29" x14ac:dyDescent="0.25">
      <c r="A366">
        <v>383</v>
      </c>
      <c r="B366">
        <v>7052</v>
      </c>
      <c r="C366">
        <v>791</v>
      </c>
      <c r="D366">
        <f t="shared" si="20"/>
        <v>7843</v>
      </c>
      <c r="E366" t="s">
        <v>48</v>
      </c>
      <c r="F366">
        <v>26</v>
      </c>
      <c r="G366" t="str" cm="1">
        <f t="array" ref="G366">_xlfn.IFS(F366&lt;25,"18-24",F366&lt;35,"25-35",F366&lt;45,"35-44",F366&lt;55,"44-54",F366&gt;=55,"55+")</f>
        <v>25-35</v>
      </c>
      <c r="H366" t="s">
        <v>30</v>
      </c>
      <c r="I366">
        <v>1</v>
      </c>
      <c r="J366" t="str" cm="1">
        <f t="array" ref="J366">_xlfn.IFS(I366&lt;=0,"No Dependents",I366&lt;=1,"One",I366&lt;=2,"Two",I366&gt;=3,"Third")</f>
        <v>One</v>
      </c>
      <c r="K366">
        <v>599</v>
      </c>
      <c r="L366" t="str" cm="1">
        <f t="array" ref="L366">_xlfn.IFS(K366&lt;=580,"Poor",K366&lt;=670,"fair",K366&lt;=740,"Good",K366&lt;=800,"Very Good",K366&gt;=800,"Excellent")</f>
        <v>fair</v>
      </c>
      <c r="M366">
        <v>0</v>
      </c>
      <c r="N366" t="str">
        <f t="shared" si="21"/>
        <v>No</v>
      </c>
      <c r="O366">
        <v>0.33</v>
      </c>
      <c r="P366" t="str" cm="1">
        <f t="array" ref="P366">_xlfn.IFS(O366&lt;=0.3,"Low Risk",O366&lt;=0.4,"medium Risk",O366&lt;=0.5,"High Risk",O366&gt;0.5,"Very High Risk")</f>
        <v>medium Risk</v>
      </c>
      <c r="Q366">
        <v>11542</v>
      </c>
      <c r="R366">
        <v>21518</v>
      </c>
      <c r="S366" t="str">
        <f t="shared" si="22"/>
        <v>Yes</v>
      </c>
      <c r="T366">
        <v>37533</v>
      </c>
      <c r="U366" t="str" cm="1">
        <f t="array" ref="U366">_xlfn.IFS(T366&lt;5000,"Small",T366&lt;20000,"Medium",T366&lt;35000,"Large",T366&gt;35000,"Very Large")</f>
        <v>Very Large</v>
      </c>
      <c r="V366">
        <v>48</v>
      </c>
      <c r="W366">
        <f t="shared" si="23"/>
        <v>4</v>
      </c>
      <c r="X366" t="s">
        <v>31</v>
      </c>
      <c r="Y366" t="s">
        <v>32</v>
      </c>
      <c r="Z366" t="s">
        <v>39</v>
      </c>
      <c r="AA366" t="s">
        <v>40</v>
      </c>
      <c r="AB366" t="s">
        <v>35</v>
      </c>
      <c r="AC366" t="s">
        <v>36</v>
      </c>
    </row>
    <row r="367" spans="1:29" x14ac:dyDescent="0.25">
      <c r="A367">
        <v>385</v>
      </c>
      <c r="B367">
        <v>0</v>
      </c>
      <c r="C367">
        <v>6635</v>
      </c>
      <c r="D367">
        <f t="shared" si="20"/>
        <v>6635</v>
      </c>
      <c r="E367" t="s">
        <v>29</v>
      </c>
      <c r="F367">
        <v>22</v>
      </c>
      <c r="G367" t="str" cm="1">
        <f t="array" ref="G367">_xlfn.IFS(F367&lt;25,"18-24",F367&lt;35,"25-35",F367&lt;45,"35-44",F367&lt;55,"44-54",F367&gt;=55,"55+")</f>
        <v>18-24</v>
      </c>
      <c r="H367" t="s">
        <v>30</v>
      </c>
      <c r="I367">
        <v>0</v>
      </c>
      <c r="J367" t="str" cm="1">
        <f t="array" ref="J367">_xlfn.IFS(I367&lt;=0,"No Dependents",I367&lt;=1,"One",I367&lt;=2,"Two",I367&gt;=3,"Third")</f>
        <v>No Dependents</v>
      </c>
      <c r="K367">
        <v>690</v>
      </c>
      <c r="L367" t="str" cm="1">
        <f t="array" ref="L367">_xlfn.IFS(K367&lt;=580,"Poor",K367&lt;=670,"fair",K367&lt;=740,"Good",K367&lt;=800,"Very Good",K367&gt;=800,"Excellent")</f>
        <v>Good</v>
      </c>
      <c r="M367">
        <v>1</v>
      </c>
      <c r="N367" t="str">
        <f t="shared" si="21"/>
        <v>Yes</v>
      </c>
      <c r="O367">
        <v>0.57999999999999996</v>
      </c>
      <c r="P367" t="str" cm="1">
        <f t="array" ref="P367">_xlfn.IFS(O367&lt;=0.3,"Low Risk",O367&lt;=0.4,"medium Risk",O367&lt;=0.5,"High Risk",O367&gt;0.5,"Very High Risk")</f>
        <v>Very High Risk</v>
      </c>
      <c r="Q367">
        <v>0</v>
      </c>
      <c r="R367">
        <v>23052</v>
      </c>
      <c r="S367" t="str">
        <f t="shared" si="22"/>
        <v>Yes</v>
      </c>
      <c r="T367">
        <v>36595</v>
      </c>
      <c r="U367" t="str" cm="1">
        <f t="array" ref="U367">_xlfn.IFS(T367&lt;5000,"Small",T367&lt;20000,"Medium",T367&lt;35000,"Large",T367&gt;35000,"Very Large")</f>
        <v>Very Large</v>
      </c>
      <c r="V367">
        <v>24</v>
      </c>
      <c r="W367">
        <f t="shared" si="23"/>
        <v>2</v>
      </c>
      <c r="X367" t="s">
        <v>42</v>
      </c>
      <c r="Y367" t="s">
        <v>38</v>
      </c>
      <c r="Z367" t="s">
        <v>33</v>
      </c>
      <c r="AA367" t="s">
        <v>34</v>
      </c>
      <c r="AB367" t="s">
        <v>35</v>
      </c>
      <c r="AC367" t="s">
        <v>36</v>
      </c>
    </row>
    <row r="368" spans="1:29" x14ac:dyDescent="0.25">
      <c r="A368">
        <v>386</v>
      </c>
      <c r="B368">
        <v>10002</v>
      </c>
      <c r="C368">
        <v>2255</v>
      </c>
      <c r="D368">
        <f t="shared" si="20"/>
        <v>12257</v>
      </c>
      <c r="E368" t="s">
        <v>48</v>
      </c>
      <c r="F368">
        <v>49</v>
      </c>
      <c r="G368" t="str" cm="1">
        <f t="array" ref="G368">_xlfn.IFS(F368&lt;25,"18-24",F368&lt;35,"25-35",F368&lt;45,"35-44",F368&lt;55,"44-54",F368&gt;=55,"55+")</f>
        <v>44-54</v>
      </c>
      <c r="H368" t="s">
        <v>41</v>
      </c>
      <c r="I368">
        <v>2</v>
      </c>
      <c r="J368" t="str" cm="1">
        <f t="array" ref="J368">_xlfn.IFS(I368&lt;=0,"No Dependents",I368&lt;=1,"One",I368&lt;=2,"Two",I368&gt;=3,"Third")</f>
        <v>Two</v>
      </c>
      <c r="K368">
        <v>627</v>
      </c>
      <c r="L368" t="str" cm="1">
        <f t="array" ref="L368">_xlfn.IFS(K368&lt;=580,"Poor",K368&lt;=670,"fair",K368&lt;=740,"Good",K368&lt;=800,"Very Good",K368&gt;=800,"Excellent")</f>
        <v>fair</v>
      </c>
      <c r="M368">
        <v>2</v>
      </c>
      <c r="N368" t="str">
        <f t="shared" si="21"/>
        <v>Yes</v>
      </c>
      <c r="O368">
        <v>0.26</v>
      </c>
      <c r="P368" t="str" cm="1">
        <f t="array" ref="P368">_xlfn.IFS(O368&lt;=0.3,"Low Risk",O368&lt;=0.4,"medium Risk",O368&lt;=0.5,"High Risk",O368&gt;0.5,"Very High Risk")</f>
        <v>Low Risk</v>
      </c>
      <c r="Q368">
        <v>13435</v>
      </c>
      <c r="R368">
        <v>4267</v>
      </c>
      <c r="S368" t="str">
        <f t="shared" si="22"/>
        <v>Yes</v>
      </c>
      <c r="T368">
        <v>3058</v>
      </c>
      <c r="U368" t="str" cm="1">
        <f t="array" ref="U368">_xlfn.IFS(T368&lt;5000,"Small",T368&lt;20000,"Medium",T368&lt;35000,"Large",T368&gt;35000,"Very Large")</f>
        <v>Small</v>
      </c>
      <c r="V368">
        <v>24</v>
      </c>
      <c r="W368">
        <f t="shared" si="23"/>
        <v>2</v>
      </c>
      <c r="X368" t="s">
        <v>42</v>
      </c>
      <c r="Y368" t="s">
        <v>32</v>
      </c>
      <c r="Z368" t="s">
        <v>33</v>
      </c>
      <c r="AA368" t="s">
        <v>40</v>
      </c>
      <c r="AB368" t="s">
        <v>42</v>
      </c>
      <c r="AC368" t="s">
        <v>36</v>
      </c>
    </row>
    <row r="369" spans="1:29" x14ac:dyDescent="0.25">
      <c r="A369">
        <v>387</v>
      </c>
      <c r="B369">
        <v>7536</v>
      </c>
      <c r="C369">
        <v>3610</v>
      </c>
      <c r="D369">
        <f t="shared" si="20"/>
        <v>11146</v>
      </c>
      <c r="E369" t="s">
        <v>29</v>
      </c>
      <c r="F369">
        <v>24</v>
      </c>
      <c r="G369" t="str" cm="1">
        <f t="array" ref="G369">_xlfn.IFS(F369&lt;25,"18-24",F369&lt;35,"25-35",F369&lt;45,"35-44",F369&lt;55,"44-54",F369&gt;=55,"55+")</f>
        <v>18-24</v>
      </c>
      <c r="H369" t="s">
        <v>30</v>
      </c>
      <c r="I369">
        <v>1</v>
      </c>
      <c r="J369" t="str" cm="1">
        <f t="array" ref="J369">_xlfn.IFS(I369&lt;=0,"No Dependents",I369&lt;=1,"One",I369&lt;=2,"Two",I369&gt;=3,"Third")</f>
        <v>One</v>
      </c>
      <c r="K369">
        <v>797</v>
      </c>
      <c r="L369" t="str" cm="1">
        <f t="array" ref="L369">_xlfn.IFS(K369&lt;=580,"Poor",K369&lt;=670,"fair",K369&lt;=740,"Good",K369&lt;=800,"Very Good",K369&gt;=800,"Excellent")</f>
        <v>Very Good</v>
      </c>
      <c r="M369">
        <v>1</v>
      </c>
      <c r="N369" t="str">
        <f t="shared" si="21"/>
        <v>Yes</v>
      </c>
      <c r="O369">
        <v>0.15</v>
      </c>
      <c r="P369" t="str" cm="1">
        <f t="array" ref="P369">_xlfn.IFS(O369&lt;=0.3,"Low Risk",O369&lt;=0.4,"medium Risk",O369&lt;=0.5,"High Risk",O369&gt;0.5,"Very High Risk")</f>
        <v>Low Risk</v>
      </c>
      <c r="Q369">
        <v>4114</v>
      </c>
      <c r="R369">
        <v>5988</v>
      </c>
      <c r="S369" t="str">
        <f t="shared" si="22"/>
        <v>Yes</v>
      </c>
      <c r="T369">
        <v>12519</v>
      </c>
      <c r="U369" t="str" cm="1">
        <f t="array" ref="U369">_xlfn.IFS(T369&lt;5000,"Small",T369&lt;20000,"Medium",T369&lt;35000,"Large",T369&gt;35000,"Very Large")</f>
        <v>Medium</v>
      </c>
      <c r="V369">
        <v>60</v>
      </c>
      <c r="W369">
        <f t="shared" si="23"/>
        <v>5</v>
      </c>
      <c r="X369" t="s">
        <v>47</v>
      </c>
      <c r="Y369" t="s">
        <v>32</v>
      </c>
      <c r="Z369" t="s">
        <v>39</v>
      </c>
      <c r="AA369" t="s">
        <v>40</v>
      </c>
      <c r="AB369" t="s">
        <v>48</v>
      </c>
      <c r="AC369" t="s">
        <v>44</v>
      </c>
    </row>
    <row r="370" spans="1:29" x14ac:dyDescent="0.25">
      <c r="A370">
        <v>388</v>
      </c>
      <c r="B370">
        <v>0</v>
      </c>
      <c r="C370">
        <v>1607</v>
      </c>
      <c r="D370">
        <f t="shared" si="20"/>
        <v>1607</v>
      </c>
      <c r="E370" t="s">
        <v>49</v>
      </c>
      <c r="F370">
        <v>21</v>
      </c>
      <c r="G370" t="str" cm="1">
        <f t="array" ref="G370">_xlfn.IFS(F370&lt;25,"18-24",F370&lt;35,"25-35",F370&lt;45,"35-44",F370&lt;55,"44-54",F370&gt;=55,"55+")</f>
        <v>18-24</v>
      </c>
      <c r="H370" t="s">
        <v>30</v>
      </c>
      <c r="I370">
        <v>3</v>
      </c>
      <c r="J370" t="str" cm="1">
        <f t="array" ref="J370">_xlfn.IFS(I370&lt;=0,"No Dependents",I370&lt;=1,"One",I370&lt;=2,"Two",I370&gt;=3,"Third")</f>
        <v>Third</v>
      </c>
      <c r="K370">
        <v>646</v>
      </c>
      <c r="L370" t="str" cm="1">
        <f t="array" ref="L370">_xlfn.IFS(K370&lt;=580,"Poor",K370&lt;=670,"fair",K370&lt;=740,"Good",K370&lt;=800,"Very Good",K370&gt;=800,"Excellent")</f>
        <v>fair</v>
      </c>
      <c r="M370">
        <v>1</v>
      </c>
      <c r="N370" t="str">
        <f t="shared" si="21"/>
        <v>Yes</v>
      </c>
      <c r="O370">
        <v>0.36</v>
      </c>
      <c r="P370" t="str" cm="1">
        <f t="array" ref="P370">_xlfn.IFS(O370&lt;=0.3,"Low Risk",O370&lt;=0.4,"medium Risk",O370&lt;=0.5,"High Risk",O370&gt;0.5,"Very High Risk")</f>
        <v>medium Risk</v>
      </c>
      <c r="Q370">
        <v>13568</v>
      </c>
      <c r="R370">
        <v>27974</v>
      </c>
      <c r="S370" t="str">
        <f t="shared" si="22"/>
        <v>Yes</v>
      </c>
      <c r="T370">
        <v>32115</v>
      </c>
      <c r="U370" t="str" cm="1">
        <f t="array" ref="U370">_xlfn.IFS(T370&lt;5000,"Small",T370&lt;20000,"Medium",T370&lt;35000,"Large",T370&gt;35000,"Very Large")</f>
        <v>Large</v>
      </c>
      <c r="V370">
        <v>84</v>
      </c>
      <c r="W370">
        <f t="shared" si="23"/>
        <v>7</v>
      </c>
      <c r="X370" t="s">
        <v>47</v>
      </c>
      <c r="Y370" t="s">
        <v>38</v>
      </c>
      <c r="Z370" t="s">
        <v>39</v>
      </c>
      <c r="AA370" t="s">
        <v>34</v>
      </c>
      <c r="AB370" t="s">
        <v>48</v>
      </c>
      <c r="AC370" t="s">
        <v>36</v>
      </c>
    </row>
    <row r="371" spans="1:29" x14ac:dyDescent="0.25">
      <c r="A371">
        <v>389</v>
      </c>
      <c r="B371">
        <v>5913</v>
      </c>
      <c r="C371">
        <v>5179</v>
      </c>
      <c r="D371">
        <f t="shared" si="20"/>
        <v>11092</v>
      </c>
      <c r="E371" t="s">
        <v>48</v>
      </c>
      <c r="F371">
        <v>39</v>
      </c>
      <c r="G371" t="str" cm="1">
        <f t="array" ref="G371">_xlfn.IFS(F371&lt;25,"18-24",F371&lt;35,"25-35",F371&lt;45,"35-44",F371&lt;55,"44-54",F371&gt;=55,"55+")</f>
        <v>35-44</v>
      </c>
      <c r="H371" t="s">
        <v>41</v>
      </c>
      <c r="I371">
        <v>1</v>
      </c>
      <c r="J371" t="str" cm="1">
        <f t="array" ref="J371">_xlfn.IFS(I371&lt;=0,"No Dependents",I371&lt;=1,"One",I371&lt;=2,"Two",I371&gt;=3,"Third")</f>
        <v>One</v>
      </c>
      <c r="K371">
        <v>739</v>
      </c>
      <c r="L371" t="str" cm="1">
        <f t="array" ref="L371">_xlfn.IFS(K371&lt;=580,"Poor",K371&lt;=670,"fair",K371&lt;=740,"Good",K371&lt;=800,"Very Good",K371&gt;=800,"Excellent")</f>
        <v>Good</v>
      </c>
      <c r="M371">
        <v>2</v>
      </c>
      <c r="N371" t="str">
        <f t="shared" si="21"/>
        <v>Yes</v>
      </c>
      <c r="O371">
        <v>0.13</v>
      </c>
      <c r="P371" t="str" cm="1">
        <f t="array" ref="P371">_xlfn.IFS(O371&lt;=0.3,"Low Risk",O371&lt;=0.4,"medium Risk",O371&lt;=0.5,"High Risk",O371&gt;0.5,"Very High Risk")</f>
        <v>Low Risk</v>
      </c>
      <c r="Q371">
        <v>3367</v>
      </c>
      <c r="R371">
        <v>24036</v>
      </c>
      <c r="S371" t="str">
        <f t="shared" si="22"/>
        <v>Yes</v>
      </c>
      <c r="T371">
        <v>1730</v>
      </c>
      <c r="U371" t="str" cm="1">
        <f t="array" ref="U371">_xlfn.IFS(T371&lt;5000,"Small",T371&lt;20000,"Medium",T371&lt;35000,"Large",T371&gt;35000,"Very Large")</f>
        <v>Small</v>
      </c>
      <c r="V371">
        <v>60</v>
      </c>
      <c r="W371">
        <f t="shared" si="23"/>
        <v>5</v>
      </c>
      <c r="X371" t="s">
        <v>50</v>
      </c>
      <c r="Y371" t="s">
        <v>32</v>
      </c>
      <c r="Z371" t="s">
        <v>39</v>
      </c>
      <c r="AA371" t="s">
        <v>34</v>
      </c>
      <c r="AB371" t="s">
        <v>35</v>
      </c>
      <c r="AC371" t="s">
        <v>44</v>
      </c>
    </row>
    <row r="372" spans="1:29" x14ac:dyDescent="0.25">
      <c r="A372">
        <v>390</v>
      </c>
      <c r="B372">
        <v>19450</v>
      </c>
      <c r="C372">
        <v>6573</v>
      </c>
      <c r="D372">
        <f t="shared" si="20"/>
        <v>26023</v>
      </c>
      <c r="E372" t="s">
        <v>48</v>
      </c>
      <c r="F372">
        <v>46</v>
      </c>
      <c r="G372" t="str" cm="1">
        <f t="array" ref="G372">_xlfn.IFS(F372&lt;25,"18-24",F372&lt;35,"25-35",F372&lt;45,"35-44",F372&lt;55,"44-54",F372&gt;=55,"55+")</f>
        <v>44-54</v>
      </c>
      <c r="H372" t="s">
        <v>30</v>
      </c>
      <c r="I372">
        <v>2</v>
      </c>
      <c r="J372" t="str" cm="1">
        <f t="array" ref="J372">_xlfn.IFS(I372&lt;=0,"No Dependents",I372&lt;=1,"One",I372&lt;=2,"Two",I372&gt;=3,"Third")</f>
        <v>Two</v>
      </c>
      <c r="K372">
        <v>770</v>
      </c>
      <c r="L372" t="str" cm="1">
        <f t="array" ref="L372">_xlfn.IFS(K372&lt;=580,"Poor",K372&lt;=670,"fair",K372&lt;=740,"Good",K372&lt;=800,"Very Good",K372&gt;=800,"Excellent")</f>
        <v>Very Good</v>
      </c>
      <c r="M372">
        <v>2</v>
      </c>
      <c r="N372" t="str">
        <f t="shared" si="21"/>
        <v>Yes</v>
      </c>
      <c r="O372">
        <v>0.16</v>
      </c>
      <c r="P372" t="str" cm="1">
        <f t="array" ref="P372">_xlfn.IFS(O372&lt;=0.3,"Low Risk",O372&lt;=0.4,"medium Risk",O372&lt;=0.5,"High Risk",O372&gt;0.5,"Very High Risk")</f>
        <v>Low Risk</v>
      </c>
      <c r="Q372">
        <v>8095</v>
      </c>
      <c r="R372">
        <v>8680</v>
      </c>
      <c r="S372" t="str">
        <f t="shared" si="22"/>
        <v>Yes</v>
      </c>
      <c r="T372">
        <v>2832</v>
      </c>
      <c r="U372" t="str" cm="1">
        <f t="array" ref="U372">_xlfn.IFS(T372&lt;5000,"Small",T372&lt;20000,"Medium",T372&lt;35000,"Large",T372&gt;35000,"Very Large")</f>
        <v>Small</v>
      </c>
      <c r="V372">
        <v>12</v>
      </c>
      <c r="W372">
        <f t="shared" si="23"/>
        <v>1</v>
      </c>
      <c r="X372" t="s">
        <v>47</v>
      </c>
      <c r="Y372" t="s">
        <v>45</v>
      </c>
      <c r="Z372" t="s">
        <v>39</v>
      </c>
      <c r="AA372" t="s">
        <v>40</v>
      </c>
      <c r="AB372" t="s">
        <v>48</v>
      </c>
      <c r="AC372" t="s">
        <v>44</v>
      </c>
    </row>
    <row r="373" spans="1:29" x14ac:dyDescent="0.25">
      <c r="A373">
        <v>391</v>
      </c>
      <c r="B373">
        <v>12636</v>
      </c>
      <c r="C373">
        <v>984</v>
      </c>
      <c r="D373">
        <f t="shared" si="20"/>
        <v>13620</v>
      </c>
      <c r="E373" t="s">
        <v>46</v>
      </c>
      <c r="F373">
        <v>45</v>
      </c>
      <c r="G373" t="str" cm="1">
        <f t="array" ref="G373">_xlfn.IFS(F373&lt;25,"18-24",F373&lt;35,"25-35",F373&lt;45,"35-44",F373&lt;55,"44-54",F373&gt;=55,"55+")</f>
        <v>44-54</v>
      </c>
      <c r="H373" t="s">
        <v>30</v>
      </c>
      <c r="I373">
        <v>3</v>
      </c>
      <c r="J373" t="str" cm="1">
        <f t="array" ref="J373">_xlfn.IFS(I373&lt;=0,"No Dependents",I373&lt;=1,"One",I373&lt;=2,"Two",I373&gt;=3,"Third")</f>
        <v>Third</v>
      </c>
      <c r="K373">
        <v>592</v>
      </c>
      <c r="L373" t="str" cm="1">
        <f t="array" ref="L373">_xlfn.IFS(K373&lt;=580,"Poor",K373&lt;=670,"fair",K373&lt;=740,"Good",K373&lt;=800,"Very Good",K373&gt;=800,"Excellent")</f>
        <v>fair</v>
      </c>
      <c r="M373">
        <v>1</v>
      </c>
      <c r="N373" t="str">
        <f t="shared" si="21"/>
        <v>Yes</v>
      </c>
      <c r="O373">
        <v>0.21</v>
      </c>
      <c r="P373" t="str" cm="1">
        <f t="array" ref="P373">_xlfn.IFS(O373&lt;=0.3,"Low Risk",O373&lt;=0.4,"medium Risk",O373&lt;=0.5,"High Risk",O373&gt;0.5,"Very High Risk")</f>
        <v>Low Risk</v>
      </c>
      <c r="Q373">
        <v>5141</v>
      </c>
      <c r="R373">
        <v>1485</v>
      </c>
      <c r="S373" t="str">
        <f t="shared" si="22"/>
        <v>Yes</v>
      </c>
      <c r="T373">
        <v>23889</v>
      </c>
      <c r="U373" t="str" cm="1">
        <f t="array" ref="U373">_xlfn.IFS(T373&lt;5000,"Small",T373&lt;20000,"Medium",T373&lt;35000,"Large",T373&gt;35000,"Very Large")</f>
        <v>Large</v>
      </c>
      <c r="V373">
        <v>48</v>
      </c>
      <c r="W373">
        <f t="shared" si="23"/>
        <v>4</v>
      </c>
      <c r="X373" t="s">
        <v>42</v>
      </c>
      <c r="Y373" t="s">
        <v>45</v>
      </c>
      <c r="Z373" t="s">
        <v>39</v>
      </c>
      <c r="AA373" t="s">
        <v>40</v>
      </c>
      <c r="AB373" t="s">
        <v>35</v>
      </c>
      <c r="AC373" t="s">
        <v>36</v>
      </c>
    </row>
    <row r="374" spans="1:29" x14ac:dyDescent="0.25">
      <c r="A374">
        <v>392</v>
      </c>
      <c r="B374">
        <v>7726</v>
      </c>
      <c r="C374">
        <v>5776</v>
      </c>
      <c r="D374">
        <f t="shared" si="20"/>
        <v>13502</v>
      </c>
      <c r="E374" t="s">
        <v>29</v>
      </c>
      <c r="F374">
        <v>30</v>
      </c>
      <c r="G374" t="str" cm="1">
        <f t="array" ref="G374">_xlfn.IFS(F374&lt;25,"18-24",F374&lt;35,"25-35",F374&lt;45,"35-44",F374&lt;55,"44-54",F374&gt;=55,"55+")</f>
        <v>25-35</v>
      </c>
      <c r="H374" t="s">
        <v>30</v>
      </c>
      <c r="I374">
        <v>2</v>
      </c>
      <c r="J374" t="str" cm="1">
        <f t="array" ref="J374">_xlfn.IFS(I374&lt;=0,"No Dependents",I374&lt;=1,"One",I374&lt;=2,"Two",I374&gt;=3,"Third")</f>
        <v>Two</v>
      </c>
      <c r="K374">
        <v>726</v>
      </c>
      <c r="L374" t="str" cm="1">
        <f t="array" ref="L374">_xlfn.IFS(K374&lt;=580,"Poor",K374&lt;=670,"fair",K374&lt;=740,"Good",K374&lt;=800,"Very Good",K374&gt;=800,"Excellent")</f>
        <v>Good</v>
      </c>
      <c r="M374">
        <v>2</v>
      </c>
      <c r="N374" t="str">
        <f t="shared" si="21"/>
        <v>Yes</v>
      </c>
      <c r="O374">
        <v>0.33</v>
      </c>
      <c r="P374" t="str" cm="1">
        <f t="array" ref="P374">_xlfn.IFS(O374&lt;=0.3,"Low Risk",O374&lt;=0.4,"medium Risk",O374&lt;=0.5,"High Risk",O374&gt;0.5,"Very High Risk")</f>
        <v>medium Risk</v>
      </c>
      <c r="Q374">
        <v>3951</v>
      </c>
      <c r="R374">
        <v>14713</v>
      </c>
      <c r="S374" t="str">
        <f t="shared" si="22"/>
        <v>Yes</v>
      </c>
      <c r="T374">
        <v>5179</v>
      </c>
      <c r="U374" t="str" cm="1">
        <f t="array" ref="U374">_xlfn.IFS(T374&lt;5000,"Small",T374&lt;20000,"Medium",T374&lt;35000,"Large",T374&gt;35000,"Very Large")</f>
        <v>Medium</v>
      </c>
      <c r="V374">
        <v>36</v>
      </c>
      <c r="W374">
        <f t="shared" si="23"/>
        <v>3</v>
      </c>
      <c r="X374" t="s">
        <v>50</v>
      </c>
      <c r="Y374" t="s">
        <v>32</v>
      </c>
      <c r="Z374" t="s">
        <v>39</v>
      </c>
      <c r="AA374" t="s">
        <v>34</v>
      </c>
      <c r="AB374" t="s">
        <v>35</v>
      </c>
      <c r="AC374" t="s">
        <v>44</v>
      </c>
    </row>
    <row r="375" spans="1:29" x14ac:dyDescent="0.25">
      <c r="A375">
        <v>393</v>
      </c>
      <c r="B375">
        <v>5373</v>
      </c>
      <c r="C375">
        <v>3676</v>
      </c>
      <c r="D375">
        <f t="shared" si="20"/>
        <v>9049</v>
      </c>
      <c r="E375" t="s">
        <v>29</v>
      </c>
      <c r="F375">
        <v>35</v>
      </c>
      <c r="G375" t="str" cm="1">
        <f t="array" ref="G375">_xlfn.IFS(F375&lt;25,"18-24",F375&lt;35,"25-35",F375&lt;45,"35-44",F375&lt;55,"44-54",F375&gt;=55,"55+")</f>
        <v>35-44</v>
      </c>
      <c r="H375" t="s">
        <v>30</v>
      </c>
      <c r="I375">
        <v>0</v>
      </c>
      <c r="J375" t="str" cm="1">
        <f t="array" ref="J375">_xlfn.IFS(I375&lt;=0,"No Dependents",I375&lt;=1,"One",I375&lt;=2,"Two",I375&gt;=3,"Third")</f>
        <v>No Dependents</v>
      </c>
      <c r="K375">
        <v>585</v>
      </c>
      <c r="L375" t="str" cm="1">
        <f t="array" ref="L375">_xlfn.IFS(K375&lt;=580,"Poor",K375&lt;=670,"fair",K375&lt;=740,"Good",K375&lt;=800,"Very Good",K375&gt;=800,"Excellent")</f>
        <v>fair</v>
      </c>
      <c r="M375">
        <v>0</v>
      </c>
      <c r="N375" t="str">
        <f t="shared" si="21"/>
        <v>No</v>
      </c>
      <c r="O375">
        <v>0.32</v>
      </c>
      <c r="P375" t="str" cm="1">
        <f t="array" ref="P375">_xlfn.IFS(O375&lt;=0.3,"Low Risk",O375&lt;=0.4,"medium Risk",O375&lt;=0.5,"High Risk",O375&gt;0.5,"Very High Risk")</f>
        <v>medium Risk</v>
      </c>
      <c r="Q375">
        <v>14887</v>
      </c>
      <c r="R375">
        <v>20043</v>
      </c>
      <c r="S375" t="str">
        <f t="shared" si="22"/>
        <v>Yes</v>
      </c>
      <c r="T375">
        <v>7299</v>
      </c>
      <c r="U375" t="str" cm="1">
        <f t="array" ref="U375">_xlfn.IFS(T375&lt;5000,"Small",T375&lt;20000,"Medium",T375&lt;35000,"Large",T375&gt;35000,"Very Large")</f>
        <v>Medium</v>
      </c>
      <c r="V375">
        <v>60</v>
      </c>
      <c r="W375">
        <f t="shared" si="23"/>
        <v>5</v>
      </c>
      <c r="X375" t="s">
        <v>47</v>
      </c>
      <c r="Y375" t="s">
        <v>38</v>
      </c>
      <c r="Z375" t="s">
        <v>39</v>
      </c>
      <c r="AA375" t="s">
        <v>40</v>
      </c>
      <c r="AB375" t="s">
        <v>35</v>
      </c>
      <c r="AC375" t="s">
        <v>36</v>
      </c>
    </row>
    <row r="376" spans="1:29" x14ac:dyDescent="0.25">
      <c r="A376">
        <v>394</v>
      </c>
      <c r="B376">
        <v>14161</v>
      </c>
      <c r="C376">
        <v>3380</v>
      </c>
      <c r="D376">
        <f t="shared" si="20"/>
        <v>17541</v>
      </c>
      <c r="E376" t="s">
        <v>49</v>
      </c>
      <c r="F376">
        <v>42</v>
      </c>
      <c r="G376" t="str" cm="1">
        <f t="array" ref="G376">_xlfn.IFS(F376&lt;25,"18-24",F376&lt;35,"25-35",F376&lt;45,"35-44",F376&lt;55,"44-54",F376&gt;=55,"55+")</f>
        <v>35-44</v>
      </c>
      <c r="H376" t="s">
        <v>30</v>
      </c>
      <c r="I376">
        <v>0</v>
      </c>
      <c r="J376" t="str" cm="1">
        <f t="array" ref="J376">_xlfn.IFS(I376&lt;=0,"No Dependents",I376&lt;=1,"One",I376&lt;=2,"Two",I376&gt;=3,"Third")</f>
        <v>No Dependents</v>
      </c>
      <c r="K376">
        <v>671</v>
      </c>
      <c r="L376" t="str" cm="1">
        <f t="array" ref="L376">_xlfn.IFS(K376&lt;=580,"Poor",K376&lt;=670,"fair",K376&lt;=740,"Good",K376&lt;=800,"Very Good",K376&gt;=800,"Excellent")</f>
        <v>Good</v>
      </c>
      <c r="M376">
        <v>2</v>
      </c>
      <c r="N376" t="str">
        <f t="shared" si="21"/>
        <v>Yes</v>
      </c>
      <c r="O376">
        <v>0.5</v>
      </c>
      <c r="P376" t="str" cm="1">
        <f t="array" ref="P376">_xlfn.IFS(O376&lt;=0.3,"Low Risk",O376&lt;=0.4,"medium Risk",O376&lt;=0.5,"High Risk",O376&gt;0.5,"Very High Risk")</f>
        <v>High Risk</v>
      </c>
      <c r="Q376">
        <v>1573</v>
      </c>
      <c r="R376">
        <v>2419</v>
      </c>
      <c r="S376" t="str">
        <f t="shared" si="22"/>
        <v>Yes</v>
      </c>
      <c r="T376">
        <v>8830</v>
      </c>
      <c r="U376" t="str" cm="1">
        <f t="array" ref="U376">_xlfn.IFS(T376&lt;5000,"Small",T376&lt;20000,"Medium",T376&lt;35000,"Large",T376&gt;35000,"Very Large")</f>
        <v>Medium</v>
      </c>
      <c r="V376">
        <v>24</v>
      </c>
      <c r="W376">
        <f t="shared" si="23"/>
        <v>2</v>
      </c>
      <c r="X376" t="s">
        <v>37</v>
      </c>
      <c r="Y376" t="s">
        <v>32</v>
      </c>
      <c r="Z376" t="s">
        <v>39</v>
      </c>
      <c r="AA376" t="s">
        <v>40</v>
      </c>
      <c r="AB376" t="s">
        <v>35</v>
      </c>
      <c r="AC376" t="s">
        <v>36</v>
      </c>
    </row>
    <row r="377" spans="1:29" x14ac:dyDescent="0.25">
      <c r="A377">
        <v>395</v>
      </c>
      <c r="B377">
        <v>4082</v>
      </c>
      <c r="C377">
        <v>8711</v>
      </c>
      <c r="D377">
        <f t="shared" si="20"/>
        <v>12793</v>
      </c>
      <c r="E377" t="s">
        <v>49</v>
      </c>
      <c r="F377">
        <v>41</v>
      </c>
      <c r="G377" t="str" cm="1">
        <f t="array" ref="G377">_xlfn.IFS(F377&lt;25,"18-24",F377&lt;35,"25-35",F377&lt;45,"35-44",F377&lt;55,"44-54",F377&gt;=55,"55+")</f>
        <v>35-44</v>
      </c>
      <c r="H377" t="s">
        <v>30</v>
      </c>
      <c r="I377">
        <v>3</v>
      </c>
      <c r="J377" t="str" cm="1">
        <f t="array" ref="J377">_xlfn.IFS(I377&lt;=0,"No Dependents",I377&lt;=1,"One",I377&lt;=2,"Two",I377&gt;=3,"Third")</f>
        <v>Third</v>
      </c>
      <c r="K377">
        <v>657</v>
      </c>
      <c r="L377" t="str" cm="1">
        <f t="array" ref="L377">_xlfn.IFS(K377&lt;=580,"Poor",K377&lt;=670,"fair",K377&lt;=740,"Good",K377&lt;=800,"Very Good",K377&gt;=800,"Excellent")</f>
        <v>fair</v>
      </c>
      <c r="M377">
        <v>2</v>
      </c>
      <c r="N377" t="str">
        <f t="shared" si="21"/>
        <v>Yes</v>
      </c>
      <c r="O377">
        <v>0.47</v>
      </c>
      <c r="P377" t="str" cm="1">
        <f t="array" ref="P377">_xlfn.IFS(O377&lt;=0.3,"Low Risk",O377&lt;=0.4,"medium Risk",O377&lt;=0.5,"High Risk",O377&gt;0.5,"Very High Risk")</f>
        <v>High Risk</v>
      </c>
      <c r="Q377">
        <v>13359</v>
      </c>
      <c r="R377">
        <v>48080</v>
      </c>
      <c r="S377" t="str">
        <f t="shared" si="22"/>
        <v>Yes</v>
      </c>
      <c r="T377">
        <v>38570</v>
      </c>
      <c r="U377" t="str" cm="1">
        <f t="array" ref="U377">_xlfn.IFS(T377&lt;5000,"Small",T377&lt;20000,"Medium",T377&lt;35000,"Large",T377&gt;35000,"Very Large")</f>
        <v>Very Large</v>
      </c>
      <c r="V377">
        <v>12</v>
      </c>
      <c r="W377">
        <f t="shared" si="23"/>
        <v>1</v>
      </c>
      <c r="X377" t="s">
        <v>31</v>
      </c>
      <c r="Y377" t="s">
        <v>32</v>
      </c>
      <c r="Z377" t="s">
        <v>39</v>
      </c>
      <c r="AA377" t="s">
        <v>40</v>
      </c>
      <c r="AB377" t="s">
        <v>35</v>
      </c>
      <c r="AC377" t="s">
        <v>36</v>
      </c>
    </row>
    <row r="378" spans="1:29" x14ac:dyDescent="0.25">
      <c r="A378">
        <v>396</v>
      </c>
      <c r="B378">
        <v>18281</v>
      </c>
      <c r="C378">
        <v>8782</v>
      </c>
      <c r="D378">
        <f t="shared" si="20"/>
        <v>27063</v>
      </c>
      <c r="E378" t="s">
        <v>46</v>
      </c>
      <c r="F378">
        <v>42</v>
      </c>
      <c r="G378" t="str" cm="1">
        <f t="array" ref="G378">_xlfn.IFS(F378&lt;25,"18-24",F378&lt;35,"25-35",F378&lt;45,"35-44",F378&lt;55,"44-54",F378&gt;=55,"55+")</f>
        <v>35-44</v>
      </c>
      <c r="H378" t="s">
        <v>30</v>
      </c>
      <c r="I378">
        <v>1</v>
      </c>
      <c r="J378" t="str" cm="1">
        <f t="array" ref="J378">_xlfn.IFS(I378&lt;=0,"No Dependents",I378&lt;=1,"One",I378&lt;=2,"Two",I378&gt;=3,"Third")</f>
        <v>One</v>
      </c>
      <c r="K378">
        <v>559</v>
      </c>
      <c r="L378" t="str" cm="1">
        <f t="array" ref="L378">_xlfn.IFS(K378&lt;=580,"Poor",K378&lt;=670,"fair",K378&lt;=740,"Good",K378&lt;=800,"Very Good",K378&gt;=800,"Excellent")</f>
        <v>Poor</v>
      </c>
      <c r="M378">
        <v>1</v>
      </c>
      <c r="N378" t="str">
        <f t="shared" si="21"/>
        <v>Yes</v>
      </c>
      <c r="O378">
        <v>0.31</v>
      </c>
      <c r="P378" t="str" cm="1">
        <f t="array" ref="P378">_xlfn.IFS(O378&lt;=0.3,"Low Risk",O378&lt;=0.4,"medium Risk",O378&lt;=0.5,"High Risk",O378&gt;0.5,"Very High Risk")</f>
        <v>medium Risk</v>
      </c>
      <c r="Q378">
        <v>19018</v>
      </c>
      <c r="R378">
        <v>36263</v>
      </c>
      <c r="S378" t="str">
        <f t="shared" si="22"/>
        <v>Yes</v>
      </c>
      <c r="T378">
        <v>23441</v>
      </c>
      <c r="U378" t="str" cm="1">
        <f t="array" ref="U378">_xlfn.IFS(T378&lt;5000,"Small",T378&lt;20000,"Medium",T378&lt;35000,"Large",T378&gt;35000,"Very Large")</f>
        <v>Large</v>
      </c>
      <c r="V378">
        <v>36</v>
      </c>
      <c r="W378">
        <f t="shared" si="23"/>
        <v>3</v>
      </c>
      <c r="X378" t="s">
        <v>47</v>
      </c>
      <c r="Y378" t="s">
        <v>32</v>
      </c>
      <c r="Z378" t="s">
        <v>33</v>
      </c>
      <c r="AA378" t="s">
        <v>40</v>
      </c>
      <c r="AB378" t="s">
        <v>51</v>
      </c>
      <c r="AC378" t="s">
        <v>36</v>
      </c>
    </row>
    <row r="379" spans="1:29" x14ac:dyDescent="0.25">
      <c r="A379">
        <v>397</v>
      </c>
      <c r="B379">
        <v>17305</v>
      </c>
      <c r="C379">
        <v>1050</v>
      </c>
      <c r="D379">
        <f t="shared" si="20"/>
        <v>18355</v>
      </c>
      <c r="E379" t="s">
        <v>29</v>
      </c>
      <c r="F379">
        <v>56</v>
      </c>
      <c r="G379" t="str" cm="1">
        <f t="array" ref="G379">_xlfn.IFS(F379&lt;25,"18-24",F379&lt;35,"25-35",F379&lt;45,"35-44",F379&lt;55,"44-54",F379&gt;=55,"55+")</f>
        <v>55+</v>
      </c>
      <c r="H379" t="s">
        <v>30</v>
      </c>
      <c r="I379">
        <v>2</v>
      </c>
      <c r="J379" t="str" cm="1">
        <f t="array" ref="J379">_xlfn.IFS(I379&lt;=0,"No Dependents",I379&lt;=1,"One",I379&lt;=2,"Two",I379&gt;=3,"Third")</f>
        <v>Two</v>
      </c>
      <c r="K379">
        <v>644</v>
      </c>
      <c r="L379" t="str" cm="1">
        <f t="array" ref="L379">_xlfn.IFS(K379&lt;=580,"Poor",K379&lt;=670,"fair",K379&lt;=740,"Good",K379&lt;=800,"Very Good",K379&gt;=800,"Excellent")</f>
        <v>fair</v>
      </c>
      <c r="M379">
        <v>0</v>
      </c>
      <c r="N379" t="str">
        <f t="shared" si="21"/>
        <v>No</v>
      </c>
      <c r="O379">
        <v>0.27</v>
      </c>
      <c r="P379" t="str" cm="1">
        <f t="array" ref="P379">_xlfn.IFS(O379&lt;=0.3,"Low Risk",O379&lt;=0.4,"medium Risk",O379&lt;=0.5,"High Risk",O379&gt;0.5,"Very High Risk")</f>
        <v>Low Risk</v>
      </c>
      <c r="Q379">
        <v>2768</v>
      </c>
      <c r="R379">
        <v>17140</v>
      </c>
      <c r="S379" t="str">
        <f t="shared" si="22"/>
        <v>Yes</v>
      </c>
      <c r="T379">
        <v>7615</v>
      </c>
      <c r="U379" t="str" cm="1">
        <f t="array" ref="U379">_xlfn.IFS(T379&lt;5000,"Small",T379&lt;20000,"Medium",T379&lt;35000,"Large",T379&gt;35000,"Very Large")</f>
        <v>Medium</v>
      </c>
      <c r="V379">
        <v>72</v>
      </c>
      <c r="W379">
        <f t="shared" si="23"/>
        <v>6</v>
      </c>
      <c r="X379" t="s">
        <v>47</v>
      </c>
      <c r="Y379" t="s">
        <v>32</v>
      </c>
      <c r="Z379" t="s">
        <v>33</v>
      </c>
      <c r="AA379" t="s">
        <v>40</v>
      </c>
      <c r="AB379" t="s">
        <v>35</v>
      </c>
      <c r="AC379" t="s">
        <v>36</v>
      </c>
    </row>
    <row r="380" spans="1:29" x14ac:dyDescent="0.25">
      <c r="A380">
        <v>398</v>
      </c>
      <c r="B380">
        <v>11817</v>
      </c>
      <c r="C380">
        <v>0</v>
      </c>
      <c r="D380">
        <f t="shared" si="20"/>
        <v>11817</v>
      </c>
      <c r="E380" t="s">
        <v>29</v>
      </c>
      <c r="F380">
        <v>54</v>
      </c>
      <c r="G380" t="str" cm="1">
        <f t="array" ref="G380">_xlfn.IFS(F380&lt;25,"18-24",F380&lt;35,"25-35",F380&lt;45,"35-44",F380&lt;55,"44-54",F380&gt;=55,"55+")</f>
        <v>44-54</v>
      </c>
      <c r="H380" t="s">
        <v>41</v>
      </c>
      <c r="I380">
        <v>1</v>
      </c>
      <c r="J380" t="str" cm="1">
        <f t="array" ref="J380">_xlfn.IFS(I380&lt;=0,"No Dependents",I380&lt;=1,"One",I380&lt;=2,"Two",I380&gt;=3,"Third")</f>
        <v>One</v>
      </c>
      <c r="K380">
        <v>555</v>
      </c>
      <c r="L380" t="str" cm="1">
        <f t="array" ref="L380">_xlfn.IFS(K380&lt;=580,"Poor",K380&lt;=670,"fair",K380&lt;=740,"Good",K380&lt;=800,"Very Good",K380&gt;=800,"Excellent")</f>
        <v>Poor</v>
      </c>
      <c r="M380">
        <v>3</v>
      </c>
      <c r="N380" t="str">
        <f t="shared" si="21"/>
        <v>Yes</v>
      </c>
      <c r="O380">
        <v>0.26</v>
      </c>
      <c r="P380" t="str" cm="1">
        <f t="array" ref="P380">_xlfn.IFS(O380&lt;=0.3,"Low Risk",O380&lt;=0.4,"medium Risk",O380&lt;=0.5,"High Risk",O380&gt;0.5,"Very High Risk")</f>
        <v>Low Risk</v>
      </c>
      <c r="Q380">
        <v>5302</v>
      </c>
      <c r="R380">
        <v>43484</v>
      </c>
      <c r="S380" t="str">
        <f t="shared" si="22"/>
        <v>Yes</v>
      </c>
      <c r="T380">
        <v>7762</v>
      </c>
      <c r="U380" t="str" cm="1">
        <f t="array" ref="U380">_xlfn.IFS(T380&lt;5000,"Small",T380&lt;20000,"Medium",T380&lt;35000,"Large",T380&gt;35000,"Very Large")</f>
        <v>Medium</v>
      </c>
      <c r="V380">
        <v>24</v>
      </c>
      <c r="W380">
        <f t="shared" si="23"/>
        <v>2</v>
      </c>
      <c r="X380" t="s">
        <v>37</v>
      </c>
      <c r="Y380" t="s">
        <v>38</v>
      </c>
      <c r="Z380" t="s">
        <v>39</v>
      </c>
      <c r="AA380" t="s">
        <v>34</v>
      </c>
      <c r="AB380" t="s">
        <v>35</v>
      </c>
      <c r="AC380" t="s">
        <v>36</v>
      </c>
    </row>
    <row r="381" spans="1:29" x14ac:dyDescent="0.25">
      <c r="A381">
        <v>399</v>
      </c>
      <c r="B381">
        <v>13261</v>
      </c>
      <c r="C381">
        <v>6342</v>
      </c>
      <c r="D381">
        <f t="shared" si="20"/>
        <v>19603</v>
      </c>
      <c r="E381" t="s">
        <v>29</v>
      </c>
      <c r="F381">
        <v>50</v>
      </c>
      <c r="G381" t="str" cm="1">
        <f t="array" ref="G381">_xlfn.IFS(F381&lt;25,"18-24",F381&lt;35,"25-35",F381&lt;45,"35-44",F381&lt;55,"44-54",F381&gt;=55,"55+")</f>
        <v>44-54</v>
      </c>
      <c r="H381" t="s">
        <v>41</v>
      </c>
      <c r="I381">
        <v>0</v>
      </c>
      <c r="J381" t="str" cm="1">
        <f t="array" ref="J381">_xlfn.IFS(I381&lt;=0,"No Dependents",I381&lt;=1,"One",I381&lt;=2,"Two",I381&gt;=3,"Third")</f>
        <v>No Dependents</v>
      </c>
      <c r="K381">
        <v>606</v>
      </c>
      <c r="L381" t="str" cm="1">
        <f t="array" ref="L381">_xlfn.IFS(K381&lt;=580,"Poor",K381&lt;=670,"fair",K381&lt;=740,"Good",K381&lt;=800,"Very Good",K381&gt;=800,"Excellent")</f>
        <v>fair</v>
      </c>
      <c r="M381">
        <v>3</v>
      </c>
      <c r="N381" t="str">
        <f t="shared" si="21"/>
        <v>Yes</v>
      </c>
      <c r="O381">
        <v>0.49</v>
      </c>
      <c r="P381" t="str" cm="1">
        <f t="array" ref="P381">_xlfn.IFS(O381&lt;=0.3,"Low Risk",O381&lt;=0.4,"medium Risk",O381&lt;=0.5,"High Risk",O381&gt;0.5,"Very High Risk")</f>
        <v>High Risk</v>
      </c>
      <c r="Q381">
        <v>13746</v>
      </c>
      <c r="R381">
        <v>45210</v>
      </c>
      <c r="S381" t="str">
        <f t="shared" si="22"/>
        <v>Yes</v>
      </c>
      <c r="T381">
        <v>39311</v>
      </c>
      <c r="U381" t="str" cm="1">
        <f t="array" ref="U381">_xlfn.IFS(T381&lt;5000,"Small",T381&lt;20000,"Medium",T381&lt;35000,"Large",T381&gt;35000,"Very Large")</f>
        <v>Very Large</v>
      </c>
      <c r="V381">
        <v>24</v>
      </c>
      <c r="W381">
        <f t="shared" si="23"/>
        <v>2</v>
      </c>
      <c r="X381" t="s">
        <v>42</v>
      </c>
      <c r="Y381" t="s">
        <v>45</v>
      </c>
      <c r="Z381" t="s">
        <v>39</v>
      </c>
      <c r="AA381" t="s">
        <v>34</v>
      </c>
      <c r="AB381" t="s">
        <v>48</v>
      </c>
      <c r="AC381" t="s">
        <v>36</v>
      </c>
    </row>
    <row r="382" spans="1:29" x14ac:dyDescent="0.25">
      <c r="A382">
        <v>400</v>
      </c>
      <c r="B382">
        <v>2417</v>
      </c>
      <c r="C382">
        <v>959</v>
      </c>
      <c r="D382">
        <f t="shared" si="20"/>
        <v>3376</v>
      </c>
      <c r="E382" t="s">
        <v>49</v>
      </c>
      <c r="F382">
        <v>45</v>
      </c>
      <c r="G382" t="str" cm="1">
        <f t="array" ref="G382">_xlfn.IFS(F382&lt;25,"18-24",F382&lt;35,"25-35",F382&lt;45,"35-44",F382&lt;55,"44-54",F382&gt;=55,"55+")</f>
        <v>44-54</v>
      </c>
      <c r="H382" t="s">
        <v>30</v>
      </c>
      <c r="I382">
        <v>0</v>
      </c>
      <c r="J382" t="str" cm="1">
        <f t="array" ref="J382">_xlfn.IFS(I382&lt;=0,"No Dependents",I382&lt;=1,"One",I382&lt;=2,"Two",I382&gt;=3,"Third")</f>
        <v>No Dependents</v>
      </c>
      <c r="K382">
        <v>678</v>
      </c>
      <c r="L382" t="str" cm="1">
        <f t="array" ref="L382">_xlfn.IFS(K382&lt;=580,"Poor",K382&lt;=670,"fair",K382&lt;=740,"Good",K382&lt;=800,"Very Good",K382&gt;=800,"Excellent")</f>
        <v>Good</v>
      </c>
      <c r="M382">
        <v>4</v>
      </c>
      <c r="N382" t="str">
        <f t="shared" si="21"/>
        <v>Yes</v>
      </c>
      <c r="O382">
        <v>0.13</v>
      </c>
      <c r="P382" t="str" cm="1">
        <f t="array" ref="P382">_xlfn.IFS(O382&lt;=0.3,"Low Risk",O382&lt;=0.4,"medium Risk",O382&lt;=0.5,"High Risk",O382&gt;0.5,"Very High Risk")</f>
        <v>Low Risk</v>
      </c>
      <c r="Q382">
        <v>1211</v>
      </c>
      <c r="R382">
        <v>12961</v>
      </c>
      <c r="S382" t="str">
        <f t="shared" si="22"/>
        <v>Yes</v>
      </c>
      <c r="T382">
        <v>25709</v>
      </c>
      <c r="U382" t="str" cm="1">
        <f t="array" ref="U382">_xlfn.IFS(T382&lt;5000,"Small",T382&lt;20000,"Medium",T382&lt;35000,"Large",T382&gt;35000,"Very Large")</f>
        <v>Large</v>
      </c>
      <c r="V382">
        <v>72</v>
      </c>
      <c r="W382">
        <f t="shared" si="23"/>
        <v>6</v>
      </c>
      <c r="X382" t="s">
        <v>37</v>
      </c>
      <c r="Y382" t="s">
        <v>38</v>
      </c>
      <c r="Z382" t="s">
        <v>39</v>
      </c>
      <c r="AA382" t="s">
        <v>34</v>
      </c>
      <c r="AB382" t="s">
        <v>35</v>
      </c>
      <c r="AC382" t="s">
        <v>36</v>
      </c>
    </row>
    <row r="383" spans="1:29" x14ac:dyDescent="0.25">
      <c r="A383">
        <v>401</v>
      </c>
      <c r="B383">
        <v>10808</v>
      </c>
      <c r="C383">
        <v>6059</v>
      </c>
      <c r="D383">
        <f t="shared" si="20"/>
        <v>16867</v>
      </c>
      <c r="E383" t="s">
        <v>29</v>
      </c>
      <c r="F383">
        <v>48</v>
      </c>
      <c r="G383" t="str" cm="1">
        <f t="array" ref="G383">_xlfn.IFS(F383&lt;25,"18-24",F383&lt;35,"25-35",F383&lt;45,"35-44",F383&lt;55,"44-54",F383&gt;=55,"55+")</f>
        <v>44-54</v>
      </c>
      <c r="H383" t="s">
        <v>30</v>
      </c>
      <c r="I383">
        <v>3</v>
      </c>
      <c r="J383" t="str" cm="1">
        <f t="array" ref="J383">_xlfn.IFS(I383&lt;=0,"No Dependents",I383&lt;=1,"One",I383&lt;=2,"Two",I383&gt;=3,"Third")</f>
        <v>Third</v>
      </c>
      <c r="K383">
        <v>620</v>
      </c>
      <c r="L383" t="str" cm="1">
        <f t="array" ref="L383">_xlfn.IFS(K383&lt;=580,"Poor",K383&lt;=670,"fair",K383&lt;=740,"Good",K383&lt;=800,"Very Good",K383&gt;=800,"Excellent")</f>
        <v>fair</v>
      </c>
      <c r="M383">
        <v>2</v>
      </c>
      <c r="N383" t="str">
        <f t="shared" si="21"/>
        <v>Yes</v>
      </c>
      <c r="O383">
        <v>0.11</v>
      </c>
      <c r="P383" t="str" cm="1">
        <f t="array" ref="P383">_xlfn.IFS(O383&lt;=0.3,"Low Risk",O383&lt;=0.4,"medium Risk",O383&lt;=0.5,"High Risk",O383&gt;0.5,"Very High Risk")</f>
        <v>Low Risk</v>
      </c>
      <c r="Q383">
        <v>15445</v>
      </c>
      <c r="R383">
        <v>43075</v>
      </c>
      <c r="S383" t="str">
        <f t="shared" si="22"/>
        <v>Yes</v>
      </c>
      <c r="T383">
        <v>0</v>
      </c>
      <c r="U383" t="str" cm="1">
        <f t="array" ref="U383">_xlfn.IFS(T383&lt;5000,"Small",T383&lt;20000,"Medium",T383&lt;35000,"Large",T383&gt;35000,"Very Large")</f>
        <v>Small</v>
      </c>
      <c r="V383">
        <v>48</v>
      </c>
      <c r="W383">
        <f t="shared" si="23"/>
        <v>4</v>
      </c>
      <c r="X383" t="s">
        <v>47</v>
      </c>
      <c r="Y383" t="s">
        <v>32</v>
      </c>
      <c r="Z383" t="s">
        <v>33</v>
      </c>
      <c r="AA383" t="s">
        <v>40</v>
      </c>
      <c r="AB383" t="s">
        <v>35</v>
      </c>
      <c r="AC383" t="s">
        <v>36</v>
      </c>
    </row>
    <row r="384" spans="1:29" x14ac:dyDescent="0.25">
      <c r="A384">
        <v>402</v>
      </c>
      <c r="B384">
        <v>5267</v>
      </c>
      <c r="C384">
        <v>0</v>
      </c>
      <c r="D384">
        <f t="shared" si="20"/>
        <v>5267</v>
      </c>
      <c r="E384" t="s">
        <v>48</v>
      </c>
      <c r="F384">
        <v>21</v>
      </c>
      <c r="G384" t="str" cm="1">
        <f t="array" ref="G384">_xlfn.IFS(F384&lt;25,"18-24",F384&lt;35,"25-35",F384&lt;45,"35-44",F384&lt;55,"44-54",F384&gt;=55,"55+")</f>
        <v>18-24</v>
      </c>
      <c r="H384" t="s">
        <v>30</v>
      </c>
      <c r="I384">
        <v>0</v>
      </c>
      <c r="J384" t="str" cm="1">
        <f t="array" ref="J384">_xlfn.IFS(I384&lt;=0,"No Dependents",I384&lt;=1,"One",I384&lt;=2,"Two",I384&gt;=3,"Third")</f>
        <v>No Dependents</v>
      </c>
      <c r="K384">
        <v>735</v>
      </c>
      <c r="L384" t="str" cm="1">
        <f t="array" ref="L384">_xlfn.IFS(K384&lt;=580,"Poor",K384&lt;=670,"fair",K384&lt;=740,"Good",K384&lt;=800,"Very Good",K384&gt;=800,"Excellent")</f>
        <v>Good</v>
      </c>
      <c r="M384">
        <v>0</v>
      </c>
      <c r="N384" t="str">
        <f t="shared" si="21"/>
        <v>No</v>
      </c>
      <c r="O384">
        <v>0.5</v>
      </c>
      <c r="P384" t="str" cm="1">
        <f t="array" ref="P384">_xlfn.IFS(O384&lt;=0.3,"Low Risk",O384&lt;=0.4,"medium Risk",O384&lt;=0.5,"High Risk",O384&gt;0.5,"Very High Risk")</f>
        <v>High Risk</v>
      </c>
      <c r="Q384">
        <v>15815</v>
      </c>
      <c r="R384">
        <v>6487</v>
      </c>
      <c r="S384" t="str">
        <f t="shared" si="22"/>
        <v>Yes</v>
      </c>
      <c r="T384">
        <v>24434</v>
      </c>
      <c r="U384" t="str" cm="1">
        <f t="array" ref="U384">_xlfn.IFS(T384&lt;5000,"Small",T384&lt;20000,"Medium",T384&lt;35000,"Large",T384&gt;35000,"Very Large")</f>
        <v>Large</v>
      </c>
      <c r="V384">
        <v>48</v>
      </c>
      <c r="W384">
        <f t="shared" si="23"/>
        <v>4</v>
      </c>
      <c r="X384" t="s">
        <v>42</v>
      </c>
      <c r="Y384" t="s">
        <v>45</v>
      </c>
      <c r="Z384" t="s">
        <v>39</v>
      </c>
      <c r="AA384" t="s">
        <v>34</v>
      </c>
      <c r="AB384" t="s">
        <v>42</v>
      </c>
      <c r="AC384" t="s">
        <v>36</v>
      </c>
    </row>
    <row r="385" spans="1:29" x14ac:dyDescent="0.25">
      <c r="A385">
        <v>403</v>
      </c>
      <c r="B385">
        <v>19209</v>
      </c>
      <c r="C385">
        <v>5655</v>
      </c>
      <c r="D385">
        <f t="shared" si="20"/>
        <v>24864</v>
      </c>
      <c r="E385" t="s">
        <v>49</v>
      </c>
      <c r="F385">
        <v>40</v>
      </c>
      <c r="G385" t="str" cm="1">
        <f t="array" ref="G385">_xlfn.IFS(F385&lt;25,"18-24",F385&lt;35,"25-35",F385&lt;45,"35-44",F385&lt;55,"44-54",F385&gt;=55,"55+")</f>
        <v>35-44</v>
      </c>
      <c r="H385" t="s">
        <v>30</v>
      </c>
      <c r="I385">
        <v>0</v>
      </c>
      <c r="J385" t="str" cm="1">
        <f t="array" ref="J385">_xlfn.IFS(I385&lt;=0,"No Dependents",I385&lt;=1,"One",I385&lt;=2,"Two",I385&gt;=3,"Third")</f>
        <v>No Dependents</v>
      </c>
      <c r="K385">
        <v>768</v>
      </c>
      <c r="L385" t="str" cm="1">
        <f t="array" ref="L385">_xlfn.IFS(K385&lt;=580,"Poor",K385&lt;=670,"fair",K385&lt;=740,"Good",K385&lt;=800,"Very Good",K385&gt;=800,"Excellent")</f>
        <v>Very Good</v>
      </c>
      <c r="M385">
        <v>0</v>
      </c>
      <c r="N385" t="str">
        <f t="shared" si="21"/>
        <v>No</v>
      </c>
      <c r="O385">
        <v>0.34</v>
      </c>
      <c r="P385" t="str" cm="1">
        <f t="array" ref="P385">_xlfn.IFS(O385&lt;=0.3,"Low Risk",O385&lt;=0.4,"medium Risk",O385&lt;=0.5,"High Risk",O385&gt;0.5,"Very High Risk")</f>
        <v>medium Risk</v>
      </c>
      <c r="Q385">
        <v>1160</v>
      </c>
      <c r="R385">
        <v>31110</v>
      </c>
      <c r="S385" t="str">
        <f t="shared" si="22"/>
        <v>Yes</v>
      </c>
      <c r="T385">
        <v>22343</v>
      </c>
      <c r="U385" t="str" cm="1">
        <f t="array" ref="U385">_xlfn.IFS(T385&lt;5000,"Small",T385&lt;20000,"Medium",T385&lt;35000,"Large",T385&gt;35000,"Very Large")</f>
        <v>Large</v>
      </c>
      <c r="V385">
        <v>60</v>
      </c>
      <c r="W385">
        <f t="shared" si="23"/>
        <v>5</v>
      </c>
      <c r="X385" t="s">
        <v>50</v>
      </c>
      <c r="Y385" t="s">
        <v>45</v>
      </c>
      <c r="Z385" t="s">
        <v>39</v>
      </c>
      <c r="AA385" t="s">
        <v>34</v>
      </c>
      <c r="AB385" t="s">
        <v>35</v>
      </c>
      <c r="AC385" t="s">
        <v>44</v>
      </c>
    </row>
    <row r="386" spans="1:29" x14ac:dyDescent="0.25">
      <c r="A386">
        <v>404</v>
      </c>
      <c r="B386">
        <v>0</v>
      </c>
      <c r="C386">
        <v>4473</v>
      </c>
      <c r="D386">
        <f t="shared" si="20"/>
        <v>4473</v>
      </c>
      <c r="E386" t="s">
        <v>29</v>
      </c>
      <c r="F386">
        <v>27</v>
      </c>
      <c r="G386" t="str" cm="1">
        <f t="array" ref="G386">_xlfn.IFS(F386&lt;25,"18-24",F386&lt;35,"25-35",F386&lt;45,"35-44",F386&lt;55,"44-54",F386&gt;=55,"55+")</f>
        <v>25-35</v>
      </c>
      <c r="H386" t="s">
        <v>30</v>
      </c>
      <c r="I386">
        <v>1</v>
      </c>
      <c r="J386" t="str" cm="1">
        <f t="array" ref="J386">_xlfn.IFS(I386&lt;=0,"No Dependents",I386&lt;=1,"One",I386&lt;=2,"Two",I386&gt;=3,"Third")</f>
        <v>One</v>
      </c>
      <c r="K386">
        <v>570</v>
      </c>
      <c r="L386" t="str" cm="1">
        <f t="array" ref="L386">_xlfn.IFS(K386&lt;=580,"Poor",K386&lt;=670,"fair",K386&lt;=740,"Good",K386&lt;=800,"Very Good",K386&gt;=800,"Excellent")</f>
        <v>Poor</v>
      </c>
      <c r="M386">
        <v>3</v>
      </c>
      <c r="N386" t="str">
        <f t="shared" si="21"/>
        <v>Yes</v>
      </c>
      <c r="O386">
        <v>0.17</v>
      </c>
      <c r="P386" t="str" cm="1">
        <f t="array" ref="P386">_xlfn.IFS(O386&lt;=0.3,"Low Risk",O386&lt;=0.4,"medium Risk",O386&lt;=0.5,"High Risk",O386&gt;0.5,"Very High Risk")</f>
        <v>Low Risk</v>
      </c>
      <c r="Q386">
        <v>7041</v>
      </c>
      <c r="R386">
        <v>42432</v>
      </c>
      <c r="S386" t="str">
        <f t="shared" si="22"/>
        <v>Yes</v>
      </c>
      <c r="T386">
        <v>16739</v>
      </c>
      <c r="U386" t="str" cm="1">
        <f t="array" ref="U386">_xlfn.IFS(T386&lt;5000,"Small",T386&lt;20000,"Medium",T386&lt;35000,"Large",T386&gt;35000,"Very Large")</f>
        <v>Medium</v>
      </c>
      <c r="V386">
        <v>60</v>
      </c>
      <c r="W386">
        <f t="shared" si="23"/>
        <v>5</v>
      </c>
      <c r="X386" t="s">
        <v>47</v>
      </c>
      <c r="Y386" t="s">
        <v>38</v>
      </c>
      <c r="Z386" t="s">
        <v>33</v>
      </c>
      <c r="AA386" t="s">
        <v>34</v>
      </c>
      <c r="AB386" t="s">
        <v>35</v>
      </c>
      <c r="AC386" t="s">
        <v>36</v>
      </c>
    </row>
    <row r="387" spans="1:29" x14ac:dyDescent="0.25">
      <c r="A387">
        <v>405</v>
      </c>
      <c r="B387">
        <v>13338</v>
      </c>
      <c r="C387">
        <v>2946</v>
      </c>
      <c r="D387">
        <f t="shared" ref="D387:D450" si="24">B387+C387</f>
        <v>16284</v>
      </c>
      <c r="E387" t="s">
        <v>46</v>
      </c>
      <c r="F387">
        <v>40</v>
      </c>
      <c r="G387" t="str" cm="1">
        <f t="array" ref="G387">_xlfn.IFS(F387&lt;25,"18-24",F387&lt;35,"25-35",F387&lt;45,"35-44",F387&lt;55,"44-54",F387&gt;=55,"55+")</f>
        <v>35-44</v>
      </c>
      <c r="H387" t="s">
        <v>41</v>
      </c>
      <c r="I387">
        <v>0</v>
      </c>
      <c r="J387" t="str" cm="1">
        <f t="array" ref="J387">_xlfn.IFS(I387&lt;=0,"No Dependents",I387&lt;=1,"One",I387&lt;=2,"Two",I387&gt;=3,"Third")</f>
        <v>No Dependents</v>
      </c>
      <c r="K387">
        <v>641</v>
      </c>
      <c r="L387" t="str" cm="1">
        <f t="array" ref="L387">_xlfn.IFS(K387&lt;=580,"Poor",K387&lt;=670,"fair",K387&lt;=740,"Good",K387&lt;=800,"Very Good",K387&gt;=800,"Excellent")</f>
        <v>fair</v>
      </c>
      <c r="M387">
        <v>4</v>
      </c>
      <c r="N387" t="str">
        <f t="shared" ref="N387:N450" si="25">IF(M387&gt;0,"Yes","No")</f>
        <v>Yes</v>
      </c>
      <c r="O387">
        <v>0.22</v>
      </c>
      <c r="P387" t="str" cm="1">
        <f t="array" ref="P387">_xlfn.IFS(O387&lt;=0.3,"Low Risk",O387&lt;=0.4,"medium Risk",O387&lt;=0.5,"High Risk",O387&gt;0.5,"Very High Risk")</f>
        <v>Low Risk</v>
      </c>
      <c r="Q387">
        <v>18767</v>
      </c>
      <c r="R387">
        <v>16360</v>
      </c>
      <c r="S387" t="str">
        <f t="shared" ref="S387:S450" si="26">IF(R387&gt;100,"Yes","No")</f>
        <v>Yes</v>
      </c>
      <c r="T387">
        <v>1666</v>
      </c>
      <c r="U387" t="str" cm="1">
        <f t="array" ref="U387">_xlfn.IFS(T387&lt;5000,"Small",T387&lt;20000,"Medium",T387&lt;35000,"Large",T387&gt;35000,"Very Large")</f>
        <v>Small</v>
      </c>
      <c r="V387">
        <v>24</v>
      </c>
      <c r="W387">
        <f t="shared" ref="W387:W450" si="27">V387/12</f>
        <v>2</v>
      </c>
      <c r="X387" t="s">
        <v>37</v>
      </c>
      <c r="Y387" t="s">
        <v>45</v>
      </c>
      <c r="Z387" t="s">
        <v>39</v>
      </c>
      <c r="AA387" t="s">
        <v>34</v>
      </c>
      <c r="AB387" t="s">
        <v>43</v>
      </c>
      <c r="AC387" t="s">
        <v>36</v>
      </c>
    </row>
    <row r="388" spans="1:29" x14ac:dyDescent="0.25">
      <c r="A388">
        <v>406</v>
      </c>
      <c r="B388">
        <v>2412</v>
      </c>
      <c r="C388">
        <v>7725</v>
      </c>
      <c r="D388">
        <f t="shared" si="24"/>
        <v>10137</v>
      </c>
      <c r="E388" t="s">
        <v>29</v>
      </c>
      <c r="F388">
        <v>56</v>
      </c>
      <c r="G388" t="str" cm="1">
        <f t="array" ref="G388">_xlfn.IFS(F388&lt;25,"18-24",F388&lt;35,"25-35",F388&lt;45,"35-44",F388&lt;55,"44-54",F388&gt;=55,"55+")</f>
        <v>55+</v>
      </c>
      <c r="H388" t="s">
        <v>30</v>
      </c>
      <c r="I388">
        <v>0</v>
      </c>
      <c r="J388" t="str" cm="1">
        <f t="array" ref="J388">_xlfn.IFS(I388&lt;=0,"No Dependents",I388&lt;=1,"One",I388&lt;=2,"Two",I388&gt;=3,"Third")</f>
        <v>No Dependents</v>
      </c>
      <c r="K388">
        <v>676</v>
      </c>
      <c r="L388" t="str" cm="1">
        <f t="array" ref="L388">_xlfn.IFS(K388&lt;=580,"Poor",K388&lt;=670,"fair",K388&lt;=740,"Good",K388&lt;=800,"Very Good",K388&gt;=800,"Excellent")</f>
        <v>Good</v>
      </c>
      <c r="M388">
        <v>0</v>
      </c>
      <c r="N388" t="str">
        <f t="shared" si="25"/>
        <v>No</v>
      </c>
      <c r="O388">
        <v>0.56999999999999995</v>
      </c>
      <c r="P388" t="str" cm="1">
        <f t="array" ref="P388">_xlfn.IFS(O388&lt;=0.3,"Low Risk",O388&lt;=0.4,"medium Risk",O388&lt;=0.5,"High Risk",O388&gt;0.5,"Very High Risk")</f>
        <v>Very High Risk</v>
      </c>
      <c r="Q388">
        <v>10846</v>
      </c>
      <c r="R388">
        <v>49410</v>
      </c>
      <c r="S388" t="str">
        <f t="shared" si="26"/>
        <v>Yes</v>
      </c>
      <c r="T388">
        <v>34044</v>
      </c>
      <c r="U388" t="str" cm="1">
        <f t="array" ref="U388">_xlfn.IFS(T388&lt;5000,"Small",T388&lt;20000,"Medium",T388&lt;35000,"Large",T388&gt;35000,"Very Large")</f>
        <v>Large</v>
      </c>
      <c r="V388">
        <v>84</v>
      </c>
      <c r="W388">
        <f t="shared" si="27"/>
        <v>7</v>
      </c>
      <c r="X388" t="s">
        <v>50</v>
      </c>
      <c r="Y388" t="s">
        <v>32</v>
      </c>
      <c r="Z388" t="s">
        <v>33</v>
      </c>
      <c r="AA388" t="s">
        <v>34</v>
      </c>
      <c r="AB388" t="s">
        <v>43</v>
      </c>
      <c r="AC388" t="s">
        <v>36</v>
      </c>
    </row>
    <row r="389" spans="1:29" x14ac:dyDescent="0.25">
      <c r="A389">
        <v>407</v>
      </c>
      <c r="B389">
        <v>9543</v>
      </c>
      <c r="C389">
        <v>526</v>
      </c>
      <c r="D389">
        <f t="shared" si="24"/>
        <v>10069</v>
      </c>
      <c r="E389" t="s">
        <v>46</v>
      </c>
      <c r="F389">
        <v>39</v>
      </c>
      <c r="G389" t="str" cm="1">
        <f t="array" ref="G389">_xlfn.IFS(F389&lt;25,"18-24",F389&lt;35,"25-35",F389&lt;45,"35-44",F389&lt;55,"44-54",F389&gt;=55,"55+")</f>
        <v>35-44</v>
      </c>
      <c r="H389" t="s">
        <v>30</v>
      </c>
      <c r="I389">
        <v>2</v>
      </c>
      <c r="J389" t="str" cm="1">
        <f t="array" ref="J389">_xlfn.IFS(I389&lt;=0,"No Dependents",I389&lt;=1,"One",I389&lt;=2,"Two",I389&gt;=3,"Third")</f>
        <v>Two</v>
      </c>
      <c r="K389">
        <v>629</v>
      </c>
      <c r="L389" t="str" cm="1">
        <f t="array" ref="L389">_xlfn.IFS(K389&lt;=580,"Poor",K389&lt;=670,"fair",K389&lt;=740,"Good",K389&lt;=800,"Very Good",K389&gt;=800,"Excellent")</f>
        <v>fair</v>
      </c>
      <c r="M389">
        <v>2</v>
      </c>
      <c r="N389" t="str">
        <f t="shared" si="25"/>
        <v>Yes</v>
      </c>
      <c r="O389">
        <v>0.53</v>
      </c>
      <c r="P389" t="str" cm="1">
        <f t="array" ref="P389">_xlfn.IFS(O389&lt;=0.3,"Low Risk",O389&lt;=0.4,"medium Risk",O389&lt;=0.5,"High Risk",O389&gt;0.5,"Very High Risk")</f>
        <v>Very High Risk</v>
      </c>
      <c r="Q389">
        <v>5876</v>
      </c>
      <c r="R389">
        <v>36843</v>
      </c>
      <c r="S389" t="str">
        <f t="shared" si="26"/>
        <v>Yes</v>
      </c>
      <c r="T389">
        <v>28883</v>
      </c>
      <c r="U389" t="str" cm="1">
        <f t="array" ref="U389">_xlfn.IFS(T389&lt;5000,"Small",T389&lt;20000,"Medium",T389&lt;35000,"Large",T389&gt;35000,"Very Large")</f>
        <v>Large</v>
      </c>
      <c r="V389">
        <v>24</v>
      </c>
      <c r="W389">
        <f t="shared" si="27"/>
        <v>2</v>
      </c>
      <c r="X389" t="s">
        <v>42</v>
      </c>
      <c r="Y389" t="s">
        <v>32</v>
      </c>
      <c r="Z389" t="s">
        <v>33</v>
      </c>
      <c r="AA389" t="s">
        <v>40</v>
      </c>
      <c r="AB389" t="s">
        <v>43</v>
      </c>
      <c r="AC389" t="s">
        <v>36</v>
      </c>
    </row>
    <row r="390" spans="1:29" x14ac:dyDescent="0.25">
      <c r="A390">
        <v>408</v>
      </c>
      <c r="B390">
        <v>9587</v>
      </c>
      <c r="C390">
        <v>3224</v>
      </c>
      <c r="D390">
        <f t="shared" si="24"/>
        <v>12811</v>
      </c>
      <c r="E390" t="s">
        <v>49</v>
      </c>
      <c r="F390">
        <v>21</v>
      </c>
      <c r="G390" t="str" cm="1">
        <f t="array" ref="G390">_xlfn.IFS(F390&lt;25,"18-24",F390&lt;35,"25-35",F390&lt;45,"35-44",F390&lt;55,"44-54",F390&gt;=55,"55+")</f>
        <v>18-24</v>
      </c>
      <c r="H390" t="s">
        <v>30</v>
      </c>
      <c r="I390">
        <v>0</v>
      </c>
      <c r="J390" t="str" cm="1">
        <f t="array" ref="J390">_xlfn.IFS(I390&lt;=0,"No Dependents",I390&lt;=1,"One",I390&lt;=2,"Two",I390&gt;=3,"Third")</f>
        <v>No Dependents</v>
      </c>
      <c r="K390">
        <v>605</v>
      </c>
      <c r="L390" t="str" cm="1">
        <f t="array" ref="L390">_xlfn.IFS(K390&lt;=580,"Poor",K390&lt;=670,"fair",K390&lt;=740,"Good",K390&lt;=800,"Very Good",K390&gt;=800,"Excellent")</f>
        <v>fair</v>
      </c>
      <c r="M390">
        <v>3</v>
      </c>
      <c r="N390" t="str">
        <f t="shared" si="25"/>
        <v>Yes</v>
      </c>
      <c r="O390">
        <v>0.45</v>
      </c>
      <c r="P390" t="str" cm="1">
        <f t="array" ref="P390">_xlfn.IFS(O390&lt;=0.3,"Low Risk",O390&lt;=0.4,"medium Risk",O390&lt;=0.5,"High Risk",O390&gt;0.5,"Very High Risk")</f>
        <v>High Risk</v>
      </c>
      <c r="Q390">
        <v>19924</v>
      </c>
      <c r="R390">
        <v>24882</v>
      </c>
      <c r="S390" t="str">
        <f t="shared" si="26"/>
        <v>Yes</v>
      </c>
      <c r="T390">
        <v>15063</v>
      </c>
      <c r="U390" t="str" cm="1">
        <f t="array" ref="U390">_xlfn.IFS(T390&lt;5000,"Small",T390&lt;20000,"Medium",T390&lt;35000,"Large",T390&gt;35000,"Very Large")</f>
        <v>Medium</v>
      </c>
      <c r="V390">
        <v>60</v>
      </c>
      <c r="W390">
        <f t="shared" si="27"/>
        <v>5</v>
      </c>
      <c r="X390" t="s">
        <v>42</v>
      </c>
      <c r="Y390" t="s">
        <v>32</v>
      </c>
      <c r="Z390" t="s">
        <v>33</v>
      </c>
      <c r="AA390" t="s">
        <v>34</v>
      </c>
      <c r="AB390" t="s">
        <v>43</v>
      </c>
      <c r="AC390" t="s">
        <v>36</v>
      </c>
    </row>
    <row r="391" spans="1:29" x14ac:dyDescent="0.25">
      <c r="A391">
        <v>409</v>
      </c>
      <c r="B391">
        <v>2728</v>
      </c>
      <c r="C391">
        <v>1875</v>
      </c>
      <c r="D391">
        <f t="shared" si="24"/>
        <v>4603</v>
      </c>
      <c r="E391" t="s">
        <v>49</v>
      </c>
      <c r="F391">
        <v>30</v>
      </c>
      <c r="G391" t="str" cm="1">
        <f t="array" ref="G391">_xlfn.IFS(F391&lt;25,"18-24",F391&lt;35,"25-35",F391&lt;45,"35-44",F391&lt;55,"44-54",F391&gt;=55,"55+")</f>
        <v>25-35</v>
      </c>
      <c r="H391" t="s">
        <v>41</v>
      </c>
      <c r="I391">
        <v>2</v>
      </c>
      <c r="J391" t="str" cm="1">
        <f t="array" ref="J391">_xlfn.IFS(I391&lt;=0,"No Dependents",I391&lt;=1,"One",I391&lt;=2,"Two",I391&gt;=3,"Third")</f>
        <v>Two</v>
      </c>
      <c r="K391">
        <v>787</v>
      </c>
      <c r="L391" t="str" cm="1">
        <f t="array" ref="L391">_xlfn.IFS(K391&lt;=580,"Poor",K391&lt;=670,"fair",K391&lt;=740,"Good",K391&lt;=800,"Very Good",K391&gt;=800,"Excellent")</f>
        <v>Very Good</v>
      </c>
      <c r="M391">
        <v>4</v>
      </c>
      <c r="N391" t="str">
        <f t="shared" si="25"/>
        <v>Yes</v>
      </c>
      <c r="O391">
        <v>0.34</v>
      </c>
      <c r="P391" t="str" cm="1">
        <f t="array" ref="P391">_xlfn.IFS(O391&lt;=0.3,"Low Risk",O391&lt;=0.4,"medium Risk",O391&lt;=0.5,"High Risk",O391&gt;0.5,"Very High Risk")</f>
        <v>medium Risk</v>
      </c>
      <c r="Q391">
        <v>12889</v>
      </c>
      <c r="R391">
        <v>17502</v>
      </c>
      <c r="S391" t="str">
        <f t="shared" si="26"/>
        <v>Yes</v>
      </c>
      <c r="T391">
        <v>34649</v>
      </c>
      <c r="U391" t="str" cm="1">
        <f t="array" ref="U391">_xlfn.IFS(T391&lt;5000,"Small",T391&lt;20000,"Medium",T391&lt;35000,"Large",T391&gt;35000,"Very Large")</f>
        <v>Large</v>
      </c>
      <c r="V391">
        <v>72</v>
      </c>
      <c r="W391">
        <f t="shared" si="27"/>
        <v>6</v>
      </c>
      <c r="X391" t="s">
        <v>37</v>
      </c>
      <c r="Y391" t="s">
        <v>45</v>
      </c>
      <c r="Z391" t="s">
        <v>39</v>
      </c>
      <c r="AA391" t="s">
        <v>40</v>
      </c>
      <c r="AB391" t="s">
        <v>43</v>
      </c>
      <c r="AC391" t="s">
        <v>36</v>
      </c>
    </row>
    <row r="392" spans="1:29" x14ac:dyDescent="0.25">
      <c r="A392">
        <v>410</v>
      </c>
      <c r="B392">
        <v>13657</v>
      </c>
      <c r="C392">
        <v>1763</v>
      </c>
      <c r="D392">
        <f t="shared" si="24"/>
        <v>15420</v>
      </c>
      <c r="E392" t="s">
        <v>49</v>
      </c>
      <c r="F392">
        <v>56</v>
      </c>
      <c r="G392" t="str" cm="1">
        <f t="array" ref="G392">_xlfn.IFS(F392&lt;25,"18-24",F392&lt;35,"25-35",F392&lt;45,"35-44",F392&lt;55,"44-54",F392&gt;=55,"55+")</f>
        <v>55+</v>
      </c>
      <c r="H392" t="s">
        <v>30</v>
      </c>
      <c r="I392">
        <v>0</v>
      </c>
      <c r="J392" t="str" cm="1">
        <f t="array" ref="J392">_xlfn.IFS(I392&lt;=0,"No Dependents",I392&lt;=1,"One",I392&lt;=2,"Two",I392&gt;=3,"Third")</f>
        <v>No Dependents</v>
      </c>
      <c r="K392">
        <v>764</v>
      </c>
      <c r="L392" t="str" cm="1">
        <f t="array" ref="L392">_xlfn.IFS(K392&lt;=580,"Poor",K392&lt;=670,"fair",K392&lt;=740,"Good",K392&lt;=800,"Very Good",K392&gt;=800,"Excellent")</f>
        <v>Very Good</v>
      </c>
      <c r="M392">
        <v>1</v>
      </c>
      <c r="N392" t="str">
        <f t="shared" si="25"/>
        <v>Yes</v>
      </c>
      <c r="O392">
        <v>0.36</v>
      </c>
      <c r="P392" t="str" cm="1">
        <f t="array" ref="P392">_xlfn.IFS(O392&lt;=0.3,"Low Risk",O392&lt;=0.4,"medium Risk",O392&lt;=0.5,"High Risk",O392&gt;0.5,"Very High Risk")</f>
        <v>medium Risk</v>
      </c>
      <c r="Q392">
        <v>13882</v>
      </c>
      <c r="R392">
        <v>48053</v>
      </c>
      <c r="S392" t="str">
        <f t="shared" si="26"/>
        <v>Yes</v>
      </c>
      <c r="T392">
        <v>35828</v>
      </c>
      <c r="U392" t="str" cm="1">
        <f t="array" ref="U392">_xlfn.IFS(T392&lt;5000,"Small",T392&lt;20000,"Medium",T392&lt;35000,"Large",T392&gt;35000,"Very Large")</f>
        <v>Very Large</v>
      </c>
      <c r="V392">
        <v>60</v>
      </c>
      <c r="W392">
        <f t="shared" si="27"/>
        <v>5</v>
      </c>
      <c r="X392" t="s">
        <v>50</v>
      </c>
      <c r="Y392" t="s">
        <v>38</v>
      </c>
      <c r="Z392" t="s">
        <v>39</v>
      </c>
      <c r="AA392" t="s">
        <v>40</v>
      </c>
      <c r="AB392" t="s">
        <v>42</v>
      </c>
      <c r="AC392" t="s">
        <v>44</v>
      </c>
    </row>
    <row r="393" spans="1:29" x14ac:dyDescent="0.25">
      <c r="A393">
        <v>411</v>
      </c>
      <c r="B393">
        <v>7988</v>
      </c>
      <c r="C393">
        <v>0</v>
      </c>
      <c r="D393">
        <f t="shared" si="24"/>
        <v>7988</v>
      </c>
      <c r="E393" t="s">
        <v>29</v>
      </c>
      <c r="F393">
        <v>29</v>
      </c>
      <c r="G393" t="str" cm="1">
        <f t="array" ref="G393">_xlfn.IFS(F393&lt;25,"18-24",F393&lt;35,"25-35",F393&lt;45,"35-44",F393&lt;55,"44-54",F393&gt;=55,"55+")</f>
        <v>25-35</v>
      </c>
      <c r="H393" t="s">
        <v>41</v>
      </c>
      <c r="I393">
        <v>0</v>
      </c>
      <c r="J393" t="str" cm="1">
        <f t="array" ref="J393">_xlfn.IFS(I393&lt;=0,"No Dependents",I393&lt;=1,"One",I393&lt;=2,"Two",I393&gt;=3,"Third")</f>
        <v>No Dependents</v>
      </c>
      <c r="K393">
        <v>665</v>
      </c>
      <c r="L393" t="str" cm="1">
        <f t="array" ref="L393">_xlfn.IFS(K393&lt;=580,"Poor",K393&lt;=670,"fair",K393&lt;=740,"Good",K393&lt;=800,"Very Good",K393&gt;=800,"Excellent")</f>
        <v>fair</v>
      </c>
      <c r="M393">
        <v>3</v>
      </c>
      <c r="N393" t="str">
        <f t="shared" si="25"/>
        <v>Yes</v>
      </c>
      <c r="O393">
        <v>0.59</v>
      </c>
      <c r="P393" t="str" cm="1">
        <f t="array" ref="P393">_xlfn.IFS(O393&lt;=0.3,"Low Risk",O393&lt;=0.4,"medium Risk",O393&lt;=0.5,"High Risk",O393&gt;0.5,"Very High Risk")</f>
        <v>Very High Risk</v>
      </c>
      <c r="Q393">
        <v>14738</v>
      </c>
      <c r="R393">
        <v>7631</v>
      </c>
      <c r="S393" t="str">
        <f t="shared" si="26"/>
        <v>Yes</v>
      </c>
      <c r="T393">
        <v>10429</v>
      </c>
      <c r="U393" t="str" cm="1">
        <f t="array" ref="U393">_xlfn.IFS(T393&lt;5000,"Small",T393&lt;20000,"Medium",T393&lt;35000,"Large",T393&gt;35000,"Very Large")</f>
        <v>Medium</v>
      </c>
      <c r="V393">
        <v>24</v>
      </c>
      <c r="W393">
        <f t="shared" si="27"/>
        <v>2</v>
      </c>
      <c r="X393" t="s">
        <v>37</v>
      </c>
      <c r="Y393" t="s">
        <v>32</v>
      </c>
      <c r="Z393" t="s">
        <v>39</v>
      </c>
      <c r="AA393" t="s">
        <v>34</v>
      </c>
      <c r="AB393" t="s">
        <v>42</v>
      </c>
      <c r="AC393" t="s">
        <v>36</v>
      </c>
    </row>
    <row r="394" spans="1:29" x14ac:dyDescent="0.25">
      <c r="A394">
        <v>412</v>
      </c>
      <c r="B394">
        <v>4967</v>
      </c>
      <c r="C394">
        <v>5797</v>
      </c>
      <c r="D394">
        <f t="shared" si="24"/>
        <v>10764</v>
      </c>
      <c r="E394" t="s">
        <v>29</v>
      </c>
      <c r="F394">
        <v>40</v>
      </c>
      <c r="G394" t="str" cm="1">
        <f t="array" ref="G394">_xlfn.IFS(F394&lt;25,"18-24",F394&lt;35,"25-35",F394&lt;45,"35-44",F394&lt;55,"44-54",F394&gt;=55,"55+")</f>
        <v>35-44</v>
      </c>
      <c r="H394" t="s">
        <v>30</v>
      </c>
      <c r="I394">
        <v>3</v>
      </c>
      <c r="J394" t="str" cm="1">
        <f t="array" ref="J394">_xlfn.IFS(I394&lt;=0,"No Dependents",I394&lt;=1,"One",I394&lt;=2,"Two",I394&gt;=3,"Third")</f>
        <v>Third</v>
      </c>
      <c r="K394">
        <v>697</v>
      </c>
      <c r="L394" t="str" cm="1">
        <f t="array" ref="L394">_xlfn.IFS(K394&lt;=580,"Poor",K394&lt;=670,"fair",K394&lt;=740,"Good",K394&lt;=800,"Very Good",K394&gt;=800,"Excellent")</f>
        <v>Good</v>
      </c>
      <c r="M394">
        <v>4</v>
      </c>
      <c r="N394" t="str">
        <f t="shared" si="25"/>
        <v>Yes</v>
      </c>
      <c r="O394">
        <v>0.57999999999999996</v>
      </c>
      <c r="P394" t="str" cm="1">
        <f t="array" ref="P394">_xlfn.IFS(O394&lt;=0.3,"Low Risk",O394&lt;=0.4,"medium Risk",O394&lt;=0.5,"High Risk",O394&gt;0.5,"Very High Risk")</f>
        <v>Very High Risk</v>
      </c>
      <c r="Q394">
        <v>1095</v>
      </c>
      <c r="R394">
        <v>3017</v>
      </c>
      <c r="S394" t="str">
        <f t="shared" si="26"/>
        <v>Yes</v>
      </c>
      <c r="T394">
        <v>33926</v>
      </c>
      <c r="U394" t="str" cm="1">
        <f t="array" ref="U394">_xlfn.IFS(T394&lt;5000,"Small",T394&lt;20000,"Medium",T394&lt;35000,"Large",T394&gt;35000,"Very Large")</f>
        <v>Large</v>
      </c>
      <c r="V394">
        <v>36</v>
      </c>
      <c r="W394">
        <f t="shared" si="27"/>
        <v>3</v>
      </c>
      <c r="X394" t="s">
        <v>47</v>
      </c>
      <c r="Y394" t="s">
        <v>32</v>
      </c>
      <c r="Z394" t="s">
        <v>33</v>
      </c>
      <c r="AA394" t="s">
        <v>40</v>
      </c>
      <c r="AB394" t="s">
        <v>43</v>
      </c>
      <c r="AC394" t="s">
        <v>36</v>
      </c>
    </row>
    <row r="395" spans="1:29" x14ac:dyDescent="0.25">
      <c r="A395">
        <v>413</v>
      </c>
      <c r="B395">
        <v>16527</v>
      </c>
      <c r="C395">
        <v>9208</v>
      </c>
      <c r="D395">
        <f t="shared" si="24"/>
        <v>25735</v>
      </c>
      <c r="E395" t="s">
        <v>49</v>
      </c>
      <c r="F395">
        <v>52</v>
      </c>
      <c r="G395" t="str" cm="1">
        <f t="array" ref="G395">_xlfn.IFS(F395&lt;25,"18-24",F395&lt;35,"25-35",F395&lt;45,"35-44",F395&lt;55,"44-54",F395&gt;=55,"55+")</f>
        <v>44-54</v>
      </c>
      <c r="H395" t="s">
        <v>41</v>
      </c>
      <c r="I395">
        <v>3</v>
      </c>
      <c r="J395" t="str" cm="1">
        <f t="array" ref="J395">_xlfn.IFS(I395&lt;=0,"No Dependents",I395&lt;=1,"One",I395&lt;=2,"Two",I395&gt;=3,"Third")</f>
        <v>Third</v>
      </c>
      <c r="K395">
        <v>779</v>
      </c>
      <c r="L395" t="str" cm="1">
        <f t="array" ref="L395">_xlfn.IFS(K395&lt;=580,"Poor",K395&lt;=670,"fair",K395&lt;=740,"Good",K395&lt;=800,"Very Good",K395&gt;=800,"Excellent")</f>
        <v>Very Good</v>
      </c>
      <c r="M395">
        <v>0</v>
      </c>
      <c r="N395" t="str">
        <f t="shared" si="25"/>
        <v>No</v>
      </c>
      <c r="O395">
        <v>0.21</v>
      </c>
      <c r="P395" t="str" cm="1">
        <f t="array" ref="P395">_xlfn.IFS(O395&lt;=0.3,"Low Risk",O395&lt;=0.4,"medium Risk",O395&lt;=0.5,"High Risk",O395&gt;0.5,"Very High Risk")</f>
        <v>Low Risk</v>
      </c>
      <c r="Q395">
        <v>5901</v>
      </c>
      <c r="R395">
        <v>20725</v>
      </c>
      <c r="S395" t="str">
        <f t="shared" si="26"/>
        <v>Yes</v>
      </c>
      <c r="T395">
        <v>38997</v>
      </c>
      <c r="U395" t="str" cm="1">
        <f t="array" ref="U395">_xlfn.IFS(T395&lt;5000,"Small",T395&lt;20000,"Medium",T395&lt;35000,"Large",T395&gt;35000,"Very Large")</f>
        <v>Very Large</v>
      </c>
      <c r="V395">
        <v>24</v>
      </c>
      <c r="W395">
        <f t="shared" si="27"/>
        <v>2</v>
      </c>
      <c r="X395" t="s">
        <v>42</v>
      </c>
      <c r="Y395" t="s">
        <v>32</v>
      </c>
      <c r="Z395" t="s">
        <v>39</v>
      </c>
      <c r="AA395" t="s">
        <v>40</v>
      </c>
      <c r="AB395" t="s">
        <v>35</v>
      </c>
      <c r="AC395" t="s">
        <v>44</v>
      </c>
    </row>
    <row r="396" spans="1:29" x14ac:dyDescent="0.25">
      <c r="A396">
        <v>414</v>
      </c>
      <c r="B396">
        <v>18048</v>
      </c>
      <c r="C396">
        <v>7099</v>
      </c>
      <c r="D396">
        <f t="shared" si="24"/>
        <v>25147</v>
      </c>
      <c r="E396" t="s">
        <v>29</v>
      </c>
      <c r="F396">
        <v>26</v>
      </c>
      <c r="G396" t="str" cm="1">
        <f t="array" ref="G396">_xlfn.IFS(F396&lt;25,"18-24",F396&lt;35,"25-35",F396&lt;45,"35-44",F396&lt;55,"44-54",F396&gt;=55,"55+")</f>
        <v>25-35</v>
      </c>
      <c r="H396" t="s">
        <v>41</v>
      </c>
      <c r="I396">
        <v>2</v>
      </c>
      <c r="J396" t="str" cm="1">
        <f t="array" ref="J396">_xlfn.IFS(I396&lt;=0,"No Dependents",I396&lt;=1,"One",I396&lt;=2,"Two",I396&gt;=3,"Third")</f>
        <v>Two</v>
      </c>
      <c r="K396">
        <v>731</v>
      </c>
      <c r="L396" t="str" cm="1">
        <f t="array" ref="L396">_xlfn.IFS(K396&lt;=580,"Poor",K396&lt;=670,"fair",K396&lt;=740,"Good",K396&lt;=800,"Very Good",K396&gt;=800,"Excellent")</f>
        <v>Good</v>
      </c>
      <c r="M396">
        <v>1</v>
      </c>
      <c r="N396" t="str">
        <f t="shared" si="25"/>
        <v>Yes</v>
      </c>
      <c r="O396">
        <v>0.51</v>
      </c>
      <c r="P396" t="str" cm="1">
        <f t="array" ref="P396">_xlfn.IFS(O396&lt;=0.3,"Low Risk",O396&lt;=0.4,"medium Risk",O396&lt;=0.5,"High Risk",O396&gt;0.5,"Very High Risk")</f>
        <v>Very High Risk</v>
      </c>
      <c r="Q396">
        <v>8215</v>
      </c>
      <c r="R396">
        <v>24762</v>
      </c>
      <c r="S396" t="str">
        <f t="shared" si="26"/>
        <v>Yes</v>
      </c>
      <c r="T396">
        <v>33269</v>
      </c>
      <c r="U396" t="str" cm="1">
        <f t="array" ref="U396">_xlfn.IFS(T396&lt;5000,"Small",T396&lt;20000,"Medium",T396&lt;35000,"Large",T396&gt;35000,"Very Large")</f>
        <v>Large</v>
      </c>
      <c r="V396">
        <v>36</v>
      </c>
      <c r="W396">
        <f t="shared" si="27"/>
        <v>3</v>
      </c>
      <c r="X396" t="s">
        <v>31</v>
      </c>
      <c r="Y396" t="s">
        <v>45</v>
      </c>
      <c r="Z396" t="s">
        <v>39</v>
      </c>
      <c r="AA396" t="s">
        <v>34</v>
      </c>
      <c r="AB396" t="s">
        <v>42</v>
      </c>
      <c r="AC396" t="s">
        <v>36</v>
      </c>
    </row>
    <row r="397" spans="1:29" x14ac:dyDescent="0.25">
      <c r="A397">
        <v>415</v>
      </c>
      <c r="B397">
        <v>19506</v>
      </c>
      <c r="C397">
        <v>5109</v>
      </c>
      <c r="D397">
        <f t="shared" si="24"/>
        <v>24615</v>
      </c>
      <c r="E397" t="s">
        <v>29</v>
      </c>
      <c r="F397">
        <v>58</v>
      </c>
      <c r="G397" t="str" cm="1">
        <f t="array" ref="G397">_xlfn.IFS(F397&lt;25,"18-24",F397&lt;35,"25-35",F397&lt;45,"35-44",F397&lt;55,"44-54",F397&gt;=55,"55+")</f>
        <v>55+</v>
      </c>
      <c r="H397" t="s">
        <v>30</v>
      </c>
      <c r="I397">
        <v>0</v>
      </c>
      <c r="J397" t="str" cm="1">
        <f t="array" ref="J397">_xlfn.IFS(I397&lt;=0,"No Dependents",I397&lt;=1,"One",I397&lt;=2,"Two",I397&gt;=3,"Third")</f>
        <v>No Dependents</v>
      </c>
      <c r="K397">
        <v>574</v>
      </c>
      <c r="L397" t="str" cm="1">
        <f t="array" ref="L397">_xlfn.IFS(K397&lt;=580,"Poor",K397&lt;=670,"fair",K397&lt;=740,"Good",K397&lt;=800,"Very Good",K397&gt;=800,"Excellent")</f>
        <v>Poor</v>
      </c>
      <c r="M397">
        <v>4</v>
      </c>
      <c r="N397" t="str">
        <f t="shared" si="25"/>
        <v>Yes</v>
      </c>
      <c r="O397">
        <v>0.2</v>
      </c>
      <c r="P397" t="str" cm="1">
        <f t="array" ref="P397">_xlfn.IFS(O397&lt;=0.3,"Low Risk",O397&lt;=0.4,"medium Risk",O397&lt;=0.5,"High Risk",O397&gt;0.5,"Very High Risk")</f>
        <v>Low Risk</v>
      </c>
      <c r="Q397">
        <v>12911</v>
      </c>
      <c r="R397">
        <v>784</v>
      </c>
      <c r="S397" t="str">
        <f t="shared" si="26"/>
        <v>Yes</v>
      </c>
      <c r="T397">
        <v>32704</v>
      </c>
      <c r="U397" t="str" cm="1">
        <f t="array" ref="U397">_xlfn.IFS(T397&lt;5000,"Small",T397&lt;20000,"Medium",T397&lt;35000,"Large",T397&gt;35000,"Very Large")</f>
        <v>Large</v>
      </c>
      <c r="V397">
        <v>36</v>
      </c>
      <c r="W397">
        <f t="shared" si="27"/>
        <v>3</v>
      </c>
      <c r="X397" t="s">
        <v>42</v>
      </c>
      <c r="Y397" t="s">
        <v>32</v>
      </c>
      <c r="Z397" t="s">
        <v>39</v>
      </c>
      <c r="AA397" t="s">
        <v>40</v>
      </c>
      <c r="AB397" t="s">
        <v>51</v>
      </c>
      <c r="AC397" t="s">
        <v>36</v>
      </c>
    </row>
    <row r="398" spans="1:29" x14ac:dyDescent="0.25">
      <c r="A398">
        <v>416</v>
      </c>
      <c r="B398">
        <v>19955</v>
      </c>
      <c r="C398">
        <v>6644</v>
      </c>
      <c r="D398">
        <f t="shared" si="24"/>
        <v>26599</v>
      </c>
      <c r="E398" t="s">
        <v>29</v>
      </c>
      <c r="F398">
        <v>37</v>
      </c>
      <c r="G398" t="str" cm="1">
        <f t="array" ref="G398">_xlfn.IFS(F398&lt;25,"18-24",F398&lt;35,"25-35",F398&lt;45,"35-44",F398&lt;55,"44-54",F398&gt;=55,"55+")</f>
        <v>35-44</v>
      </c>
      <c r="H398" t="s">
        <v>30</v>
      </c>
      <c r="I398">
        <v>1</v>
      </c>
      <c r="J398" t="str" cm="1">
        <f t="array" ref="J398">_xlfn.IFS(I398&lt;=0,"No Dependents",I398&lt;=1,"One",I398&lt;=2,"Two",I398&gt;=3,"Third")</f>
        <v>One</v>
      </c>
      <c r="K398">
        <v>705</v>
      </c>
      <c r="L398" t="str" cm="1">
        <f t="array" ref="L398">_xlfn.IFS(K398&lt;=580,"Poor",K398&lt;=670,"fair",K398&lt;=740,"Good",K398&lt;=800,"Very Good",K398&gt;=800,"Excellent")</f>
        <v>Good</v>
      </c>
      <c r="M398">
        <v>4</v>
      </c>
      <c r="N398" t="str">
        <f t="shared" si="25"/>
        <v>Yes</v>
      </c>
      <c r="O398">
        <v>0.21</v>
      </c>
      <c r="P398" t="str" cm="1">
        <f t="array" ref="P398">_xlfn.IFS(O398&lt;=0.3,"Low Risk",O398&lt;=0.4,"medium Risk",O398&lt;=0.5,"High Risk",O398&gt;0.5,"Very High Risk")</f>
        <v>Low Risk</v>
      </c>
      <c r="Q398">
        <v>14123</v>
      </c>
      <c r="R398">
        <v>28020</v>
      </c>
      <c r="S398" t="str">
        <f t="shared" si="26"/>
        <v>Yes</v>
      </c>
      <c r="T398">
        <v>0</v>
      </c>
      <c r="U398" t="str" cm="1">
        <f t="array" ref="U398">_xlfn.IFS(T398&lt;5000,"Small",T398&lt;20000,"Medium",T398&lt;35000,"Large",T398&gt;35000,"Very Large")</f>
        <v>Small</v>
      </c>
      <c r="V398">
        <v>24</v>
      </c>
      <c r="W398">
        <f t="shared" si="27"/>
        <v>2</v>
      </c>
      <c r="X398" t="s">
        <v>42</v>
      </c>
      <c r="Y398" t="s">
        <v>32</v>
      </c>
      <c r="Z398" t="s">
        <v>39</v>
      </c>
      <c r="AA398" t="s">
        <v>40</v>
      </c>
      <c r="AB398" t="s">
        <v>42</v>
      </c>
      <c r="AC398" t="s">
        <v>44</v>
      </c>
    </row>
    <row r="399" spans="1:29" x14ac:dyDescent="0.25">
      <c r="A399">
        <v>417</v>
      </c>
      <c r="B399">
        <v>7073</v>
      </c>
      <c r="C399">
        <v>116</v>
      </c>
      <c r="D399">
        <f t="shared" si="24"/>
        <v>7189</v>
      </c>
      <c r="E399" t="s">
        <v>46</v>
      </c>
      <c r="F399">
        <v>40</v>
      </c>
      <c r="G399" t="str" cm="1">
        <f t="array" ref="G399">_xlfn.IFS(F399&lt;25,"18-24",F399&lt;35,"25-35",F399&lt;45,"35-44",F399&lt;55,"44-54",F399&gt;=55,"55+")</f>
        <v>35-44</v>
      </c>
      <c r="H399" t="s">
        <v>30</v>
      </c>
      <c r="I399">
        <v>3</v>
      </c>
      <c r="J399" t="str" cm="1">
        <f t="array" ref="J399">_xlfn.IFS(I399&lt;=0,"No Dependents",I399&lt;=1,"One",I399&lt;=2,"Two",I399&gt;=3,"Third")</f>
        <v>Third</v>
      </c>
      <c r="K399">
        <v>554</v>
      </c>
      <c r="L399" t="str" cm="1">
        <f t="array" ref="L399">_xlfn.IFS(K399&lt;=580,"Poor",K399&lt;=670,"fair",K399&lt;=740,"Good",K399&lt;=800,"Very Good",K399&gt;=800,"Excellent")</f>
        <v>Poor</v>
      </c>
      <c r="M399">
        <v>2</v>
      </c>
      <c r="N399" t="str">
        <f t="shared" si="25"/>
        <v>Yes</v>
      </c>
      <c r="O399">
        <v>0.44</v>
      </c>
      <c r="P399" t="str" cm="1">
        <f t="array" ref="P399">_xlfn.IFS(O399&lt;=0.3,"Low Risk",O399&lt;=0.4,"medium Risk",O399&lt;=0.5,"High Risk",O399&gt;0.5,"Very High Risk")</f>
        <v>High Risk</v>
      </c>
      <c r="Q399">
        <v>1079</v>
      </c>
      <c r="R399">
        <v>38459</v>
      </c>
      <c r="S399" t="str">
        <f t="shared" si="26"/>
        <v>Yes</v>
      </c>
      <c r="T399">
        <v>25187</v>
      </c>
      <c r="U399" t="str" cm="1">
        <f t="array" ref="U399">_xlfn.IFS(T399&lt;5000,"Small",T399&lt;20000,"Medium",T399&lt;35000,"Large",T399&gt;35000,"Very Large")</f>
        <v>Large</v>
      </c>
      <c r="V399">
        <v>84</v>
      </c>
      <c r="W399">
        <f t="shared" si="27"/>
        <v>7</v>
      </c>
      <c r="X399" t="s">
        <v>42</v>
      </c>
      <c r="Y399" t="s">
        <v>32</v>
      </c>
      <c r="Z399" t="s">
        <v>39</v>
      </c>
      <c r="AA399" t="s">
        <v>34</v>
      </c>
      <c r="AB399" t="s">
        <v>43</v>
      </c>
      <c r="AC399" t="s">
        <v>36</v>
      </c>
    </row>
    <row r="400" spans="1:29" x14ac:dyDescent="0.25">
      <c r="A400">
        <v>418</v>
      </c>
      <c r="B400">
        <v>7104</v>
      </c>
      <c r="C400">
        <v>2433</v>
      </c>
      <c r="D400">
        <f t="shared" si="24"/>
        <v>9537</v>
      </c>
      <c r="E400" t="s">
        <v>29</v>
      </c>
      <c r="F400">
        <v>47</v>
      </c>
      <c r="G400" t="str" cm="1">
        <f t="array" ref="G400">_xlfn.IFS(F400&lt;25,"18-24",F400&lt;35,"25-35",F400&lt;45,"35-44",F400&lt;55,"44-54",F400&gt;=55,"55+")</f>
        <v>44-54</v>
      </c>
      <c r="H400" t="s">
        <v>30</v>
      </c>
      <c r="I400">
        <v>1</v>
      </c>
      <c r="J400" t="str" cm="1">
        <f t="array" ref="J400">_xlfn.IFS(I400&lt;=0,"No Dependents",I400&lt;=1,"One",I400&lt;=2,"Two",I400&gt;=3,"Third")</f>
        <v>One</v>
      </c>
      <c r="K400">
        <v>669</v>
      </c>
      <c r="L400" t="str" cm="1">
        <f t="array" ref="L400">_xlfn.IFS(K400&lt;=580,"Poor",K400&lt;=670,"fair",K400&lt;=740,"Good",K400&lt;=800,"Very Good",K400&gt;=800,"Excellent")</f>
        <v>fair</v>
      </c>
      <c r="M400">
        <v>3</v>
      </c>
      <c r="N400" t="str">
        <f t="shared" si="25"/>
        <v>Yes</v>
      </c>
      <c r="O400">
        <v>0.3</v>
      </c>
      <c r="P400" t="str" cm="1">
        <f t="array" ref="P400">_xlfn.IFS(O400&lt;=0.3,"Low Risk",O400&lt;=0.4,"medium Risk",O400&lt;=0.5,"High Risk",O400&gt;0.5,"Very High Risk")</f>
        <v>Low Risk</v>
      </c>
      <c r="Q400">
        <v>12510</v>
      </c>
      <c r="R400">
        <v>15765</v>
      </c>
      <c r="S400" t="str">
        <f t="shared" si="26"/>
        <v>Yes</v>
      </c>
      <c r="T400">
        <v>3526</v>
      </c>
      <c r="U400" t="str" cm="1">
        <f t="array" ref="U400">_xlfn.IFS(T400&lt;5000,"Small",T400&lt;20000,"Medium",T400&lt;35000,"Large",T400&gt;35000,"Very Large")</f>
        <v>Small</v>
      </c>
      <c r="V400">
        <v>84</v>
      </c>
      <c r="W400">
        <f t="shared" si="27"/>
        <v>7</v>
      </c>
      <c r="X400" t="s">
        <v>37</v>
      </c>
      <c r="Y400" t="s">
        <v>45</v>
      </c>
      <c r="Z400" t="s">
        <v>39</v>
      </c>
      <c r="AA400" t="s">
        <v>40</v>
      </c>
      <c r="AB400" t="s">
        <v>35</v>
      </c>
      <c r="AC400" t="s">
        <v>44</v>
      </c>
    </row>
    <row r="401" spans="1:29" x14ac:dyDescent="0.25">
      <c r="A401">
        <v>419</v>
      </c>
      <c r="B401">
        <v>4143</v>
      </c>
      <c r="C401">
        <v>5463</v>
      </c>
      <c r="D401">
        <f t="shared" si="24"/>
        <v>9606</v>
      </c>
      <c r="E401" t="s">
        <v>46</v>
      </c>
      <c r="F401">
        <v>55</v>
      </c>
      <c r="G401" t="str" cm="1">
        <f t="array" ref="G401">_xlfn.IFS(F401&lt;25,"18-24",F401&lt;35,"25-35",F401&lt;45,"35-44",F401&lt;55,"44-54",F401&gt;=55,"55+")</f>
        <v>55+</v>
      </c>
      <c r="H401" t="s">
        <v>41</v>
      </c>
      <c r="I401">
        <v>3</v>
      </c>
      <c r="J401" t="str" cm="1">
        <f t="array" ref="J401">_xlfn.IFS(I401&lt;=0,"No Dependents",I401&lt;=1,"One",I401&lt;=2,"Two",I401&gt;=3,"Third")</f>
        <v>Third</v>
      </c>
      <c r="K401">
        <v>550</v>
      </c>
      <c r="L401" t="str" cm="1">
        <f t="array" ref="L401">_xlfn.IFS(K401&lt;=580,"Poor",K401&lt;=670,"fair",K401&lt;=740,"Good",K401&lt;=800,"Very Good",K401&gt;=800,"Excellent")</f>
        <v>Poor</v>
      </c>
      <c r="M401">
        <v>0</v>
      </c>
      <c r="N401" t="str">
        <f t="shared" si="25"/>
        <v>No</v>
      </c>
      <c r="O401">
        <v>0.56999999999999995</v>
      </c>
      <c r="P401" t="str" cm="1">
        <f t="array" ref="P401">_xlfn.IFS(O401&lt;=0.3,"Low Risk",O401&lt;=0.4,"medium Risk",O401&lt;=0.5,"High Risk",O401&gt;0.5,"Very High Risk")</f>
        <v>Very High Risk</v>
      </c>
      <c r="Q401">
        <v>19231</v>
      </c>
      <c r="R401">
        <v>31127</v>
      </c>
      <c r="S401" t="str">
        <f t="shared" si="26"/>
        <v>Yes</v>
      </c>
      <c r="T401">
        <v>25686</v>
      </c>
      <c r="U401" t="str" cm="1">
        <f t="array" ref="U401">_xlfn.IFS(T401&lt;5000,"Small",T401&lt;20000,"Medium",T401&lt;35000,"Large",T401&gt;35000,"Very Large")</f>
        <v>Large</v>
      </c>
      <c r="V401">
        <v>12</v>
      </c>
      <c r="W401">
        <f t="shared" si="27"/>
        <v>1</v>
      </c>
      <c r="X401" t="s">
        <v>37</v>
      </c>
      <c r="Y401" t="s">
        <v>45</v>
      </c>
      <c r="Z401" t="s">
        <v>33</v>
      </c>
      <c r="AA401" t="s">
        <v>40</v>
      </c>
      <c r="AB401" t="s">
        <v>42</v>
      </c>
      <c r="AC401" t="s">
        <v>36</v>
      </c>
    </row>
    <row r="402" spans="1:29" x14ac:dyDescent="0.25">
      <c r="A402">
        <v>421</v>
      </c>
      <c r="B402">
        <v>14043</v>
      </c>
      <c r="C402">
        <v>8586</v>
      </c>
      <c r="D402">
        <f t="shared" si="24"/>
        <v>22629</v>
      </c>
      <c r="E402" t="s">
        <v>29</v>
      </c>
      <c r="F402">
        <v>45</v>
      </c>
      <c r="G402" t="str" cm="1">
        <f t="array" ref="G402">_xlfn.IFS(F402&lt;25,"18-24",F402&lt;35,"25-35",F402&lt;45,"35-44",F402&lt;55,"44-54",F402&gt;=55,"55+")</f>
        <v>44-54</v>
      </c>
      <c r="H402" t="s">
        <v>41</v>
      </c>
      <c r="I402">
        <v>0</v>
      </c>
      <c r="J402" t="str" cm="1">
        <f t="array" ref="J402">_xlfn.IFS(I402&lt;=0,"No Dependents",I402&lt;=1,"One",I402&lt;=2,"Two",I402&gt;=3,"Third")</f>
        <v>No Dependents</v>
      </c>
      <c r="K402">
        <v>724</v>
      </c>
      <c r="L402" t="str" cm="1">
        <f t="array" ref="L402">_xlfn.IFS(K402&lt;=580,"Poor",K402&lt;=670,"fair",K402&lt;=740,"Good",K402&lt;=800,"Very Good",K402&gt;=800,"Excellent")</f>
        <v>Good</v>
      </c>
      <c r="M402">
        <v>4</v>
      </c>
      <c r="N402" t="str">
        <f t="shared" si="25"/>
        <v>Yes</v>
      </c>
      <c r="O402">
        <v>0.36</v>
      </c>
      <c r="P402" t="str" cm="1">
        <f t="array" ref="P402">_xlfn.IFS(O402&lt;=0.3,"Low Risk",O402&lt;=0.4,"medium Risk",O402&lt;=0.5,"High Risk",O402&gt;0.5,"Very High Risk")</f>
        <v>medium Risk</v>
      </c>
      <c r="Q402">
        <v>1473</v>
      </c>
      <c r="R402">
        <v>9552</v>
      </c>
      <c r="S402" t="str">
        <f t="shared" si="26"/>
        <v>Yes</v>
      </c>
      <c r="T402">
        <v>33668</v>
      </c>
      <c r="U402" t="str" cm="1">
        <f t="array" ref="U402">_xlfn.IFS(T402&lt;5000,"Small",T402&lt;20000,"Medium",T402&lt;35000,"Large",T402&gt;35000,"Very Large")</f>
        <v>Large</v>
      </c>
      <c r="V402">
        <v>84</v>
      </c>
      <c r="W402">
        <f t="shared" si="27"/>
        <v>7</v>
      </c>
      <c r="X402" t="s">
        <v>42</v>
      </c>
      <c r="Y402" t="s">
        <v>32</v>
      </c>
      <c r="Z402" t="s">
        <v>33</v>
      </c>
      <c r="AA402" t="s">
        <v>40</v>
      </c>
      <c r="AB402" t="s">
        <v>48</v>
      </c>
      <c r="AC402" t="s">
        <v>44</v>
      </c>
    </row>
    <row r="403" spans="1:29" x14ac:dyDescent="0.25">
      <c r="A403">
        <v>422</v>
      </c>
      <c r="B403">
        <v>5440</v>
      </c>
      <c r="C403">
        <v>3788</v>
      </c>
      <c r="D403">
        <f t="shared" si="24"/>
        <v>9228</v>
      </c>
      <c r="E403" t="s">
        <v>29</v>
      </c>
      <c r="F403">
        <v>48</v>
      </c>
      <c r="G403" t="str" cm="1">
        <f t="array" ref="G403">_xlfn.IFS(F403&lt;25,"18-24",F403&lt;35,"25-35",F403&lt;45,"35-44",F403&lt;55,"44-54",F403&gt;=55,"55+")</f>
        <v>44-54</v>
      </c>
      <c r="H403" t="s">
        <v>41</v>
      </c>
      <c r="I403">
        <v>3</v>
      </c>
      <c r="J403" t="str" cm="1">
        <f t="array" ref="J403">_xlfn.IFS(I403&lt;=0,"No Dependents",I403&lt;=1,"One",I403&lt;=2,"Two",I403&gt;=3,"Third")</f>
        <v>Third</v>
      </c>
      <c r="K403">
        <v>747</v>
      </c>
      <c r="L403" t="str" cm="1">
        <f t="array" ref="L403">_xlfn.IFS(K403&lt;=580,"Poor",K403&lt;=670,"fair",K403&lt;=740,"Good",K403&lt;=800,"Very Good",K403&gt;=800,"Excellent")</f>
        <v>Very Good</v>
      </c>
      <c r="M403">
        <v>2</v>
      </c>
      <c r="N403" t="str">
        <f t="shared" si="25"/>
        <v>Yes</v>
      </c>
      <c r="O403">
        <v>0.56000000000000005</v>
      </c>
      <c r="P403" t="str" cm="1">
        <f t="array" ref="P403">_xlfn.IFS(O403&lt;=0.3,"Low Risk",O403&lt;=0.4,"medium Risk",O403&lt;=0.5,"High Risk",O403&gt;0.5,"Very High Risk")</f>
        <v>Very High Risk</v>
      </c>
      <c r="Q403">
        <v>4888</v>
      </c>
      <c r="R403">
        <v>41300</v>
      </c>
      <c r="S403" t="str">
        <f t="shared" si="26"/>
        <v>Yes</v>
      </c>
      <c r="T403">
        <v>7574</v>
      </c>
      <c r="U403" t="str" cm="1">
        <f t="array" ref="U403">_xlfn.IFS(T403&lt;5000,"Small",T403&lt;20000,"Medium",T403&lt;35000,"Large",T403&gt;35000,"Very Large")</f>
        <v>Medium</v>
      </c>
      <c r="V403">
        <v>48</v>
      </c>
      <c r="W403">
        <f t="shared" si="27"/>
        <v>4</v>
      </c>
      <c r="X403" t="s">
        <v>37</v>
      </c>
      <c r="Y403" t="s">
        <v>32</v>
      </c>
      <c r="Z403" t="s">
        <v>39</v>
      </c>
      <c r="AA403" t="s">
        <v>40</v>
      </c>
      <c r="AB403" t="s">
        <v>35</v>
      </c>
      <c r="AC403" t="s">
        <v>36</v>
      </c>
    </row>
    <row r="404" spans="1:29" x14ac:dyDescent="0.25">
      <c r="A404">
        <v>423</v>
      </c>
      <c r="B404">
        <v>7644</v>
      </c>
      <c r="C404">
        <v>4167</v>
      </c>
      <c r="D404">
        <f t="shared" si="24"/>
        <v>11811</v>
      </c>
      <c r="E404" t="s">
        <v>29</v>
      </c>
      <c r="F404">
        <v>35</v>
      </c>
      <c r="G404" t="str" cm="1">
        <f t="array" ref="G404">_xlfn.IFS(F404&lt;25,"18-24",F404&lt;35,"25-35",F404&lt;45,"35-44",F404&lt;55,"44-54",F404&gt;=55,"55+")</f>
        <v>35-44</v>
      </c>
      <c r="H404" t="s">
        <v>30</v>
      </c>
      <c r="I404">
        <v>1</v>
      </c>
      <c r="J404" t="str" cm="1">
        <f t="array" ref="J404">_xlfn.IFS(I404&lt;=0,"No Dependents",I404&lt;=1,"One",I404&lt;=2,"Two",I404&gt;=3,"Third")</f>
        <v>One</v>
      </c>
      <c r="K404">
        <v>606</v>
      </c>
      <c r="L404" t="str" cm="1">
        <f t="array" ref="L404">_xlfn.IFS(K404&lt;=580,"Poor",K404&lt;=670,"fair",K404&lt;=740,"Good",K404&lt;=800,"Very Good",K404&gt;=800,"Excellent")</f>
        <v>fair</v>
      </c>
      <c r="M404">
        <v>3</v>
      </c>
      <c r="N404" t="str">
        <f t="shared" si="25"/>
        <v>Yes</v>
      </c>
      <c r="O404">
        <v>0.55000000000000004</v>
      </c>
      <c r="P404" t="str" cm="1">
        <f t="array" ref="P404">_xlfn.IFS(O404&lt;=0.3,"Low Risk",O404&lt;=0.4,"medium Risk",O404&lt;=0.5,"High Risk",O404&gt;0.5,"Very High Risk")</f>
        <v>Very High Risk</v>
      </c>
      <c r="Q404">
        <v>4979</v>
      </c>
      <c r="R404">
        <v>49714</v>
      </c>
      <c r="S404" t="str">
        <f t="shared" si="26"/>
        <v>Yes</v>
      </c>
      <c r="T404">
        <v>9733</v>
      </c>
      <c r="U404" t="str" cm="1">
        <f t="array" ref="U404">_xlfn.IFS(T404&lt;5000,"Small",T404&lt;20000,"Medium",T404&lt;35000,"Large",T404&gt;35000,"Very Large")</f>
        <v>Medium</v>
      </c>
      <c r="V404">
        <v>24</v>
      </c>
      <c r="W404">
        <f t="shared" si="27"/>
        <v>2</v>
      </c>
      <c r="X404" t="s">
        <v>37</v>
      </c>
      <c r="Y404" t="s">
        <v>32</v>
      </c>
      <c r="Z404" t="s">
        <v>39</v>
      </c>
      <c r="AA404" t="s">
        <v>40</v>
      </c>
      <c r="AB404" t="s">
        <v>35</v>
      </c>
      <c r="AC404" t="s">
        <v>36</v>
      </c>
    </row>
    <row r="405" spans="1:29" x14ac:dyDescent="0.25">
      <c r="A405">
        <v>424</v>
      </c>
      <c r="B405">
        <v>12518</v>
      </c>
      <c r="C405">
        <v>8465</v>
      </c>
      <c r="D405">
        <f t="shared" si="24"/>
        <v>20983</v>
      </c>
      <c r="E405" t="s">
        <v>49</v>
      </c>
      <c r="F405">
        <v>24</v>
      </c>
      <c r="G405" t="str" cm="1">
        <f t="array" ref="G405">_xlfn.IFS(F405&lt;25,"18-24",F405&lt;35,"25-35",F405&lt;45,"35-44",F405&lt;55,"44-54",F405&gt;=55,"55+")</f>
        <v>18-24</v>
      </c>
      <c r="H405" t="s">
        <v>30</v>
      </c>
      <c r="I405">
        <v>3</v>
      </c>
      <c r="J405" t="str" cm="1">
        <f t="array" ref="J405">_xlfn.IFS(I405&lt;=0,"No Dependents",I405&lt;=1,"One",I405&lt;=2,"Two",I405&gt;=3,"Third")</f>
        <v>Third</v>
      </c>
      <c r="K405">
        <v>642</v>
      </c>
      <c r="L405" t="str" cm="1">
        <f t="array" ref="L405">_xlfn.IFS(K405&lt;=580,"Poor",K405&lt;=670,"fair",K405&lt;=740,"Good",K405&lt;=800,"Very Good",K405&gt;=800,"Excellent")</f>
        <v>fair</v>
      </c>
      <c r="M405">
        <v>0</v>
      </c>
      <c r="N405" t="str">
        <f t="shared" si="25"/>
        <v>No</v>
      </c>
      <c r="O405">
        <v>0.18</v>
      </c>
      <c r="P405" t="str" cm="1">
        <f t="array" ref="P405">_xlfn.IFS(O405&lt;=0.3,"Low Risk",O405&lt;=0.4,"medium Risk",O405&lt;=0.5,"High Risk",O405&gt;0.5,"Very High Risk")</f>
        <v>Low Risk</v>
      </c>
      <c r="Q405">
        <v>1212</v>
      </c>
      <c r="R405">
        <v>31921</v>
      </c>
      <c r="S405" t="str">
        <f t="shared" si="26"/>
        <v>Yes</v>
      </c>
      <c r="T405">
        <v>8257</v>
      </c>
      <c r="U405" t="str" cm="1">
        <f t="array" ref="U405">_xlfn.IFS(T405&lt;5000,"Small",T405&lt;20000,"Medium",T405&lt;35000,"Large",T405&gt;35000,"Very Large")</f>
        <v>Medium</v>
      </c>
      <c r="V405">
        <v>36</v>
      </c>
      <c r="W405">
        <f t="shared" si="27"/>
        <v>3</v>
      </c>
      <c r="X405" t="s">
        <v>37</v>
      </c>
      <c r="Y405" t="s">
        <v>32</v>
      </c>
      <c r="Z405" t="s">
        <v>39</v>
      </c>
      <c r="AA405" t="s">
        <v>34</v>
      </c>
      <c r="AB405" t="s">
        <v>43</v>
      </c>
      <c r="AC405" t="s">
        <v>36</v>
      </c>
    </row>
    <row r="406" spans="1:29" x14ac:dyDescent="0.25">
      <c r="A406">
        <v>425</v>
      </c>
      <c r="B406">
        <v>16552</v>
      </c>
      <c r="C406">
        <v>1389</v>
      </c>
      <c r="D406">
        <f t="shared" si="24"/>
        <v>17941</v>
      </c>
      <c r="E406" t="s">
        <v>52</v>
      </c>
      <c r="F406">
        <v>49</v>
      </c>
      <c r="G406" t="str" cm="1">
        <f t="array" ref="G406">_xlfn.IFS(F406&lt;25,"18-24",F406&lt;35,"25-35",F406&lt;45,"35-44",F406&lt;55,"44-54",F406&gt;=55,"55+")</f>
        <v>44-54</v>
      </c>
      <c r="H406" t="s">
        <v>41</v>
      </c>
      <c r="I406">
        <v>2</v>
      </c>
      <c r="J406" t="str" cm="1">
        <f t="array" ref="J406">_xlfn.IFS(I406&lt;=0,"No Dependents",I406&lt;=1,"One",I406&lt;=2,"Two",I406&gt;=3,"Third")</f>
        <v>Two</v>
      </c>
      <c r="K406">
        <v>568</v>
      </c>
      <c r="L406" t="str" cm="1">
        <f t="array" ref="L406">_xlfn.IFS(K406&lt;=580,"Poor",K406&lt;=670,"fair",K406&lt;=740,"Good",K406&lt;=800,"Very Good",K406&gt;=800,"Excellent")</f>
        <v>Poor</v>
      </c>
      <c r="M406">
        <v>0</v>
      </c>
      <c r="N406" t="str">
        <f t="shared" si="25"/>
        <v>No</v>
      </c>
      <c r="O406">
        <v>0.28000000000000003</v>
      </c>
      <c r="P406" t="str" cm="1">
        <f t="array" ref="P406">_xlfn.IFS(O406&lt;=0.3,"Low Risk",O406&lt;=0.4,"medium Risk",O406&lt;=0.5,"High Risk",O406&gt;0.5,"Very High Risk")</f>
        <v>Low Risk</v>
      </c>
      <c r="Q406">
        <v>9001</v>
      </c>
      <c r="R406">
        <v>4746</v>
      </c>
      <c r="S406" t="str">
        <f t="shared" si="26"/>
        <v>Yes</v>
      </c>
      <c r="T406">
        <v>37051</v>
      </c>
      <c r="U406" t="str" cm="1">
        <f t="array" ref="U406">_xlfn.IFS(T406&lt;5000,"Small",T406&lt;20000,"Medium",T406&lt;35000,"Large",T406&gt;35000,"Very Large")</f>
        <v>Very Large</v>
      </c>
      <c r="V406">
        <v>24</v>
      </c>
      <c r="W406">
        <f t="shared" si="27"/>
        <v>2</v>
      </c>
      <c r="X406" t="s">
        <v>47</v>
      </c>
      <c r="Y406" t="s">
        <v>32</v>
      </c>
      <c r="Z406" t="s">
        <v>39</v>
      </c>
      <c r="AA406" t="s">
        <v>34</v>
      </c>
      <c r="AB406" t="s">
        <v>51</v>
      </c>
      <c r="AC406" t="s">
        <v>36</v>
      </c>
    </row>
    <row r="407" spans="1:29" x14ac:dyDescent="0.25">
      <c r="A407">
        <v>426</v>
      </c>
      <c r="B407">
        <v>4914</v>
      </c>
      <c r="C407">
        <v>8357</v>
      </c>
      <c r="D407">
        <f t="shared" si="24"/>
        <v>13271</v>
      </c>
      <c r="E407" t="s">
        <v>29</v>
      </c>
      <c r="F407">
        <v>29</v>
      </c>
      <c r="G407" t="str" cm="1">
        <f t="array" ref="G407">_xlfn.IFS(F407&lt;25,"18-24",F407&lt;35,"25-35",F407&lt;45,"35-44",F407&lt;55,"44-54",F407&gt;=55,"55+")</f>
        <v>25-35</v>
      </c>
      <c r="H407" t="s">
        <v>30</v>
      </c>
      <c r="I407">
        <v>0</v>
      </c>
      <c r="J407" t="str" cm="1">
        <f t="array" ref="J407">_xlfn.IFS(I407&lt;=0,"No Dependents",I407&lt;=1,"One",I407&lt;=2,"Two",I407&gt;=3,"Third")</f>
        <v>No Dependents</v>
      </c>
      <c r="K407">
        <v>677</v>
      </c>
      <c r="L407" t="str" cm="1">
        <f t="array" ref="L407">_xlfn.IFS(K407&lt;=580,"Poor",K407&lt;=670,"fair",K407&lt;=740,"Good",K407&lt;=800,"Very Good",K407&gt;=800,"Excellent")</f>
        <v>Good</v>
      </c>
      <c r="M407">
        <v>2</v>
      </c>
      <c r="N407" t="str">
        <f t="shared" si="25"/>
        <v>Yes</v>
      </c>
      <c r="O407">
        <v>0.41</v>
      </c>
      <c r="P407" t="str" cm="1">
        <f t="array" ref="P407">_xlfn.IFS(O407&lt;=0.3,"Low Risk",O407&lt;=0.4,"medium Risk",O407&lt;=0.5,"High Risk",O407&gt;0.5,"Very High Risk")</f>
        <v>High Risk</v>
      </c>
      <c r="Q407">
        <v>13248</v>
      </c>
      <c r="R407">
        <v>2999</v>
      </c>
      <c r="S407" t="str">
        <f t="shared" si="26"/>
        <v>Yes</v>
      </c>
      <c r="T407">
        <v>16909</v>
      </c>
      <c r="U407" t="str" cm="1">
        <f t="array" ref="U407">_xlfn.IFS(T407&lt;5000,"Small",T407&lt;20000,"Medium",T407&lt;35000,"Large",T407&gt;35000,"Very Large")</f>
        <v>Medium</v>
      </c>
      <c r="V407">
        <v>60</v>
      </c>
      <c r="W407">
        <f t="shared" si="27"/>
        <v>5</v>
      </c>
      <c r="X407" t="s">
        <v>31</v>
      </c>
      <c r="Y407" t="s">
        <v>32</v>
      </c>
      <c r="Z407" t="s">
        <v>39</v>
      </c>
      <c r="AA407" t="s">
        <v>34</v>
      </c>
      <c r="AB407" t="s">
        <v>35</v>
      </c>
      <c r="AC407" t="s">
        <v>36</v>
      </c>
    </row>
    <row r="408" spans="1:29" x14ac:dyDescent="0.25">
      <c r="A408">
        <v>427</v>
      </c>
      <c r="B408">
        <v>15584</v>
      </c>
      <c r="C408">
        <v>9759</v>
      </c>
      <c r="D408">
        <f t="shared" si="24"/>
        <v>25343</v>
      </c>
      <c r="E408" t="s">
        <v>29</v>
      </c>
      <c r="F408">
        <v>47</v>
      </c>
      <c r="G408" t="str" cm="1">
        <f t="array" ref="G408">_xlfn.IFS(F408&lt;25,"18-24",F408&lt;35,"25-35",F408&lt;45,"35-44",F408&lt;55,"44-54",F408&gt;=55,"55+")</f>
        <v>44-54</v>
      </c>
      <c r="H408" t="s">
        <v>41</v>
      </c>
      <c r="I408">
        <v>0</v>
      </c>
      <c r="J408" t="str" cm="1">
        <f t="array" ref="J408">_xlfn.IFS(I408&lt;=0,"No Dependents",I408&lt;=1,"One",I408&lt;=2,"Two",I408&gt;=3,"Third")</f>
        <v>No Dependents</v>
      </c>
      <c r="K408">
        <v>646</v>
      </c>
      <c r="L408" t="str" cm="1">
        <f t="array" ref="L408">_xlfn.IFS(K408&lt;=580,"Poor",K408&lt;=670,"fair",K408&lt;=740,"Good",K408&lt;=800,"Very Good",K408&gt;=800,"Excellent")</f>
        <v>fair</v>
      </c>
      <c r="M408">
        <v>1</v>
      </c>
      <c r="N408" t="str">
        <f t="shared" si="25"/>
        <v>Yes</v>
      </c>
      <c r="O408">
        <v>0.18</v>
      </c>
      <c r="P408" t="str" cm="1">
        <f t="array" ref="P408">_xlfn.IFS(O408&lt;=0.3,"Low Risk",O408&lt;=0.4,"medium Risk",O408&lt;=0.5,"High Risk",O408&gt;0.5,"Very High Risk")</f>
        <v>Low Risk</v>
      </c>
      <c r="Q408">
        <v>419</v>
      </c>
      <c r="R408">
        <v>44070</v>
      </c>
      <c r="S408" t="str">
        <f t="shared" si="26"/>
        <v>Yes</v>
      </c>
      <c r="T408">
        <v>25146</v>
      </c>
      <c r="U408" t="str" cm="1">
        <f t="array" ref="U408">_xlfn.IFS(T408&lt;5000,"Small",T408&lt;20000,"Medium",T408&lt;35000,"Large",T408&gt;35000,"Very Large")</f>
        <v>Large</v>
      </c>
      <c r="V408">
        <v>72</v>
      </c>
      <c r="W408">
        <f t="shared" si="27"/>
        <v>6</v>
      </c>
      <c r="X408" t="s">
        <v>37</v>
      </c>
      <c r="Y408" t="s">
        <v>45</v>
      </c>
      <c r="Z408" t="s">
        <v>33</v>
      </c>
      <c r="AA408" t="s">
        <v>34</v>
      </c>
      <c r="AB408" t="s">
        <v>43</v>
      </c>
      <c r="AC408" t="s">
        <v>36</v>
      </c>
    </row>
    <row r="409" spans="1:29" x14ac:dyDescent="0.25">
      <c r="A409">
        <v>428</v>
      </c>
      <c r="B409">
        <v>14144</v>
      </c>
      <c r="C409">
        <v>6154</v>
      </c>
      <c r="D409">
        <f t="shared" si="24"/>
        <v>20298</v>
      </c>
      <c r="E409" t="s">
        <v>49</v>
      </c>
      <c r="F409">
        <v>46</v>
      </c>
      <c r="G409" t="str" cm="1">
        <f t="array" ref="G409">_xlfn.IFS(F409&lt;25,"18-24",F409&lt;35,"25-35",F409&lt;45,"35-44",F409&lt;55,"44-54",F409&gt;=55,"55+")</f>
        <v>44-54</v>
      </c>
      <c r="H409" t="s">
        <v>30</v>
      </c>
      <c r="I409">
        <v>2</v>
      </c>
      <c r="J409" t="str" cm="1">
        <f t="array" ref="J409">_xlfn.IFS(I409&lt;=0,"No Dependents",I409&lt;=1,"One",I409&lt;=2,"Two",I409&gt;=3,"Third")</f>
        <v>Two</v>
      </c>
      <c r="K409">
        <v>742</v>
      </c>
      <c r="L409" t="str" cm="1">
        <f t="array" ref="L409">_xlfn.IFS(K409&lt;=580,"Poor",K409&lt;=670,"fair",K409&lt;=740,"Good",K409&lt;=800,"Very Good",K409&gt;=800,"Excellent")</f>
        <v>Very Good</v>
      </c>
      <c r="M409">
        <v>0</v>
      </c>
      <c r="N409" t="str">
        <f t="shared" si="25"/>
        <v>No</v>
      </c>
      <c r="O409">
        <v>0.57999999999999996</v>
      </c>
      <c r="P409" t="str" cm="1">
        <f t="array" ref="P409">_xlfn.IFS(O409&lt;=0.3,"Low Risk",O409&lt;=0.4,"medium Risk",O409&lt;=0.5,"High Risk",O409&gt;0.5,"Very High Risk")</f>
        <v>Very High Risk</v>
      </c>
      <c r="Q409">
        <v>15608</v>
      </c>
      <c r="R409">
        <v>49220</v>
      </c>
      <c r="S409" t="str">
        <f t="shared" si="26"/>
        <v>Yes</v>
      </c>
      <c r="T409">
        <v>12802</v>
      </c>
      <c r="U409" t="str" cm="1">
        <f t="array" ref="U409">_xlfn.IFS(T409&lt;5000,"Small",T409&lt;20000,"Medium",T409&lt;35000,"Large",T409&gt;35000,"Very Large")</f>
        <v>Medium</v>
      </c>
      <c r="V409">
        <v>84</v>
      </c>
      <c r="W409">
        <f t="shared" si="27"/>
        <v>7</v>
      </c>
      <c r="X409" t="s">
        <v>31</v>
      </c>
      <c r="Y409" t="s">
        <v>32</v>
      </c>
      <c r="Z409" t="s">
        <v>39</v>
      </c>
      <c r="AA409" t="s">
        <v>40</v>
      </c>
      <c r="AB409" t="s">
        <v>42</v>
      </c>
      <c r="AC409" t="s">
        <v>36</v>
      </c>
    </row>
    <row r="410" spans="1:29" x14ac:dyDescent="0.25">
      <c r="A410">
        <v>429</v>
      </c>
      <c r="B410">
        <v>16397</v>
      </c>
      <c r="C410">
        <v>5420</v>
      </c>
      <c r="D410">
        <f t="shared" si="24"/>
        <v>21817</v>
      </c>
      <c r="E410" t="s">
        <v>29</v>
      </c>
      <c r="F410">
        <v>39</v>
      </c>
      <c r="G410" t="str" cm="1">
        <f t="array" ref="G410">_xlfn.IFS(F410&lt;25,"18-24",F410&lt;35,"25-35",F410&lt;45,"35-44",F410&lt;55,"44-54",F410&gt;=55,"55+")</f>
        <v>35-44</v>
      </c>
      <c r="H410" t="s">
        <v>30</v>
      </c>
      <c r="I410">
        <v>2</v>
      </c>
      <c r="J410" t="str" cm="1">
        <f t="array" ref="J410">_xlfn.IFS(I410&lt;=0,"No Dependents",I410&lt;=1,"One",I410&lt;=2,"Two",I410&gt;=3,"Third")</f>
        <v>Two</v>
      </c>
      <c r="K410">
        <v>786</v>
      </c>
      <c r="L410" t="str" cm="1">
        <f t="array" ref="L410">_xlfn.IFS(K410&lt;=580,"Poor",K410&lt;=670,"fair",K410&lt;=740,"Good",K410&lt;=800,"Very Good",K410&gt;=800,"Excellent")</f>
        <v>Very Good</v>
      </c>
      <c r="M410">
        <v>2</v>
      </c>
      <c r="N410" t="str">
        <f t="shared" si="25"/>
        <v>Yes</v>
      </c>
      <c r="O410">
        <v>0.56000000000000005</v>
      </c>
      <c r="P410" t="str" cm="1">
        <f t="array" ref="P410">_xlfn.IFS(O410&lt;=0.3,"Low Risk",O410&lt;=0.4,"medium Risk",O410&lt;=0.5,"High Risk",O410&gt;0.5,"Very High Risk")</f>
        <v>Very High Risk</v>
      </c>
      <c r="Q410">
        <v>3659</v>
      </c>
      <c r="R410">
        <v>15595</v>
      </c>
      <c r="S410" t="str">
        <f t="shared" si="26"/>
        <v>Yes</v>
      </c>
      <c r="T410">
        <v>8896</v>
      </c>
      <c r="U410" t="str" cm="1">
        <f t="array" ref="U410">_xlfn.IFS(T410&lt;5000,"Small",T410&lt;20000,"Medium",T410&lt;35000,"Large",T410&gt;35000,"Very Large")</f>
        <v>Medium</v>
      </c>
      <c r="V410">
        <v>84</v>
      </c>
      <c r="W410">
        <f t="shared" si="27"/>
        <v>7</v>
      </c>
      <c r="X410" t="s">
        <v>50</v>
      </c>
      <c r="Y410" t="s">
        <v>32</v>
      </c>
      <c r="Z410" t="s">
        <v>39</v>
      </c>
      <c r="AA410" t="s">
        <v>34</v>
      </c>
      <c r="AB410" t="s">
        <v>51</v>
      </c>
      <c r="AC410" t="s">
        <v>36</v>
      </c>
    </row>
    <row r="411" spans="1:29" x14ac:dyDescent="0.25">
      <c r="A411">
        <v>430</v>
      </c>
      <c r="B411">
        <v>10787</v>
      </c>
      <c r="C411">
        <v>8920</v>
      </c>
      <c r="D411">
        <f t="shared" si="24"/>
        <v>19707</v>
      </c>
      <c r="E411" t="s">
        <v>49</v>
      </c>
      <c r="F411">
        <v>48</v>
      </c>
      <c r="G411" t="str" cm="1">
        <f t="array" ref="G411">_xlfn.IFS(F411&lt;25,"18-24",F411&lt;35,"25-35",F411&lt;45,"35-44",F411&lt;55,"44-54",F411&gt;=55,"55+")</f>
        <v>44-54</v>
      </c>
      <c r="H411" t="s">
        <v>41</v>
      </c>
      <c r="I411">
        <v>2</v>
      </c>
      <c r="J411" t="str" cm="1">
        <f t="array" ref="J411">_xlfn.IFS(I411&lt;=0,"No Dependents",I411&lt;=1,"One",I411&lt;=2,"Two",I411&gt;=3,"Third")</f>
        <v>Two</v>
      </c>
      <c r="K411">
        <v>680</v>
      </c>
      <c r="L411" t="str" cm="1">
        <f t="array" ref="L411">_xlfn.IFS(K411&lt;=580,"Poor",K411&lt;=670,"fair",K411&lt;=740,"Good",K411&lt;=800,"Very Good",K411&gt;=800,"Excellent")</f>
        <v>Good</v>
      </c>
      <c r="M411">
        <v>1</v>
      </c>
      <c r="N411" t="str">
        <f t="shared" si="25"/>
        <v>Yes</v>
      </c>
      <c r="O411">
        <v>0.18</v>
      </c>
      <c r="P411" t="str" cm="1">
        <f t="array" ref="P411">_xlfn.IFS(O411&lt;=0.3,"Low Risk",O411&lt;=0.4,"medium Risk",O411&lt;=0.5,"High Risk",O411&gt;0.5,"Very High Risk")</f>
        <v>Low Risk</v>
      </c>
      <c r="Q411">
        <v>5283</v>
      </c>
      <c r="R411">
        <v>0</v>
      </c>
      <c r="S411" t="str">
        <f t="shared" si="26"/>
        <v>No</v>
      </c>
      <c r="T411">
        <v>29133</v>
      </c>
      <c r="U411" t="str" cm="1">
        <f t="array" ref="U411">_xlfn.IFS(T411&lt;5000,"Small",T411&lt;20000,"Medium",T411&lt;35000,"Large",T411&gt;35000,"Very Large")</f>
        <v>Large</v>
      </c>
      <c r="V411">
        <v>84</v>
      </c>
      <c r="W411">
        <f t="shared" si="27"/>
        <v>7</v>
      </c>
      <c r="X411" t="s">
        <v>47</v>
      </c>
      <c r="Y411" t="s">
        <v>38</v>
      </c>
      <c r="Z411" t="s">
        <v>39</v>
      </c>
      <c r="AA411" t="s">
        <v>40</v>
      </c>
      <c r="AB411" t="s">
        <v>35</v>
      </c>
      <c r="AC411" t="s">
        <v>44</v>
      </c>
    </row>
    <row r="412" spans="1:29" x14ac:dyDescent="0.25">
      <c r="A412">
        <v>431</v>
      </c>
      <c r="B412">
        <v>16191</v>
      </c>
      <c r="C412">
        <v>2043</v>
      </c>
      <c r="D412">
        <f t="shared" si="24"/>
        <v>18234</v>
      </c>
      <c r="E412" t="s">
        <v>48</v>
      </c>
      <c r="F412">
        <v>37</v>
      </c>
      <c r="G412" t="str" cm="1">
        <f t="array" ref="G412">_xlfn.IFS(F412&lt;25,"18-24",F412&lt;35,"25-35",F412&lt;45,"35-44",F412&lt;55,"44-54",F412&gt;=55,"55+")</f>
        <v>35-44</v>
      </c>
      <c r="H412" t="s">
        <v>30</v>
      </c>
      <c r="I412">
        <v>3</v>
      </c>
      <c r="J412" t="str" cm="1">
        <f t="array" ref="J412">_xlfn.IFS(I412&lt;=0,"No Dependents",I412&lt;=1,"One",I412&lt;=2,"Two",I412&gt;=3,"Third")</f>
        <v>Third</v>
      </c>
      <c r="K412">
        <v>719</v>
      </c>
      <c r="L412" t="str" cm="1">
        <f t="array" ref="L412">_xlfn.IFS(K412&lt;=580,"Poor",K412&lt;=670,"fair",K412&lt;=740,"Good",K412&lt;=800,"Very Good",K412&gt;=800,"Excellent")</f>
        <v>Good</v>
      </c>
      <c r="M412">
        <v>1</v>
      </c>
      <c r="N412" t="str">
        <f t="shared" si="25"/>
        <v>Yes</v>
      </c>
      <c r="O412">
        <v>0.16</v>
      </c>
      <c r="P412" t="str" cm="1">
        <f t="array" ref="P412">_xlfn.IFS(O412&lt;=0.3,"Low Risk",O412&lt;=0.4,"medium Risk",O412&lt;=0.5,"High Risk",O412&gt;0.5,"Very High Risk")</f>
        <v>Low Risk</v>
      </c>
      <c r="Q412">
        <v>10715</v>
      </c>
      <c r="R412">
        <v>6200</v>
      </c>
      <c r="S412" t="str">
        <f t="shared" si="26"/>
        <v>Yes</v>
      </c>
      <c r="T412">
        <v>14526</v>
      </c>
      <c r="U412" t="str" cm="1">
        <f t="array" ref="U412">_xlfn.IFS(T412&lt;5000,"Small",T412&lt;20000,"Medium",T412&lt;35000,"Large",T412&gt;35000,"Very Large")</f>
        <v>Medium</v>
      </c>
      <c r="V412">
        <v>36</v>
      </c>
      <c r="W412">
        <f t="shared" si="27"/>
        <v>3</v>
      </c>
      <c r="X412" t="s">
        <v>42</v>
      </c>
      <c r="Y412" t="s">
        <v>45</v>
      </c>
      <c r="Z412" t="s">
        <v>33</v>
      </c>
      <c r="AA412" t="s">
        <v>40</v>
      </c>
      <c r="AB412" t="s">
        <v>43</v>
      </c>
      <c r="AC412" t="s">
        <v>44</v>
      </c>
    </row>
    <row r="413" spans="1:29" x14ac:dyDescent="0.25">
      <c r="A413">
        <v>432</v>
      </c>
      <c r="B413">
        <v>2728</v>
      </c>
      <c r="C413">
        <v>4197</v>
      </c>
      <c r="D413">
        <f t="shared" si="24"/>
        <v>6925</v>
      </c>
      <c r="E413" t="s">
        <v>29</v>
      </c>
      <c r="F413">
        <v>40</v>
      </c>
      <c r="G413" t="str" cm="1">
        <f t="array" ref="G413">_xlfn.IFS(F413&lt;25,"18-24",F413&lt;35,"25-35",F413&lt;45,"35-44",F413&lt;55,"44-54",F413&gt;=55,"55+")</f>
        <v>35-44</v>
      </c>
      <c r="H413" t="s">
        <v>41</v>
      </c>
      <c r="I413">
        <v>0</v>
      </c>
      <c r="J413" t="str" cm="1">
        <f t="array" ref="J413">_xlfn.IFS(I413&lt;=0,"No Dependents",I413&lt;=1,"One",I413&lt;=2,"Two",I413&gt;=3,"Third")</f>
        <v>No Dependents</v>
      </c>
      <c r="K413">
        <v>570</v>
      </c>
      <c r="L413" t="str" cm="1">
        <f t="array" ref="L413">_xlfn.IFS(K413&lt;=580,"Poor",K413&lt;=670,"fair",K413&lt;=740,"Good",K413&lt;=800,"Very Good",K413&gt;=800,"Excellent")</f>
        <v>Poor</v>
      </c>
      <c r="M413">
        <v>0</v>
      </c>
      <c r="N413" t="str">
        <f t="shared" si="25"/>
        <v>No</v>
      </c>
      <c r="O413">
        <v>0.14000000000000001</v>
      </c>
      <c r="P413" t="str" cm="1">
        <f t="array" ref="P413">_xlfn.IFS(O413&lt;=0.3,"Low Risk",O413&lt;=0.4,"medium Risk",O413&lt;=0.5,"High Risk",O413&gt;0.5,"Very High Risk")</f>
        <v>Low Risk</v>
      </c>
      <c r="Q413">
        <v>16165</v>
      </c>
      <c r="R413">
        <v>38164</v>
      </c>
      <c r="S413" t="str">
        <f t="shared" si="26"/>
        <v>Yes</v>
      </c>
      <c r="T413">
        <v>12278</v>
      </c>
      <c r="U413" t="str" cm="1">
        <f t="array" ref="U413">_xlfn.IFS(T413&lt;5000,"Small",T413&lt;20000,"Medium",T413&lt;35000,"Large",T413&gt;35000,"Very Large")</f>
        <v>Medium</v>
      </c>
      <c r="V413">
        <v>48</v>
      </c>
      <c r="W413">
        <f t="shared" si="27"/>
        <v>4</v>
      </c>
      <c r="X413" t="s">
        <v>47</v>
      </c>
      <c r="Y413" t="s">
        <v>45</v>
      </c>
      <c r="Z413" t="s">
        <v>39</v>
      </c>
      <c r="AA413" t="s">
        <v>40</v>
      </c>
      <c r="AB413" t="s">
        <v>48</v>
      </c>
      <c r="AC413" t="s">
        <v>36</v>
      </c>
    </row>
    <row r="414" spans="1:29" x14ac:dyDescent="0.25">
      <c r="A414">
        <v>433</v>
      </c>
      <c r="B414">
        <v>19749</v>
      </c>
      <c r="C414">
        <v>3496</v>
      </c>
      <c r="D414">
        <f t="shared" si="24"/>
        <v>23245</v>
      </c>
      <c r="E414" t="s">
        <v>49</v>
      </c>
      <c r="F414">
        <v>59</v>
      </c>
      <c r="G414" t="str" cm="1">
        <f t="array" ref="G414">_xlfn.IFS(F414&lt;25,"18-24",F414&lt;35,"25-35",F414&lt;45,"35-44",F414&lt;55,"44-54",F414&gt;=55,"55+")</f>
        <v>55+</v>
      </c>
      <c r="H414" t="s">
        <v>41</v>
      </c>
      <c r="I414">
        <v>2</v>
      </c>
      <c r="J414" t="str" cm="1">
        <f t="array" ref="J414">_xlfn.IFS(I414&lt;=0,"No Dependents",I414&lt;=1,"One",I414&lt;=2,"Two",I414&gt;=3,"Third")</f>
        <v>Two</v>
      </c>
      <c r="K414">
        <v>776</v>
      </c>
      <c r="L414" t="str" cm="1">
        <f t="array" ref="L414">_xlfn.IFS(K414&lt;=580,"Poor",K414&lt;=670,"fair",K414&lt;=740,"Good",K414&lt;=800,"Very Good",K414&gt;=800,"Excellent")</f>
        <v>Very Good</v>
      </c>
      <c r="M414">
        <v>1</v>
      </c>
      <c r="N414" t="str">
        <f t="shared" si="25"/>
        <v>Yes</v>
      </c>
      <c r="O414">
        <v>0.55000000000000004</v>
      </c>
      <c r="P414" t="str" cm="1">
        <f t="array" ref="P414">_xlfn.IFS(O414&lt;=0.3,"Low Risk",O414&lt;=0.4,"medium Risk",O414&lt;=0.5,"High Risk",O414&gt;0.5,"Very High Risk")</f>
        <v>Very High Risk</v>
      </c>
      <c r="Q414">
        <v>1340</v>
      </c>
      <c r="R414">
        <v>23377</v>
      </c>
      <c r="S414" t="str">
        <f t="shared" si="26"/>
        <v>Yes</v>
      </c>
      <c r="T414">
        <v>26551</v>
      </c>
      <c r="U414" t="str" cm="1">
        <f t="array" ref="U414">_xlfn.IFS(T414&lt;5000,"Small",T414&lt;20000,"Medium",T414&lt;35000,"Large",T414&gt;35000,"Very Large")</f>
        <v>Large</v>
      </c>
      <c r="V414">
        <v>48</v>
      </c>
      <c r="W414">
        <f t="shared" si="27"/>
        <v>4</v>
      </c>
      <c r="X414" t="s">
        <v>47</v>
      </c>
      <c r="Y414" t="s">
        <v>38</v>
      </c>
      <c r="Z414" t="s">
        <v>39</v>
      </c>
      <c r="AA414" t="s">
        <v>34</v>
      </c>
      <c r="AB414" t="s">
        <v>35</v>
      </c>
      <c r="AC414" t="s">
        <v>36</v>
      </c>
    </row>
    <row r="415" spans="1:29" x14ac:dyDescent="0.25">
      <c r="A415">
        <v>434</v>
      </c>
      <c r="B415">
        <v>2698</v>
      </c>
      <c r="C415">
        <v>778</v>
      </c>
      <c r="D415">
        <f t="shared" si="24"/>
        <v>3476</v>
      </c>
      <c r="E415" t="s">
        <v>29</v>
      </c>
      <c r="F415">
        <v>43</v>
      </c>
      <c r="G415" t="str" cm="1">
        <f t="array" ref="G415">_xlfn.IFS(F415&lt;25,"18-24",F415&lt;35,"25-35",F415&lt;45,"35-44",F415&lt;55,"44-54",F415&gt;=55,"55+")</f>
        <v>35-44</v>
      </c>
      <c r="H415" t="s">
        <v>41</v>
      </c>
      <c r="I415">
        <v>3</v>
      </c>
      <c r="J415" t="str" cm="1">
        <f t="array" ref="J415">_xlfn.IFS(I415&lt;=0,"No Dependents",I415&lt;=1,"One",I415&lt;=2,"Two",I415&gt;=3,"Third")</f>
        <v>Third</v>
      </c>
      <c r="K415">
        <v>782</v>
      </c>
      <c r="L415" t="str" cm="1">
        <f t="array" ref="L415">_xlfn.IFS(K415&lt;=580,"Poor",K415&lt;=670,"fair",K415&lt;=740,"Good",K415&lt;=800,"Very Good",K415&gt;=800,"Excellent")</f>
        <v>Very Good</v>
      </c>
      <c r="M415">
        <v>4</v>
      </c>
      <c r="N415" t="str">
        <f t="shared" si="25"/>
        <v>Yes</v>
      </c>
      <c r="O415">
        <v>0.2</v>
      </c>
      <c r="P415" t="str" cm="1">
        <f t="array" ref="P415">_xlfn.IFS(O415&lt;=0.3,"Low Risk",O415&lt;=0.4,"medium Risk",O415&lt;=0.5,"High Risk",O415&gt;0.5,"Very High Risk")</f>
        <v>Low Risk</v>
      </c>
      <c r="Q415">
        <v>14805</v>
      </c>
      <c r="R415">
        <v>13410</v>
      </c>
      <c r="S415" t="str">
        <f t="shared" si="26"/>
        <v>Yes</v>
      </c>
      <c r="T415">
        <v>26298</v>
      </c>
      <c r="U415" t="str" cm="1">
        <f t="array" ref="U415">_xlfn.IFS(T415&lt;5000,"Small",T415&lt;20000,"Medium",T415&lt;35000,"Large",T415&gt;35000,"Very Large")</f>
        <v>Large</v>
      </c>
      <c r="V415">
        <v>84</v>
      </c>
      <c r="W415">
        <f t="shared" si="27"/>
        <v>7</v>
      </c>
      <c r="X415" t="s">
        <v>50</v>
      </c>
      <c r="Y415" t="s">
        <v>32</v>
      </c>
      <c r="Z415" t="s">
        <v>39</v>
      </c>
      <c r="AA415" t="s">
        <v>34</v>
      </c>
      <c r="AB415" t="s">
        <v>42</v>
      </c>
      <c r="AC415" t="s">
        <v>36</v>
      </c>
    </row>
    <row r="416" spans="1:29" x14ac:dyDescent="0.25">
      <c r="A416">
        <v>435</v>
      </c>
      <c r="B416">
        <v>9186</v>
      </c>
      <c r="C416">
        <v>213</v>
      </c>
      <c r="D416">
        <f t="shared" si="24"/>
        <v>9399</v>
      </c>
      <c r="E416" t="s">
        <v>49</v>
      </c>
      <c r="F416">
        <v>52</v>
      </c>
      <c r="G416" t="str" cm="1">
        <f t="array" ref="G416">_xlfn.IFS(F416&lt;25,"18-24",F416&lt;35,"25-35",F416&lt;45,"35-44",F416&lt;55,"44-54",F416&gt;=55,"55+")</f>
        <v>44-54</v>
      </c>
      <c r="H416" t="s">
        <v>41</v>
      </c>
      <c r="I416">
        <v>2</v>
      </c>
      <c r="J416" t="str" cm="1">
        <f t="array" ref="J416">_xlfn.IFS(I416&lt;=0,"No Dependents",I416&lt;=1,"One",I416&lt;=2,"Two",I416&gt;=3,"Third")</f>
        <v>Two</v>
      </c>
      <c r="K416">
        <v>550</v>
      </c>
      <c r="L416" t="str" cm="1">
        <f t="array" ref="L416">_xlfn.IFS(K416&lt;=580,"Poor",K416&lt;=670,"fair",K416&lt;=740,"Good",K416&lt;=800,"Very Good",K416&gt;=800,"Excellent")</f>
        <v>Poor</v>
      </c>
      <c r="M416">
        <v>2</v>
      </c>
      <c r="N416" t="str">
        <f t="shared" si="25"/>
        <v>Yes</v>
      </c>
      <c r="O416">
        <v>0.31</v>
      </c>
      <c r="P416" t="str" cm="1">
        <f t="array" ref="P416">_xlfn.IFS(O416&lt;=0.3,"Low Risk",O416&lt;=0.4,"medium Risk",O416&lt;=0.5,"High Risk",O416&gt;0.5,"Very High Risk")</f>
        <v>medium Risk</v>
      </c>
      <c r="Q416">
        <v>10584</v>
      </c>
      <c r="R416">
        <v>45971</v>
      </c>
      <c r="S416" t="str">
        <f t="shared" si="26"/>
        <v>Yes</v>
      </c>
      <c r="T416">
        <v>36338</v>
      </c>
      <c r="U416" t="str" cm="1">
        <f t="array" ref="U416">_xlfn.IFS(T416&lt;5000,"Small",T416&lt;20000,"Medium",T416&lt;35000,"Large",T416&gt;35000,"Very Large")</f>
        <v>Very Large</v>
      </c>
      <c r="V416">
        <v>48</v>
      </c>
      <c r="W416">
        <f t="shared" si="27"/>
        <v>4</v>
      </c>
      <c r="X416" t="s">
        <v>31</v>
      </c>
      <c r="Y416" t="s">
        <v>45</v>
      </c>
      <c r="Z416" t="s">
        <v>33</v>
      </c>
      <c r="AA416" t="s">
        <v>34</v>
      </c>
      <c r="AB416" t="s">
        <v>48</v>
      </c>
      <c r="AC416" t="s">
        <v>36</v>
      </c>
    </row>
    <row r="417" spans="1:29" x14ac:dyDescent="0.25">
      <c r="A417">
        <v>437</v>
      </c>
      <c r="B417">
        <v>15923</v>
      </c>
      <c r="C417">
        <v>9768</v>
      </c>
      <c r="D417">
        <f t="shared" si="24"/>
        <v>25691</v>
      </c>
      <c r="E417" t="s">
        <v>49</v>
      </c>
      <c r="F417">
        <v>25</v>
      </c>
      <c r="G417" t="str" cm="1">
        <f t="array" ref="G417">_xlfn.IFS(F417&lt;25,"18-24",F417&lt;35,"25-35",F417&lt;45,"35-44",F417&lt;55,"44-54",F417&gt;=55,"55+")</f>
        <v>25-35</v>
      </c>
      <c r="H417" t="s">
        <v>41</v>
      </c>
      <c r="I417">
        <v>1</v>
      </c>
      <c r="J417" t="str" cm="1">
        <f t="array" ref="J417">_xlfn.IFS(I417&lt;=0,"No Dependents",I417&lt;=1,"One",I417&lt;=2,"Two",I417&gt;=3,"Third")</f>
        <v>One</v>
      </c>
      <c r="K417">
        <v>702</v>
      </c>
      <c r="L417" t="str" cm="1">
        <f t="array" ref="L417">_xlfn.IFS(K417&lt;=580,"Poor",K417&lt;=670,"fair",K417&lt;=740,"Good",K417&lt;=800,"Very Good",K417&gt;=800,"Excellent")</f>
        <v>Good</v>
      </c>
      <c r="M417">
        <v>0</v>
      </c>
      <c r="N417" t="str">
        <f t="shared" si="25"/>
        <v>No</v>
      </c>
      <c r="O417">
        <v>0.4</v>
      </c>
      <c r="P417" t="str" cm="1">
        <f t="array" ref="P417">_xlfn.IFS(O417&lt;=0.3,"Low Risk",O417&lt;=0.4,"medium Risk",O417&lt;=0.5,"High Risk",O417&gt;0.5,"Very High Risk")</f>
        <v>medium Risk</v>
      </c>
      <c r="Q417">
        <v>5137</v>
      </c>
      <c r="R417">
        <v>10564</v>
      </c>
      <c r="S417" t="str">
        <f t="shared" si="26"/>
        <v>Yes</v>
      </c>
      <c r="T417">
        <v>34092</v>
      </c>
      <c r="U417" t="str" cm="1">
        <f t="array" ref="U417">_xlfn.IFS(T417&lt;5000,"Small",T417&lt;20000,"Medium",T417&lt;35000,"Large",T417&gt;35000,"Very Large")</f>
        <v>Large</v>
      </c>
      <c r="V417">
        <v>84</v>
      </c>
      <c r="W417">
        <f t="shared" si="27"/>
        <v>7</v>
      </c>
      <c r="X417" t="s">
        <v>42</v>
      </c>
      <c r="Y417" t="s">
        <v>32</v>
      </c>
      <c r="Z417" t="s">
        <v>39</v>
      </c>
      <c r="AA417" t="s">
        <v>40</v>
      </c>
      <c r="AB417" t="s">
        <v>43</v>
      </c>
      <c r="AC417" t="s">
        <v>36</v>
      </c>
    </row>
    <row r="418" spans="1:29" x14ac:dyDescent="0.25">
      <c r="A418">
        <v>438</v>
      </c>
      <c r="B418">
        <v>18779</v>
      </c>
      <c r="C418">
        <v>6731</v>
      </c>
      <c r="D418">
        <f t="shared" si="24"/>
        <v>25510</v>
      </c>
      <c r="E418" t="s">
        <v>29</v>
      </c>
      <c r="F418">
        <v>54</v>
      </c>
      <c r="G418" t="str" cm="1">
        <f t="array" ref="G418">_xlfn.IFS(F418&lt;25,"18-24",F418&lt;35,"25-35",F418&lt;45,"35-44",F418&lt;55,"44-54",F418&gt;=55,"55+")</f>
        <v>44-54</v>
      </c>
      <c r="H418" t="s">
        <v>30</v>
      </c>
      <c r="I418">
        <v>0</v>
      </c>
      <c r="J418" t="str" cm="1">
        <f t="array" ref="J418">_xlfn.IFS(I418&lt;=0,"No Dependents",I418&lt;=1,"One",I418&lt;=2,"Two",I418&gt;=3,"Third")</f>
        <v>No Dependents</v>
      </c>
      <c r="K418">
        <v>676</v>
      </c>
      <c r="L418" t="str" cm="1">
        <f t="array" ref="L418">_xlfn.IFS(K418&lt;=580,"Poor",K418&lt;=670,"fair",K418&lt;=740,"Good",K418&lt;=800,"Very Good",K418&gt;=800,"Excellent")</f>
        <v>Good</v>
      </c>
      <c r="M418">
        <v>0</v>
      </c>
      <c r="N418" t="str">
        <f t="shared" si="25"/>
        <v>No</v>
      </c>
      <c r="O418">
        <v>0.14000000000000001</v>
      </c>
      <c r="P418" t="str" cm="1">
        <f t="array" ref="P418">_xlfn.IFS(O418&lt;=0.3,"Low Risk",O418&lt;=0.4,"medium Risk",O418&lt;=0.5,"High Risk",O418&gt;0.5,"Very High Risk")</f>
        <v>Low Risk</v>
      </c>
      <c r="Q418">
        <v>17745</v>
      </c>
      <c r="R418">
        <v>45516</v>
      </c>
      <c r="S418" t="str">
        <f t="shared" si="26"/>
        <v>Yes</v>
      </c>
      <c r="T418">
        <v>24871</v>
      </c>
      <c r="U418" t="str" cm="1">
        <f t="array" ref="U418">_xlfn.IFS(T418&lt;5000,"Small",T418&lt;20000,"Medium",T418&lt;35000,"Large",T418&gt;35000,"Very Large")</f>
        <v>Large</v>
      </c>
      <c r="V418">
        <v>12</v>
      </c>
      <c r="W418">
        <f t="shared" si="27"/>
        <v>1</v>
      </c>
      <c r="X418" t="s">
        <v>50</v>
      </c>
      <c r="Y418" t="s">
        <v>32</v>
      </c>
      <c r="Z418" t="s">
        <v>39</v>
      </c>
      <c r="AA418" t="s">
        <v>40</v>
      </c>
      <c r="AB418" t="s">
        <v>43</v>
      </c>
      <c r="AC418" t="s">
        <v>44</v>
      </c>
    </row>
    <row r="419" spans="1:29" x14ac:dyDescent="0.25">
      <c r="A419">
        <v>439</v>
      </c>
      <c r="B419">
        <v>9400</v>
      </c>
      <c r="C419">
        <v>3117</v>
      </c>
      <c r="D419">
        <f t="shared" si="24"/>
        <v>12517</v>
      </c>
      <c r="E419" t="s">
        <v>29</v>
      </c>
      <c r="F419">
        <v>31</v>
      </c>
      <c r="G419" t="str" cm="1">
        <f t="array" ref="G419">_xlfn.IFS(F419&lt;25,"18-24",F419&lt;35,"25-35",F419&lt;45,"35-44",F419&lt;55,"44-54",F419&gt;=55,"55+")</f>
        <v>25-35</v>
      </c>
      <c r="H419" t="s">
        <v>30</v>
      </c>
      <c r="I419">
        <v>3</v>
      </c>
      <c r="J419" t="str" cm="1">
        <f t="array" ref="J419">_xlfn.IFS(I419&lt;=0,"No Dependents",I419&lt;=1,"One",I419&lt;=2,"Two",I419&gt;=3,"Third")</f>
        <v>Third</v>
      </c>
      <c r="K419">
        <v>786</v>
      </c>
      <c r="L419" t="str" cm="1">
        <f t="array" ref="L419">_xlfn.IFS(K419&lt;=580,"Poor",K419&lt;=670,"fair",K419&lt;=740,"Good",K419&lt;=800,"Very Good",K419&gt;=800,"Excellent")</f>
        <v>Very Good</v>
      </c>
      <c r="M419">
        <v>0</v>
      </c>
      <c r="N419" t="str">
        <f t="shared" si="25"/>
        <v>No</v>
      </c>
      <c r="O419">
        <v>0.21</v>
      </c>
      <c r="P419" t="str" cm="1">
        <f t="array" ref="P419">_xlfn.IFS(O419&lt;=0.3,"Low Risk",O419&lt;=0.4,"medium Risk",O419&lt;=0.5,"High Risk",O419&gt;0.5,"Very High Risk")</f>
        <v>Low Risk</v>
      </c>
      <c r="Q419">
        <v>591</v>
      </c>
      <c r="R419">
        <v>30898</v>
      </c>
      <c r="S419" t="str">
        <f t="shared" si="26"/>
        <v>Yes</v>
      </c>
      <c r="T419">
        <v>10721</v>
      </c>
      <c r="U419" t="str" cm="1">
        <f t="array" ref="U419">_xlfn.IFS(T419&lt;5000,"Small",T419&lt;20000,"Medium",T419&lt;35000,"Large",T419&gt;35000,"Very Large")</f>
        <v>Medium</v>
      </c>
      <c r="V419">
        <v>36</v>
      </c>
      <c r="W419">
        <f t="shared" si="27"/>
        <v>3</v>
      </c>
      <c r="X419" t="s">
        <v>42</v>
      </c>
      <c r="Y419" t="s">
        <v>32</v>
      </c>
      <c r="Z419" t="s">
        <v>33</v>
      </c>
      <c r="AA419" t="s">
        <v>34</v>
      </c>
      <c r="AB419" t="s">
        <v>35</v>
      </c>
      <c r="AC419" t="s">
        <v>44</v>
      </c>
    </row>
    <row r="420" spans="1:29" x14ac:dyDescent="0.25">
      <c r="A420">
        <v>440</v>
      </c>
      <c r="B420">
        <v>6171</v>
      </c>
      <c r="C420">
        <v>5791</v>
      </c>
      <c r="D420">
        <f t="shared" si="24"/>
        <v>11962</v>
      </c>
      <c r="E420" t="s">
        <v>29</v>
      </c>
      <c r="F420">
        <v>23</v>
      </c>
      <c r="G420" t="str" cm="1">
        <f t="array" ref="G420">_xlfn.IFS(F420&lt;25,"18-24",F420&lt;35,"25-35",F420&lt;45,"35-44",F420&lt;55,"44-54",F420&gt;=55,"55+")</f>
        <v>18-24</v>
      </c>
      <c r="H420" t="s">
        <v>41</v>
      </c>
      <c r="I420">
        <v>1</v>
      </c>
      <c r="J420" t="str" cm="1">
        <f t="array" ref="J420">_xlfn.IFS(I420&lt;=0,"No Dependents",I420&lt;=1,"One",I420&lt;=2,"Two",I420&gt;=3,"Third")</f>
        <v>One</v>
      </c>
      <c r="K420">
        <v>779</v>
      </c>
      <c r="L420" t="str" cm="1">
        <f t="array" ref="L420">_xlfn.IFS(K420&lt;=580,"Poor",K420&lt;=670,"fair",K420&lt;=740,"Good",K420&lt;=800,"Very Good",K420&gt;=800,"Excellent")</f>
        <v>Very Good</v>
      </c>
      <c r="M420">
        <v>2</v>
      </c>
      <c r="N420" t="str">
        <f t="shared" si="25"/>
        <v>Yes</v>
      </c>
      <c r="O420">
        <v>0.56999999999999995</v>
      </c>
      <c r="P420" t="str" cm="1">
        <f t="array" ref="P420">_xlfn.IFS(O420&lt;=0.3,"Low Risk",O420&lt;=0.4,"medium Risk",O420&lt;=0.5,"High Risk",O420&gt;0.5,"Very High Risk")</f>
        <v>Very High Risk</v>
      </c>
      <c r="Q420">
        <v>526</v>
      </c>
      <c r="R420">
        <v>49725</v>
      </c>
      <c r="S420" t="str">
        <f t="shared" si="26"/>
        <v>Yes</v>
      </c>
      <c r="T420">
        <v>39413</v>
      </c>
      <c r="U420" t="str" cm="1">
        <f t="array" ref="U420">_xlfn.IFS(T420&lt;5000,"Small",T420&lt;20000,"Medium",T420&lt;35000,"Large",T420&gt;35000,"Very Large")</f>
        <v>Very Large</v>
      </c>
      <c r="V420">
        <v>72</v>
      </c>
      <c r="W420">
        <f t="shared" si="27"/>
        <v>6</v>
      </c>
      <c r="X420" t="s">
        <v>50</v>
      </c>
      <c r="Y420" t="s">
        <v>32</v>
      </c>
      <c r="Z420" t="s">
        <v>39</v>
      </c>
      <c r="AA420" t="s">
        <v>40</v>
      </c>
      <c r="AB420" t="s">
        <v>43</v>
      </c>
      <c r="AC420" t="s">
        <v>36</v>
      </c>
    </row>
    <row r="421" spans="1:29" x14ac:dyDescent="0.25">
      <c r="A421">
        <v>441</v>
      </c>
      <c r="B421">
        <v>6360</v>
      </c>
      <c r="C421">
        <v>8783</v>
      </c>
      <c r="D421">
        <f t="shared" si="24"/>
        <v>15143</v>
      </c>
      <c r="E421" t="s">
        <v>29</v>
      </c>
      <c r="F421">
        <v>53</v>
      </c>
      <c r="G421" t="str" cm="1">
        <f t="array" ref="G421">_xlfn.IFS(F421&lt;25,"18-24",F421&lt;35,"25-35",F421&lt;45,"35-44",F421&lt;55,"44-54",F421&gt;=55,"55+")</f>
        <v>44-54</v>
      </c>
      <c r="H421" t="s">
        <v>30</v>
      </c>
      <c r="I421">
        <v>1</v>
      </c>
      <c r="J421" t="str" cm="1">
        <f t="array" ref="J421">_xlfn.IFS(I421&lt;=0,"No Dependents",I421&lt;=1,"One",I421&lt;=2,"Two",I421&gt;=3,"Third")</f>
        <v>One</v>
      </c>
      <c r="K421">
        <v>786</v>
      </c>
      <c r="L421" t="str" cm="1">
        <f t="array" ref="L421">_xlfn.IFS(K421&lt;=580,"Poor",K421&lt;=670,"fair",K421&lt;=740,"Good",K421&lt;=800,"Very Good",K421&gt;=800,"Excellent")</f>
        <v>Very Good</v>
      </c>
      <c r="M421">
        <v>1</v>
      </c>
      <c r="N421" t="str">
        <f t="shared" si="25"/>
        <v>Yes</v>
      </c>
      <c r="O421">
        <v>0.35</v>
      </c>
      <c r="P421" t="str" cm="1">
        <f t="array" ref="P421">_xlfn.IFS(O421&lt;=0.3,"Low Risk",O421&lt;=0.4,"medium Risk",O421&lt;=0.5,"High Risk",O421&gt;0.5,"Very High Risk")</f>
        <v>medium Risk</v>
      </c>
      <c r="Q421">
        <v>7855</v>
      </c>
      <c r="R421">
        <v>20598</v>
      </c>
      <c r="S421" t="str">
        <f t="shared" si="26"/>
        <v>Yes</v>
      </c>
      <c r="T421">
        <v>31279</v>
      </c>
      <c r="U421" t="str" cm="1">
        <f t="array" ref="U421">_xlfn.IFS(T421&lt;5000,"Small",T421&lt;20000,"Medium",T421&lt;35000,"Large",T421&gt;35000,"Very Large")</f>
        <v>Large</v>
      </c>
      <c r="V421">
        <v>36</v>
      </c>
      <c r="W421">
        <f t="shared" si="27"/>
        <v>3</v>
      </c>
      <c r="X421" t="s">
        <v>42</v>
      </c>
      <c r="Y421" t="s">
        <v>32</v>
      </c>
      <c r="Z421" t="s">
        <v>33</v>
      </c>
      <c r="AA421" t="s">
        <v>40</v>
      </c>
      <c r="AB421" t="s">
        <v>43</v>
      </c>
      <c r="AC421" t="s">
        <v>36</v>
      </c>
    </row>
    <row r="422" spans="1:29" x14ac:dyDescent="0.25">
      <c r="A422">
        <v>442</v>
      </c>
      <c r="B422">
        <v>4502</v>
      </c>
      <c r="C422">
        <v>2720</v>
      </c>
      <c r="D422">
        <f t="shared" si="24"/>
        <v>7222</v>
      </c>
      <c r="E422" t="s">
        <v>29</v>
      </c>
      <c r="F422">
        <v>31</v>
      </c>
      <c r="G422" t="str" cm="1">
        <f t="array" ref="G422">_xlfn.IFS(F422&lt;25,"18-24",F422&lt;35,"25-35",F422&lt;45,"35-44",F422&lt;55,"44-54",F422&gt;=55,"55+")</f>
        <v>25-35</v>
      </c>
      <c r="H422" t="s">
        <v>30</v>
      </c>
      <c r="I422">
        <v>3</v>
      </c>
      <c r="J422" t="str" cm="1">
        <f t="array" ref="J422">_xlfn.IFS(I422&lt;=0,"No Dependents",I422&lt;=1,"One",I422&lt;=2,"Two",I422&gt;=3,"Third")</f>
        <v>Third</v>
      </c>
      <c r="K422">
        <v>604</v>
      </c>
      <c r="L422" t="str" cm="1">
        <f t="array" ref="L422">_xlfn.IFS(K422&lt;=580,"Poor",K422&lt;=670,"fair",K422&lt;=740,"Good",K422&lt;=800,"Very Good",K422&gt;=800,"Excellent")</f>
        <v>fair</v>
      </c>
      <c r="M422">
        <v>0</v>
      </c>
      <c r="N422" t="str">
        <f t="shared" si="25"/>
        <v>No</v>
      </c>
      <c r="O422">
        <v>0.49</v>
      </c>
      <c r="P422" t="str" cm="1">
        <f t="array" ref="P422">_xlfn.IFS(O422&lt;=0.3,"Low Risk",O422&lt;=0.4,"medium Risk",O422&lt;=0.5,"High Risk",O422&gt;0.5,"Very High Risk")</f>
        <v>High Risk</v>
      </c>
      <c r="Q422">
        <v>10695</v>
      </c>
      <c r="R422">
        <v>40404</v>
      </c>
      <c r="S422" t="str">
        <f t="shared" si="26"/>
        <v>Yes</v>
      </c>
      <c r="T422">
        <v>15404</v>
      </c>
      <c r="U422" t="str" cm="1">
        <f t="array" ref="U422">_xlfn.IFS(T422&lt;5000,"Small",T422&lt;20000,"Medium",T422&lt;35000,"Large",T422&gt;35000,"Very Large")</f>
        <v>Medium</v>
      </c>
      <c r="V422">
        <v>84</v>
      </c>
      <c r="W422">
        <f t="shared" si="27"/>
        <v>7</v>
      </c>
      <c r="X422" t="s">
        <v>42</v>
      </c>
      <c r="Y422" t="s">
        <v>32</v>
      </c>
      <c r="Z422" t="s">
        <v>39</v>
      </c>
      <c r="AA422" t="s">
        <v>40</v>
      </c>
      <c r="AB422" t="s">
        <v>51</v>
      </c>
      <c r="AC422" t="s">
        <v>36</v>
      </c>
    </row>
    <row r="423" spans="1:29" x14ac:dyDescent="0.25">
      <c r="A423">
        <v>443</v>
      </c>
      <c r="B423">
        <v>19101</v>
      </c>
      <c r="C423">
        <v>8905</v>
      </c>
      <c r="D423">
        <f t="shared" si="24"/>
        <v>28006</v>
      </c>
      <c r="E423" t="s">
        <v>29</v>
      </c>
      <c r="F423">
        <v>36</v>
      </c>
      <c r="G423" t="str" cm="1">
        <f t="array" ref="G423">_xlfn.IFS(F423&lt;25,"18-24",F423&lt;35,"25-35",F423&lt;45,"35-44",F423&lt;55,"44-54",F423&gt;=55,"55+")</f>
        <v>35-44</v>
      </c>
      <c r="H423" t="s">
        <v>30</v>
      </c>
      <c r="I423">
        <v>2</v>
      </c>
      <c r="J423" t="str" cm="1">
        <f t="array" ref="J423">_xlfn.IFS(I423&lt;=0,"No Dependents",I423&lt;=1,"One",I423&lt;=2,"Two",I423&gt;=3,"Third")</f>
        <v>Two</v>
      </c>
      <c r="K423">
        <v>761</v>
      </c>
      <c r="L423" t="str" cm="1">
        <f t="array" ref="L423">_xlfn.IFS(K423&lt;=580,"Poor",K423&lt;=670,"fair",K423&lt;=740,"Good",K423&lt;=800,"Very Good",K423&gt;=800,"Excellent")</f>
        <v>Very Good</v>
      </c>
      <c r="M423">
        <v>0</v>
      </c>
      <c r="N423" t="str">
        <f t="shared" si="25"/>
        <v>No</v>
      </c>
      <c r="O423">
        <v>0.11</v>
      </c>
      <c r="P423" t="str" cm="1">
        <f t="array" ref="P423">_xlfn.IFS(O423&lt;=0.3,"Low Risk",O423&lt;=0.4,"medium Risk",O423&lt;=0.5,"High Risk",O423&gt;0.5,"Very High Risk")</f>
        <v>Low Risk</v>
      </c>
      <c r="Q423">
        <v>0</v>
      </c>
      <c r="R423">
        <v>17862</v>
      </c>
      <c r="S423" t="str">
        <f t="shared" si="26"/>
        <v>Yes</v>
      </c>
      <c r="T423">
        <v>5486</v>
      </c>
      <c r="U423" t="str" cm="1">
        <f t="array" ref="U423">_xlfn.IFS(T423&lt;5000,"Small",T423&lt;20000,"Medium",T423&lt;35000,"Large",T423&gt;35000,"Very Large")</f>
        <v>Medium</v>
      </c>
      <c r="V423">
        <v>72</v>
      </c>
      <c r="W423">
        <f t="shared" si="27"/>
        <v>6</v>
      </c>
      <c r="X423" t="s">
        <v>47</v>
      </c>
      <c r="Y423" t="s">
        <v>32</v>
      </c>
      <c r="Z423" t="s">
        <v>39</v>
      </c>
      <c r="AA423" t="s">
        <v>34</v>
      </c>
      <c r="AB423" t="s">
        <v>51</v>
      </c>
      <c r="AC423" t="s">
        <v>44</v>
      </c>
    </row>
    <row r="424" spans="1:29" x14ac:dyDescent="0.25">
      <c r="A424">
        <v>444</v>
      </c>
      <c r="B424">
        <v>7486</v>
      </c>
      <c r="C424">
        <v>9127</v>
      </c>
      <c r="D424">
        <f t="shared" si="24"/>
        <v>16613</v>
      </c>
      <c r="E424" t="s">
        <v>29</v>
      </c>
      <c r="F424">
        <v>38</v>
      </c>
      <c r="G424" t="str" cm="1">
        <f t="array" ref="G424">_xlfn.IFS(F424&lt;25,"18-24",F424&lt;35,"25-35",F424&lt;45,"35-44",F424&lt;55,"44-54",F424&gt;=55,"55+")</f>
        <v>35-44</v>
      </c>
      <c r="H424" t="s">
        <v>30</v>
      </c>
      <c r="I424">
        <v>3</v>
      </c>
      <c r="J424" t="str" cm="1">
        <f t="array" ref="J424">_xlfn.IFS(I424&lt;=0,"No Dependents",I424&lt;=1,"One",I424&lt;=2,"Two",I424&gt;=3,"Third")</f>
        <v>Third</v>
      </c>
      <c r="K424">
        <v>729</v>
      </c>
      <c r="L424" t="str" cm="1">
        <f t="array" ref="L424">_xlfn.IFS(K424&lt;=580,"Poor",K424&lt;=670,"fair",K424&lt;=740,"Good",K424&lt;=800,"Very Good",K424&gt;=800,"Excellent")</f>
        <v>Good</v>
      </c>
      <c r="M424">
        <v>4</v>
      </c>
      <c r="N424" t="str">
        <f t="shared" si="25"/>
        <v>Yes</v>
      </c>
      <c r="O424">
        <v>0.26</v>
      </c>
      <c r="P424" t="str" cm="1">
        <f t="array" ref="P424">_xlfn.IFS(O424&lt;=0.3,"Low Risk",O424&lt;=0.4,"medium Risk",O424&lt;=0.5,"High Risk",O424&gt;0.5,"Very High Risk")</f>
        <v>Low Risk</v>
      </c>
      <c r="Q424">
        <v>0</v>
      </c>
      <c r="R424">
        <v>10265</v>
      </c>
      <c r="S424" t="str">
        <f t="shared" si="26"/>
        <v>Yes</v>
      </c>
      <c r="T424">
        <v>36198</v>
      </c>
      <c r="U424" t="str" cm="1">
        <f t="array" ref="U424">_xlfn.IFS(T424&lt;5000,"Small",T424&lt;20000,"Medium",T424&lt;35000,"Large",T424&gt;35000,"Very Large")</f>
        <v>Very Large</v>
      </c>
      <c r="V424">
        <v>84</v>
      </c>
      <c r="W424">
        <f t="shared" si="27"/>
        <v>7</v>
      </c>
      <c r="X424" t="s">
        <v>47</v>
      </c>
      <c r="Y424" t="s">
        <v>32</v>
      </c>
      <c r="Z424" t="s">
        <v>39</v>
      </c>
      <c r="AA424" t="s">
        <v>40</v>
      </c>
      <c r="AB424" t="s">
        <v>42</v>
      </c>
      <c r="AC424" t="s">
        <v>44</v>
      </c>
    </row>
    <row r="425" spans="1:29" x14ac:dyDescent="0.25">
      <c r="A425">
        <v>445</v>
      </c>
      <c r="B425">
        <v>10335</v>
      </c>
      <c r="C425">
        <v>6047</v>
      </c>
      <c r="D425">
        <f t="shared" si="24"/>
        <v>16382</v>
      </c>
      <c r="E425" t="s">
        <v>29</v>
      </c>
      <c r="F425">
        <v>50</v>
      </c>
      <c r="G425" t="str" cm="1">
        <f t="array" ref="G425">_xlfn.IFS(F425&lt;25,"18-24",F425&lt;35,"25-35",F425&lt;45,"35-44",F425&lt;55,"44-54",F425&gt;=55,"55+")</f>
        <v>44-54</v>
      </c>
      <c r="H425" t="s">
        <v>41</v>
      </c>
      <c r="I425">
        <v>2</v>
      </c>
      <c r="J425" t="str" cm="1">
        <f t="array" ref="J425">_xlfn.IFS(I425&lt;=0,"No Dependents",I425&lt;=1,"One",I425&lt;=2,"Two",I425&gt;=3,"Third")</f>
        <v>Two</v>
      </c>
      <c r="K425">
        <v>721</v>
      </c>
      <c r="L425" t="str" cm="1">
        <f t="array" ref="L425">_xlfn.IFS(K425&lt;=580,"Poor",K425&lt;=670,"fair",K425&lt;=740,"Good",K425&lt;=800,"Very Good",K425&gt;=800,"Excellent")</f>
        <v>Good</v>
      </c>
      <c r="M425">
        <v>0</v>
      </c>
      <c r="N425" t="str">
        <f t="shared" si="25"/>
        <v>No</v>
      </c>
      <c r="O425">
        <v>0.41</v>
      </c>
      <c r="P425" t="str" cm="1">
        <f t="array" ref="P425">_xlfn.IFS(O425&lt;=0.3,"Low Risk",O425&lt;=0.4,"medium Risk",O425&lt;=0.5,"High Risk",O425&gt;0.5,"Very High Risk")</f>
        <v>High Risk</v>
      </c>
      <c r="Q425">
        <v>16571</v>
      </c>
      <c r="R425">
        <v>9705</v>
      </c>
      <c r="S425" t="str">
        <f t="shared" si="26"/>
        <v>Yes</v>
      </c>
      <c r="T425">
        <v>29687</v>
      </c>
      <c r="U425" t="str" cm="1">
        <f t="array" ref="U425">_xlfn.IFS(T425&lt;5000,"Small",T425&lt;20000,"Medium",T425&lt;35000,"Large",T425&gt;35000,"Very Large")</f>
        <v>Large</v>
      </c>
      <c r="V425">
        <v>72</v>
      </c>
      <c r="W425">
        <f t="shared" si="27"/>
        <v>6</v>
      </c>
      <c r="X425" t="s">
        <v>50</v>
      </c>
      <c r="Y425" t="s">
        <v>32</v>
      </c>
      <c r="Z425" t="s">
        <v>33</v>
      </c>
      <c r="AA425" t="s">
        <v>40</v>
      </c>
      <c r="AB425" t="s">
        <v>35</v>
      </c>
      <c r="AC425" t="s">
        <v>36</v>
      </c>
    </row>
    <row r="426" spans="1:29" x14ac:dyDescent="0.25">
      <c r="A426">
        <v>446</v>
      </c>
      <c r="B426">
        <v>6491</v>
      </c>
      <c r="C426">
        <v>8032</v>
      </c>
      <c r="D426">
        <f t="shared" si="24"/>
        <v>14523</v>
      </c>
      <c r="E426" t="s">
        <v>49</v>
      </c>
      <c r="F426">
        <v>30</v>
      </c>
      <c r="G426" t="str" cm="1">
        <f t="array" ref="G426">_xlfn.IFS(F426&lt;25,"18-24",F426&lt;35,"25-35",F426&lt;45,"35-44",F426&lt;55,"44-54",F426&gt;=55,"55+")</f>
        <v>25-35</v>
      </c>
      <c r="H426" t="s">
        <v>30</v>
      </c>
      <c r="I426">
        <v>1</v>
      </c>
      <c r="J426" t="str" cm="1">
        <f t="array" ref="J426">_xlfn.IFS(I426&lt;=0,"No Dependents",I426&lt;=1,"One",I426&lt;=2,"Two",I426&gt;=3,"Third")</f>
        <v>One</v>
      </c>
      <c r="K426">
        <v>658</v>
      </c>
      <c r="L426" t="str" cm="1">
        <f t="array" ref="L426">_xlfn.IFS(K426&lt;=580,"Poor",K426&lt;=670,"fair",K426&lt;=740,"Good",K426&lt;=800,"Very Good",K426&gt;=800,"Excellent")</f>
        <v>fair</v>
      </c>
      <c r="M426">
        <v>0</v>
      </c>
      <c r="N426" t="str">
        <f t="shared" si="25"/>
        <v>No</v>
      </c>
      <c r="O426">
        <v>0.24</v>
      </c>
      <c r="P426" t="str" cm="1">
        <f t="array" ref="P426">_xlfn.IFS(O426&lt;=0.3,"Low Risk",O426&lt;=0.4,"medium Risk",O426&lt;=0.5,"High Risk",O426&gt;0.5,"Very High Risk")</f>
        <v>Low Risk</v>
      </c>
      <c r="Q426">
        <v>19142</v>
      </c>
      <c r="R426">
        <v>25544</v>
      </c>
      <c r="S426" t="str">
        <f t="shared" si="26"/>
        <v>Yes</v>
      </c>
      <c r="T426">
        <v>14156</v>
      </c>
      <c r="U426" t="str" cm="1">
        <f t="array" ref="U426">_xlfn.IFS(T426&lt;5000,"Small",T426&lt;20000,"Medium",T426&lt;35000,"Large",T426&gt;35000,"Very Large")</f>
        <v>Medium</v>
      </c>
      <c r="V426">
        <v>84</v>
      </c>
      <c r="W426">
        <f t="shared" si="27"/>
        <v>7</v>
      </c>
      <c r="X426" t="s">
        <v>31</v>
      </c>
      <c r="Y426" t="s">
        <v>32</v>
      </c>
      <c r="Z426" t="s">
        <v>39</v>
      </c>
      <c r="AA426" t="s">
        <v>34</v>
      </c>
      <c r="AB426" t="s">
        <v>35</v>
      </c>
      <c r="AC426" t="s">
        <v>44</v>
      </c>
    </row>
    <row r="427" spans="1:29" x14ac:dyDescent="0.25">
      <c r="A427">
        <v>447</v>
      </c>
      <c r="B427">
        <v>13130</v>
      </c>
      <c r="C427">
        <v>0</v>
      </c>
      <c r="D427">
        <f t="shared" si="24"/>
        <v>13130</v>
      </c>
      <c r="E427" t="s">
        <v>29</v>
      </c>
      <c r="F427">
        <v>38</v>
      </c>
      <c r="G427" t="str" cm="1">
        <f t="array" ref="G427">_xlfn.IFS(F427&lt;25,"18-24",F427&lt;35,"25-35",F427&lt;45,"35-44",F427&lt;55,"44-54",F427&gt;=55,"55+")</f>
        <v>35-44</v>
      </c>
      <c r="H427" t="s">
        <v>41</v>
      </c>
      <c r="I427">
        <v>1</v>
      </c>
      <c r="J427" t="str" cm="1">
        <f t="array" ref="J427">_xlfn.IFS(I427&lt;=0,"No Dependents",I427&lt;=1,"One",I427&lt;=2,"Two",I427&gt;=3,"Third")</f>
        <v>One</v>
      </c>
      <c r="K427">
        <v>647</v>
      </c>
      <c r="L427" t="str" cm="1">
        <f t="array" ref="L427">_xlfn.IFS(K427&lt;=580,"Poor",K427&lt;=670,"fair",K427&lt;=740,"Good",K427&lt;=800,"Very Good",K427&gt;=800,"Excellent")</f>
        <v>fair</v>
      </c>
      <c r="M427">
        <v>4</v>
      </c>
      <c r="N427" t="str">
        <f t="shared" si="25"/>
        <v>Yes</v>
      </c>
      <c r="O427">
        <v>0.55000000000000004</v>
      </c>
      <c r="P427" t="str" cm="1">
        <f t="array" ref="P427">_xlfn.IFS(O427&lt;=0.3,"Low Risk",O427&lt;=0.4,"medium Risk",O427&lt;=0.5,"High Risk",O427&gt;0.5,"Very High Risk")</f>
        <v>Very High Risk</v>
      </c>
      <c r="Q427">
        <v>8625</v>
      </c>
      <c r="R427">
        <v>14298</v>
      </c>
      <c r="S427" t="str">
        <f t="shared" si="26"/>
        <v>Yes</v>
      </c>
      <c r="T427">
        <v>1567</v>
      </c>
      <c r="U427" t="str" cm="1">
        <f t="array" ref="U427">_xlfn.IFS(T427&lt;5000,"Small",T427&lt;20000,"Medium",T427&lt;35000,"Large",T427&gt;35000,"Very Large")</f>
        <v>Small</v>
      </c>
      <c r="V427">
        <v>12</v>
      </c>
      <c r="W427">
        <f t="shared" si="27"/>
        <v>1</v>
      </c>
      <c r="X427" t="s">
        <v>47</v>
      </c>
      <c r="Y427" t="s">
        <v>32</v>
      </c>
      <c r="Z427" t="s">
        <v>33</v>
      </c>
      <c r="AA427" t="s">
        <v>34</v>
      </c>
      <c r="AB427" t="s">
        <v>35</v>
      </c>
      <c r="AC427" t="s">
        <v>36</v>
      </c>
    </row>
    <row r="428" spans="1:29" x14ac:dyDescent="0.25">
      <c r="A428">
        <v>448</v>
      </c>
      <c r="B428">
        <v>9651</v>
      </c>
      <c r="C428">
        <v>6368</v>
      </c>
      <c r="D428">
        <f t="shared" si="24"/>
        <v>16019</v>
      </c>
      <c r="E428" t="s">
        <v>29</v>
      </c>
      <c r="F428">
        <v>40</v>
      </c>
      <c r="G428" t="str" cm="1">
        <f t="array" ref="G428">_xlfn.IFS(F428&lt;25,"18-24",F428&lt;35,"25-35",F428&lt;45,"35-44",F428&lt;55,"44-54",F428&gt;=55,"55+")</f>
        <v>35-44</v>
      </c>
      <c r="H428" t="s">
        <v>41</v>
      </c>
      <c r="I428">
        <v>1</v>
      </c>
      <c r="J428" t="str" cm="1">
        <f t="array" ref="J428">_xlfn.IFS(I428&lt;=0,"No Dependents",I428&lt;=1,"One",I428&lt;=2,"Two",I428&gt;=3,"Third")</f>
        <v>One</v>
      </c>
      <c r="K428">
        <v>762</v>
      </c>
      <c r="L428" t="str" cm="1">
        <f t="array" ref="L428">_xlfn.IFS(K428&lt;=580,"Poor",K428&lt;=670,"fair",K428&lt;=740,"Good",K428&lt;=800,"Very Good",K428&gt;=800,"Excellent")</f>
        <v>Very Good</v>
      </c>
      <c r="M428">
        <v>2</v>
      </c>
      <c r="N428" t="str">
        <f t="shared" si="25"/>
        <v>Yes</v>
      </c>
      <c r="O428">
        <v>0.42</v>
      </c>
      <c r="P428" t="str" cm="1">
        <f t="array" ref="P428">_xlfn.IFS(O428&lt;=0.3,"Low Risk",O428&lt;=0.4,"medium Risk",O428&lt;=0.5,"High Risk",O428&gt;0.5,"Very High Risk")</f>
        <v>High Risk</v>
      </c>
      <c r="Q428">
        <v>6431</v>
      </c>
      <c r="R428">
        <v>32670</v>
      </c>
      <c r="S428" t="str">
        <f t="shared" si="26"/>
        <v>Yes</v>
      </c>
      <c r="T428">
        <v>3179</v>
      </c>
      <c r="U428" t="str" cm="1">
        <f t="array" ref="U428">_xlfn.IFS(T428&lt;5000,"Small",T428&lt;20000,"Medium",T428&lt;35000,"Large",T428&gt;35000,"Very Large")</f>
        <v>Small</v>
      </c>
      <c r="V428">
        <v>36</v>
      </c>
      <c r="W428">
        <f t="shared" si="27"/>
        <v>3</v>
      </c>
      <c r="X428" t="s">
        <v>47</v>
      </c>
      <c r="Y428" t="s">
        <v>45</v>
      </c>
      <c r="Z428" t="s">
        <v>39</v>
      </c>
      <c r="AA428" t="s">
        <v>40</v>
      </c>
      <c r="AB428" t="s">
        <v>42</v>
      </c>
      <c r="AC428" t="s">
        <v>36</v>
      </c>
    </row>
    <row r="429" spans="1:29" x14ac:dyDescent="0.25">
      <c r="A429">
        <v>449</v>
      </c>
      <c r="B429">
        <v>3167</v>
      </c>
      <c r="C429">
        <v>1949</v>
      </c>
      <c r="D429">
        <f t="shared" si="24"/>
        <v>5116</v>
      </c>
      <c r="E429" t="s">
        <v>29</v>
      </c>
      <c r="F429">
        <v>39</v>
      </c>
      <c r="G429" t="str" cm="1">
        <f t="array" ref="G429">_xlfn.IFS(F429&lt;25,"18-24",F429&lt;35,"25-35",F429&lt;45,"35-44",F429&lt;55,"44-54",F429&gt;=55,"55+")</f>
        <v>35-44</v>
      </c>
      <c r="H429" t="s">
        <v>41</v>
      </c>
      <c r="I429">
        <v>0</v>
      </c>
      <c r="J429" t="str" cm="1">
        <f t="array" ref="J429">_xlfn.IFS(I429&lt;=0,"No Dependents",I429&lt;=1,"One",I429&lt;=2,"Two",I429&gt;=3,"Third")</f>
        <v>No Dependents</v>
      </c>
      <c r="K429">
        <v>733</v>
      </c>
      <c r="L429" t="str" cm="1">
        <f t="array" ref="L429">_xlfn.IFS(K429&lt;=580,"Poor",K429&lt;=670,"fair",K429&lt;=740,"Good",K429&lt;=800,"Very Good",K429&gt;=800,"Excellent")</f>
        <v>Good</v>
      </c>
      <c r="M429">
        <v>1</v>
      </c>
      <c r="N429" t="str">
        <f t="shared" si="25"/>
        <v>Yes</v>
      </c>
      <c r="O429">
        <v>0.14000000000000001</v>
      </c>
      <c r="P429" t="str" cm="1">
        <f t="array" ref="P429">_xlfn.IFS(O429&lt;=0.3,"Low Risk",O429&lt;=0.4,"medium Risk",O429&lt;=0.5,"High Risk",O429&gt;0.5,"Very High Risk")</f>
        <v>Low Risk</v>
      </c>
      <c r="Q429">
        <v>15926</v>
      </c>
      <c r="R429">
        <v>42471</v>
      </c>
      <c r="S429" t="str">
        <f t="shared" si="26"/>
        <v>Yes</v>
      </c>
      <c r="T429">
        <v>3019</v>
      </c>
      <c r="U429" t="str" cm="1">
        <f t="array" ref="U429">_xlfn.IFS(T429&lt;5000,"Small",T429&lt;20000,"Medium",T429&lt;35000,"Large",T429&gt;35000,"Very Large")</f>
        <v>Small</v>
      </c>
      <c r="V429">
        <v>48</v>
      </c>
      <c r="W429">
        <f t="shared" si="27"/>
        <v>4</v>
      </c>
      <c r="X429" t="s">
        <v>37</v>
      </c>
      <c r="Y429" t="s">
        <v>32</v>
      </c>
      <c r="Z429" t="s">
        <v>33</v>
      </c>
      <c r="AA429" t="s">
        <v>40</v>
      </c>
      <c r="AB429" t="s">
        <v>35</v>
      </c>
      <c r="AC429" t="s">
        <v>44</v>
      </c>
    </row>
    <row r="430" spans="1:29" x14ac:dyDescent="0.25">
      <c r="A430">
        <v>450</v>
      </c>
      <c r="B430">
        <v>3062</v>
      </c>
      <c r="C430">
        <v>6732</v>
      </c>
      <c r="D430">
        <f t="shared" si="24"/>
        <v>9794</v>
      </c>
      <c r="E430" t="s">
        <v>29</v>
      </c>
      <c r="F430">
        <v>56</v>
      </c>
      <c r="G430" t="str" cm="1">
        <f t="array" ref="G430">_xlfn.IFS(F430&lt;25,"18-24",F430&lt;35,"25-35",F430&lt;45,"35-44",F430&lt;55,"44-54",F430&gt;=55,"55+")</f>
        <v>55+</v>
      </c>
      <c r="H430" t="s">
        <v>30</v>
      </c>
      <c r="I430">
        <v>0</v>
      </c>
      <c r="J430" t="str" cm="1">
        <f t="array" ref="J430">_xlfn.IFS(I430&lt;=0,"No Dependents",I430&lt;=1,"One",I430&lt;=2,"Two",I430&gt;=3,"Third")</f>
        <v>No Dependents</v>
      </c>
      <c r="K430">
        <v>732</v>
      </c>
      <c r="L430" t="str" cm="1">
        <f t="array" ref="L430">_xlfn.IFS(K430&lt;=580,"Poor",K430&lt;=670,"fair",K430&lt;=740,"Good",K430&lt;=800,"Very Good",K430&gt;=800,"Excellent")</f>
        <v>Good</v>
      </c>
      <c r="M430">
        <v>2</v>
      </c>
      <c r="N430" t="str">
        <f t="shared" si="25"/>
        <v>Yes</v>
      </c>
      <c r="O430">
        <v>0.55000000000000004</v>
      </c>
      <c r="P430" t="str" cm="1">
        <f t="array" ref="P430">_xlfn.IFS(O430&lt;=0.3,"Low Risk",O430&lt;=0.4,"medium Risk",O430&lt;=0.5,"High Risk",O430&gt;0.5,"Very High Risk")</f>
        <v>Very High Risk</v>
      </c>
      <c r="Q430">
        <v>11704</v>
      </c>
      <c r="R430">
        <v>46104</v>
      </c>
      <c r="S430" t="str">
        <f t="shared" si="26"/>
        <v>Yes</v>
      </c>
      <c r="T430">
        <v>16919</v>
      </c>
      <c r="U430" t="str" cm="1">
        <f t="array" ref="U430">_xlfn.IFS(T430&lt;5000,"Small",T430&lt;20000,"Medium",T430&lt;35000,"Large",T430&gt;35000,"Very Large")</f>
        <v>Medium</v>
      </c>
      <c r="V430">
        <v>12</v>
      </c>
      <c r="W430">
        <f t="shared" si="27"/>
        <v>1</v>
      </c>
      <c r="X430" t="s">
        <v>47</v>
      </c>
      <c r="Y430" t="s">
        <v>38</v>
      </c>
      <c r="Z430" t="s">
        <v>39</v>
      </c>
      <c r="AA430" t="s">
        <v>34</v>
      </c>
      <c r="AB430" t="s">
        <v>43</v>
      </c>
      <c r="AC430" t="s">
        <v>36</v>
      </c>
    </row>
    <row r="431" spans="1:29" x14ac:dyDescent="0.25">
      <c r="A431">
        <v>451</v>
      </c>
      <c r="B431">
        <v>13174</v>
      </c>
      <c r="C431">
        <v>7833</v>
      </c>
      <c r="D431">
        <f t="shared" si="24"/>
        <v>21007</v>
      </c>
      <c r="E431" t="s">
        <v>48</v>
      </c>
      <c r="F431">
        <v>33</v>
      </c>
      <c r="G431" t="str" cm="1">
        <f t="array" ref="G431">_xlfn.IFS(F431&lt;25,"18-24",F431&lt;35,"25-35",F431&lt;45,"35-44",F431&lt;55,"44-54",F431&gt;=55,"55+")</f>
        <v>25-35</v>
      </c>
      <c r="H431" t="s">
        <v>41</v>
      </c>
      <c r="I431">
        <v>0</v>
      </c>
      <c r="J431" t="str" cm="1">
        <f t="array" ref="J431">_xlfn.IFS(I431&lt;=0,"No Dependents",I431&lt;=1,"One",I431&lt;=2,"Two",I431&gt;=3,"Third")</f>
        <v>No Dependents</v>
      </c>
      <c r="K431">
        <v>661</v>
      </c>
      <c r="L431" t="str" cm="1">
        <f t="array" ref="L431">_xlfn.IFS(K431&lt;=580,"Poor",K431&lt;=670,"fair",K431&lt;=740,"Good",K431&lt;=800,"Very Good",K431&gt;=800,"Excellent")</f>
        <v>fair</v>
      </c>
      <c r="M431">
        <v>3</v>
      </c>
      <c r="N431" t="str">
        <f t="shared" si="25"/>
        <v>Yes</v>
      </c>
      <c r="O431">
        <v>0.57999999999999996</v>
      </c>
      <c r="P431" t="str" cm="1">
        <f t="array" ref="P431">_xlfn.IFS(O431&lt;=0.3,"Low Risk",O431&lt;=0.4,"medium Risk",O431&lt;=0.5,"High Risk",O431&gt;0.5,"Very High Risk")</f>
        <v>Very High Risk</v>
      </c>
      <c r="Q431">
        <v>437</v>
      </c>
      <c r="R431">
        <v>40934</v>
      </c>
      <c r="S431" t="str">
        <f t="shared" si="26"/>
        <v>Yes</v>
      </c>
      <c r="T431">
        <v>20703</v>
      </c>
      <c r="U431" t="str" cm="1">
        <f t="array" ref="U431">_xlfn.IFS(T431&lt;5000,"Small",T431&lt;20000,"Medium",T431&lt;35000,"Large",T431&gt;35000,"Very Large")</f>
        <v>Large</v>
      </c>
      <c r="V431">
        <v>24</v>
      </c>
      <c r="W431">
        <f t="shared" si="27"/>
        <v>2</v>
      </c>
      <c r="X431" t="s">
        <v>31</v>
      </c>
      <c r="Y431" t="s">
        <v>38</v>
      </c>
      <c r="Z431" t="s">
        <v>39</v>
      </c>
      <c r="AA431" t="s">
        <v>40</v>
      </c>
      <c r="AB431" t="s">
        <v>35</v>
      </c>
      <c r="AC431" t="s">
        <v>36</v>
      </c>
    </row>
    <row r="432" spans="1:29" x14ac:dyDescent="0.25">
      <c r="A432">
        <v>452</v>
      </c>
      <c r="B432">
        <v>6729</v>
      </c>
      <c r="C432">
        <v>917</v>
      </c>
      <c r="D432">
        <f t="shared" si="24"/>
        <v>7646</v>
      </c>
      <c r="E432" t="s">
        <v>29</v>
      </c>
      <c r="F432">
        <v>23</v>
      </c>
      <c r="G432" t="str" cm="1">
        <f t="array" ref="G432">_xlfn.IFS(F432&lt;25,"18-24",F432&lt;35,"25-35",F432&lt;45,"35-44",F432&lt;55,"44-54",F432&gt;=55,"55+")</f>
        <v>18-24</v>
      </c>
      <c r="H432" t="s">
        <v>30</v>
      </c>
      <c r="I432">
        <v>3</v>
      </c>
      <c r="J432" t="str" cm="1">
        <f t="array" ref="J432">_xlfn.IFS(I432&lt;=0,"No Dependents",I432&lt;=1,"One",I432&lt;=2,"Two",I432&gt;=3,"Third")</f>
        <v>Third</v>
      </c>
      <c r="K432">
        <v>764</v>
      </c>
      <c r="L432" t="str" cm="1">
        <f t="array" ref="L432">_xlfn.IFS(K432&lt;=580,"Poor",K432&lt;=670,"fair",K432&lt;=740,"Good",K432&lt;=800,"Very Good",K432&gt;=800,"Excellent")</f>
        <v>Very Good</v>
      </c>
      <c r="M432">
        <v>3</v>
      </c>
      <c r="N432" t="str">
        <f t="shared" si="25"/>
        <v>Yes</v>
      </c>
      <c r="O432">
        <v>0.14000000000000001</v>
      </c>
      <c r="P432" t="str" cm="1">
        <f t="array" ref="P432">_xlfn.IFS(O432&lt;=0.3,"Low Risk",O432&lt;=0.4,"medium Risk",O432&lt;=0.5,"High Risk",O432&gt;0.5,"Very High Risk")</f>
        <v>Low Risk</v>
      </c>
      <c r="Q432">
        <v>10780</v>
      </c>
      <c r="R432">
        <v>48884</v>
      </c>
      <c r="S432" t="str">
        <f t="shared" si="26"/>
        <v>Yes</v>
      </c>
      <c r="T432">
        <v>19704</v>
      </c>
      <c r="U432" t="str" cm="1">
        <f t="array" ref="U432">_xlfn.IFS(T432&lt;5000,"Small",T432&lt;20000,"Medium",T432&lt;35000,"Large",T432&gt;35000,"Very Large")</f>
        <v>Medium</v>
      </c>
      <c r="V432">
        <v>84</v>
      </c>
      <c r="W432">
        <f t="shared" si="27"/>
        <v>7</v>
      </c>
      <c r="X432" t="s">
        <v>37</v>
      </c>
      <c r="Y432" t="s">
        <v>45</v>
      </c>
      <c r="Z432" t="s">
        <v>39</v>
      </c>
      <c r="AA432" t="s">
        <v>34</v>
      </c>
      <c r="AB432" t="s">
        <v>51</v>
      </c>
      <c r="AC432" t="s">
        <v>44</v>
      </c>
    </row>
    <row r="433" spans="1:29" x14ac:dyDescent="0.25">
      <c r="A433">
        <v>453</v>
      </c>
      <c r="B433">
        <v>11348</v>
      </c>
      <c r="C433">
        <v>3174</v>
      </c>
      <c r="D433">
        <f t="shared" si="24"/>
        <v>14522</v>
      </c>
      <c r="E433" t="s">
        <v>49</v>
      </c>
      <c r="F433">
        <v>30</v>
      </c>
      <c r="G433" t="str" cm="1">
        <f t="array" ref="G433">_xlfn.IFS(F433&lt;25,"18-24",F433&lt;35,"25-35",F433&lt;45,"35-44",F433&lt;55,"44-54",F433&gt;=55,"55+")</f>
        <v>25-35</v>
      </c>
      <c r="H433" t="s">
        <v>41</v>
      </c>
      <c r="I433">
        <v>1</v>
      </c>
      <c r="J433" t="str" cm="1">
        <f t="array" ref="J433">_xlfn.IFS(I433&lt;=0,"No Dependents",I433&lt;=1,"One",I433&lt;=2,"Two",I433&gt;=3,"Third")</f>
        <v>One</v>
      </c>
      <c r="K433">
        <v>747</v>
      </c>
      <c r="L433" t="str" cm="1">
        <f t="array" ref="L433">_xlfn.IFS(K433&lt;=580,"Poor",K433&lt;=670,"fair",K433&lt;=740,"Good",K433&lt;=800,"Very Good",K433&gt;=800,"Excellent")</f>
        <v>Very Good</v>
      </c>
      <c r="M433">
        <v>3</v>
      </c>
      <c r="N433" t="str">
        <f t="shared" si="25"/>
        <v>Yes</v>
      </c>
      <c r="O433">
        <v>0.37</v>
      </c>
      <c r="P433" t="str" cm="1">
        <f t="array" ref="P433">_xlfn.IFS(O433&lt;=0.3,"Low Risk",O433&lt;=0.4,"medium Risk",O433&lt;=0.5,"High Risk",O433&gt;0.5,"Very High Risk")</f>
        <v>medium Risk</v>
      </c>
      <c r="Q433">
        <v>17216</v>
      </c>
      <c r="R433">
        <v>6050</v>
      </c>
      <c r="S433" t="str">
        <f t="shared" si="26"/>
        <v>Yes</v>
      </c>
      <c r="T433">
        <v>19030</v>
      </c>
      <c r="U433" t="str" cm="1">
        <f t="array" ref="U433">_xlfn.IFS(T433&lt;5000,"Small",T433&lt;20000,"Medium",T433&lt;35000,"Large",T433&gt;35000,"Very Large")</f>
        <v>Medium</v>
      </c>
      <c r="V433">
        <v>60</v>
      </c>
      <c r="W433">
        <f t="shared" si="27"/>
        <v>5</v>
      </c>
      <c r="X433" t="s">
        <v>42</v>
      </c>
      <c r="Y433" t="s">
        <v>45</v>
      </c>
      <c r="Z433" t="s">
        <v>39</v>
      </c>
      <c r="AA433" t="s">
        <v>34</v>
      </c>
      <c r="AB433" t="s">
        <v>51</v>
      </c>
      <c r="AC433" t="s">
        <v>44</v>
      </c>
    </row>
    <row r="434" spans="1:29" x14ac:dyDescent="0.25">
      <c r="A434">
        <v>454</v>
      </c>
      <c r="B434">
        <v>7334</v>
      </c>
      <c r="C434">
        <v>7014</v>
      </c>
      <c r="D434">
        <f t="shared" si="24"/>
        <v>14348</v>
      </c>
      <c r="E434" t="s">
        <v>48</v>
      </c>
      <c r="F434">
        <v>58</v>
      </c>
      <c r="G434" t="str" cm="1">
        <f t="array" ref="G434">_xlfn.IFS(F434&lt;25,"18-24",F434&lt;35,"25-35",F434&lt;45,"35-44",F434&lt;55,"44-54",F434&gt;=55,"55+")</f>
        <v>55+</v>
      </c>
      <c r="H434" t="s">
        <v>30</v>
      </c>
      <c r="I434">
        <v>1</v>
      </c>
      <c r="J434" t="str" cm="1">
        <f t="array" ref="J434">_xlfn.IFS(I434&lt;=0,"No Dependents",I434&lt;=1,"One",I434&lt;=2,"Two",I434&gt;=3,"Third")</f>
        <v>One</v>
      </c>
      <c r="K434">
        <v>664</v>
      </c>
      <c r="L434" t="str" cm="1">
        <f t="array" ref="L434">_xlfn.IFS(K434&lt;=580,"Poor",K434&lt;=670,"fair",K434&lt;=740,"Good",K434&lt;=800,"Very Good",K434&gt;=800,"Excellent")</f>
        <v>fair</v>
      </c>
      <c r="M434">
        <v>4</v>
      </c>
      <c r="N434" t="str">
        <f t="shared" si="25"/>
        <v>Yes</v>
      </c>
      <c r="O434">
        <v>0.25</v>
      </c>
      <c r="P434" t="str" cm="1">
        <f t="array" ref="P434">_xlfn.IFS(O434&lt;=0.3,"Low Risk",O434&lt;=0.4,"medium Risk",O434&lt;=0.5,"High Risk",O434&gt;0.5,"Very High Risk")</f>
        <v>Low Risk</v>
      </c>
      <c r="Q434">
        <v>8988</v>
      </c>
      <c r="R434">
        <v>43952</v>
      </c>
      <c r="S434" t="str">
        <f t="shared" si="26"/>
        <v>Yes</v>
      </c>
      <c r="T434">
        <v>4909</v>
      </c>
      <c r="U434" t="str" cm="1">
        <f t="array" ref="U434">_xlfn.IFS(T434&lt;5000,"Small",T434&lt;20000,"Medium",T434&lt;35000,"Large",T434&gt;35000,"Very Large")</f>
        <v>Small</v>
      </c>
      <c r="V434">
        <v>72</v>
      </c>
      <c r="W434">
        <f t="shared" si="27"/>
        <v>6</v>
      </c>
      <c r="X434" t="s">
        <v>42</v>
      </c>
      <c r="Y434" t="s">
        <v>32</v>
      </c>
      <c r="Z434" t="s">
        <v>39</v>
      </c>
      <c r="AA434" t="s">
        <v>40</v>
      </c>
      <c r="AB434" t="s">
        <v>42</v>
      </c>
      <c r="AC434" t="s">
        <v>44</v>
      </c>
    </row>
    <row r="435" spans="1:29" x14ac:dyDescent="0.25">
      <c r="A435">
        <v>455</v>
      </c>
      <c r="B435">
        <v>10924</v>
      </c>
      <c r="C435">
        <v>89</v>
      </c>
      <c r="D435">
        <f t="shared" si="24"/>
        <v>11013</v>
      </c>
      <c r="E435" t="s">
        <v>49</v>
      </c>
      <c r="F435">
        <v>21</v>
      </c>
      <c r="G435" t="str" cm="1">
        <f t="array" ref="G435">_xlfn.IFS(F435&lt;25,"18-24",F435&lt;35,"25-35",F435&lt;45,"35-44",F435&lt;55,"44-54",F435&gt;=55,"55+")</f>
        <v>18-24</v>
      </c>
      <c r="H435" t="s">
        <v>41</v>
      </c>
      <c r="I435">
        <v>3</v>
      </c>
      <c r="J435" t="str" cm="1">
        <f t="array" ref="J435">_xlfn.IFS(I435&lt;=0,"No Dependents",I435&lt;=1,"One",I435&lt;=2,"Two",I435&gt;=3,"Third")</f>
        <v>Third</v>
      </c>
      <c r="K435">
        <v>666</v>
      </c>
      <c r="L435" t="str" cm="1">
        <f t="array" ref="L435">_xlfn.IFS(K435&lt;=580,"Poor",K435&lt;=670,"fair",K435&lt;=740,"Good",K435&lt;=800,"Very Good",K435&gt;=800,"Excellent")</f>
        <v>fair</v>
      </c>
      <c r="M435">
        <v>0</v>
      </c>
      <c r="N435" t="str">
        <f t="shared" si="25"/>
        <v>No</v>
      </c>
      <c r="O435">
        <v>0.3</v>
      </c>
      <c r="P435" t="str" cm="1">
        <f t="array" ref="P435">_xlfn.IFS(O435&lt;=0.3,"Low Risk",O435&lt;=0.4,"medium Risk",O435&lt;=0.5,"High Risk",O435&gt;0.5,"Very High Risk")</f>
        <v>Low Risk</v>
      </c>
      <c r="Q435">
        <v>0</v>
      </c>
      <c r="R435">
        <v>21034</v>
      </c>
      <c r="S435" t="str">
        <f t="shared" si="26"/>
        <v>Yes</v>
      </c>
      <c r="T435">
        <v>9015</v>
      </c>
      <c r="U435" t="str" cm="1">
        <f t="array" ref="U435">_xlfn.IFS(T435&lt;5000,"Small",T435&lt;20000,"Medium",T435&lt;35000,"Large",T435&gt;35000,"Very Large")</f>
        <v>Medium</v>
      </c>
      <c r="V435">
        <v>48</v>
      </c>
      <c r="W435">
        <f t="shared" si="27"/>
        <v>4</v>
      </c>
      <c r="X435" t="s">
        <v>37</v>
      </c>
      <c r="Y435" t="s">
        <v>32</v>
      </c>
      <c r="Z435" t="s">
        <v>39</v>
      </c>
      <c r="AA435" t="s">
        <v>34</v>
      </c>
      <c r="AB435" t="s">
        <v>35</v>
      </c>
      <c r="AC435" t="s">
        <v>44</v>
      </c>
    </row>
    <row r="436" spans="1:29" x14ac:dyDescent="0.25">
      <c r="A436">
        <v>456</v>
      </c>
      <c r="B436">
        <v>6330</v>
      </c>
      <c r="C436">
        <v>1709</v>
      </c>
      <c r="D436">
        <f t="shared" si="24"/>
        <v>8039</v>
      </c>
      <c r="E436" t="s">
        <v>46</v>
      </c>
      <c r="F436">
        <v>47</v>
      </c>
      <c r="G436" t="str" cm="1">
        <f t="array" ref="G436">_xlfn.IFS(F436&lt;25,"18-24",F436&lt;35,"25-35",F436&lt;45,"35-44",F436&lt;55,"44-54",F436&gt;=55,"55+")</f>
        <v>44-54</v>
      </c>
      <c r="H436" t="s">
        <v>41</v>
      </c>
      <c r="I436">
        <v>0</v>
      </c>
      <c r="J436" t="str" cm="1">
        <f t="array" ref="J436">_xlfn.IFS(I436&lt;=0,"No Dependents",I436&lt;=1,"One",I436&lt;=2,"Two",I436&gt;=3,"Third")</f>
        <v>No Dependents</v>
      </c>
      <c r="K436">
        <v>754</v>
      </c>
      <c r="L436" t="str" cm="1">
        <f t="array" ref="L436">_xlfn.IFS(K436&lt;=580,"Poor",K436&lt;=670,"fair",K436&lt;=740,"Good",K436&lt;=800,"Very Good",K436&gt;=800,"Excellent")</f>
        <v>Very Good</v>
      </c>
      <c r="M436">
        <v>2</v>
      </c>
      <c r="N436" t="str">
        <f t="shared" si="25"/>
        <v>Yes</v>
      </c>
      <c r="O436">
        <v>0.19</v>
      </c>
      <c r="P436" t="str" cm="1">
        <f t="array" ref="P436">_xlfn.IFS(O436&lt;=0.3,"Low Risk",O436&lt;=0.4,"medium Risk",O436&lt;=0.5,"High Risk",O436&gt;0.5,"Very High Risk")</f>
        <v>Low Risk</v>
      </c>
      <c r="Q436">
        <v>5794</v>
      </c>
      <c r="R436">
        <v>45480</v>
      </c>
      <c r="S436" t="str">
        <f t="shared" si="26"/>
        <v>Yes</v>
      </c>
      <c r="T436">
        <v>4420</v>
      </c>
      <c r="U436" t="str" cm="1">
        <f t="array" ref="U436">_xlfn.IFS(T436&lt;5000,"Small",T436&lt;20000,"Medium",T436&lt;35000,"Large",T436&gt;35000,"Very Large")</f>
        <v>Small</v>
      </c>
      <c r="V436">
        <v>12</v>
      </c>
      <c r="W436">
        <f t="shared" si="27"/>
        <v>1</v>
      </c>
      <c r="X436" t="s">
        <v>42</v>
      </c>
      <c r="Y436" t="s">
        <v>38</v>
      </c>
      <c r="Z436" t="s">
        <v>39</v>
      </c>
      <c r="AA436" t="s">
        <v>34</v>
      </c>
      <c r="AB436" t="s">
        <v>43</v>
      </c>
      <c r="AC436" t="s">
        <v>44</v>
      </c>
    </row>
    <row r="437" spans="1:29" x14ac:dyDescent="0.25">
      <c r="A437">
        <v>457</v>
      </c>
      <c r="B437">
        <v>8801</v>
      </c>
      <c r="C437">
        <v>3041</v>
      </c>
      <c r="D437">
        <f t="shared" si="24"/>
        <v>11842</v>
      </c>
      <c r="E437" t="s">
        <v>49</v>
      </c>
      <c r="F437">
        <v>28</v>
      </c>
      <c r="G437" t="str" cm="1">
        <f t="array" ref="G437">_xlfn.IFS(F437&lt;25,"18-24",F437&lt;35,"25-35",F437&lt;45,"35-44",F437&lt;55,"44-54",F437&gt;=55,"55+")</f>
        <v>25-35</v>
      </c>
      <c r="H437" t="s">
        <v>30</v>
      </c>
      <c r="I437">
        <v>3</v>
      </c>
      <c r="J437" t="str" cm="1">
        <f t="array" ref="J437">_xlfn.IFS(I437&lt;=0,"No Dependents",I437&lt;=1,"One",I437&lt;=2,"Two",I437&gt;=3,"Third")</f>
        <v>Third</v>
      </c>
      <c r="K437">
        <v>790</v>
      </c>
      <c r="L437" t="str" cm="1">
        <f t="array" ref="L437">_xlfn.IFS(K437&lt;=580,"Poor",K437&lt;=670,"fair",K437&lt;=740,"Good",K437&lt;=800,"Very Good",K437&gt;=800,"Excellent")</f>
        <v>Very Good</v>
      </c>
      <c r="M437">
        <v>1</v>
      </c>
      <c r="N437" t="str">
        <f t="shared" si="25"/>
        <v>Yes</v>
      </c>
      <c r="O437">
        <v>0.39</v>
      </c>
      <c r="P437" t="str" cm="1">
        <f t="array" ref="P437">_xlfn.IFS(O437&lt;=0.3,"Low Risk",O437&lt;=0.4,"medium Risk",O437&lt;=0.5,"High Risk",O437&gt;0.5,"Very High Risk")</f>
        <v>medium Risk</v>
      </c>
      <c r="Q437">
        <v>0</v>
      </c>
      <c r="R437">
        <v>8484</v>
      </c>
      <c r="S437" t="str">
        <f t="shared" si="26"/>
        <v>Yes</v>
      </c>
      <c r="T437">
        <v>17740</v>
      </c>
      <c r="U437" t="str" cm="1">
        <f t="array" ref="U437">_xlfn.IFS(T437&lt;5000,"Small",T437&lt;20000,"Medium",T437&lt;35000,"Large",T437&gt;35000,"Very Large")</f>
        <v>Medium</v>
      </c>
      <c r="V437">
        <v>12</v>
      </c>
      <c r="W437">
        <f t="shared" si="27"/>
        <v>1</v>
      </c>
      <c r="X437" t="s">
        <v>37</v>
      </c>
      <c r="Y437" t="s">
        <v>32</v>
      </c>
      <c r="Z437" t="s">
        <v>39</v>
      </c>
      <c r="AA437" t="s">
        <v>40</v>
      </c>
      <c r="AB437" t="s">
        <v>35</v>
      </c>
      <c r="AC437" t="s">
        <v>44</v>
      </c>
    </row>
    <row r="438" spans="1:29" x14ac:dyDescent="0.25">
      <c r="A438">
        <v>458</v>
      </c>
      <c r="B438">
        <v>6846</v>
      </c>
      <c r="C438">
        <v>105</v>
      </c>
      <c r="D438">
        <f t="shared" si="24"/>
        <v>6951</v>
      </c>
      <c r="E438" t="s">
        <v>48</v>
      </c>
      <c r="F438">
        <v>40</v>
      </c>
      <c r="G438" t="str" cm="1">
        <f t="array" ref="G438">_xlfn.IFS(F438&lt;25,"18-24",F438&lt;35,"25-35",F438&lt;45,"35-44",F438&lt;55,"44-54",F438&gt;=55,"55+")</f>
        <v>35-44</v>
      </c>
      <c r="H438" t="s">
        <v>30</v>
      </c>
      <c r="I438">
        <v>0</v>
      </c>
      <c r="J438" t="str" cm="1">
        <f t="array" ref="J438">_xlfn.IFS(I438&lt;=0,"No Dependents",I438&lt;=1,"One",I438&lt;=2,"Two",I438&gt;=3,"Third")</f>
        <v>No Dependents</v>
      </c>
      <c r="K438">
        <v>550</v>
      </c>
      <c r="L438" t="str" cm="1">
        <f t="array" ref="L438">_xlfn.IFS(K438&lt;=580,"Poor",K438&lt;=670,"fair",K438&lt;=740,"Good",K438&lt;=800,"Very Good",K438&gt;=800,"Excellent")</f>
        <v>Poor</v>
      </c>
      <c r="M438">
        <v>3</v>
      </c>
      <c r="N438" t="str">
        <f t="shared" si="25"/>
        <v>Yes</v>
      </c>
      <c r="O438">
        <v>0.57999999999999996</v>
      </c>
      <c r="P438" t="str" cm="1">
        <f t="array" ref="P438">_xlfn.IFS(O438&lt;=0.3,"Low Risk",O438&lt;=0.4,"medium Risk",O438&lt;=0.5,"High Risk",O438&gt;0.5,"Very High Risk")</f>
        <v>Very High Risk</v>
      </c>
      <c r="Q438">
        <v>16301</v>
      </c>
      <c r="R438">
        <v>31323</v>
      </c>
      <c r="S438" t="str">
        <f t="shared" si="26"/>
        <v>Yes</v>
      </c>
      <c r="T438">
        <v>0</v>
      </c>
      <c r="U438" t="str" cm="1">
        <f t="array" ref="U438">_xlfn.IFS(T438&lt;5000,"Small",T438&lt;20000,"Medium",T438&lt;35000,"Large",T438&gt;35000,"Very Large")</f>
        <v>Small</v>
      </c>
      <c r="V438">
        <v>72</v>
      </c>
      <c r="W438">
        <f t="shared" si="27"/>
        <v>6</v>
      </c>
      <c r="X438" t="s">
        <v>50</v>
      </c>
      <c r="Y438" t="s">
        <v>38</v>
      </c>
      <c r="Z438" t="s">
        <v>39</v>
      </c>
      <c r="AA438" t="s">
        <v>40</v>
      </c>
      <c r="AB438" t="s">
        <v>35</v>
      </c>
      <c r="AC438" t="s">
        <v>36</v>
      </c>
    </row>
    <row r="439" spans="1:29" x14ac:dyDescent="0.25">
      <c r="A439">
        <v>459</v>
      </c>
      <c r="B439">
        <v>8731</v>
      </c>
      <c r="C439">
        <v>9078</v>
      </c>
      <c r="D439">
        <f t="shared" si="24"/>
        <v>17809</v>
      </c>
      <c r="E439" t="s">
        <v>46</v>
      </c>
      <c r="F439">
        <v>29</v>
      </c>
      <c r="G439" t="str" cm="1">
        <f t="array" ref="G439">_xlfn.IFS(F439&lt;25,"18-24",F439&lt;35,"25-35",F439&lt;45,"35-44",F439&lt;55,"44-54",F439&gt;=55,"55+")</f>
        <v>25-35</v>
      </c>
      <c r="H439" t="s">
        <v>41</v>
      </c>
      <c r="I439">
        <v>1</v>
      </c>
      <c r="J439" t="str" cm="1">
        <f t="array" ref="J439">_xlfn.IFS(I439&lt;=0,"No Dependents",I439&lt;=1,"One",I439&lt;=2,"Two",I439&gt;=3,"Third")</f>
        <v>One</v>
      </c>
      <c r="K439">
        <v>750</v>
      </c>
      <c r="L439" t="str" cm="1">
        <f t="array" ref="L439">_xlfn.IFS(K439&lt;=580,"Poor",K439&lt;=670,"fair",K439&lt;=740,"Good",K439&lt;=800,"Very Good",K439&gt;=800,"Excellent")</f>
        <v>Very Good</v>
      </c>
      <c r="M439">
        <v>2</v>
      </c>
      <c r="N439" t="str">
        <f t="shared" si="25"/>
        <v>Yes</v>
      </c>
      <c r="O439">
        <v>0.35</v>
      </c>
      <c r="P439" t="str" cm="1">
        <f t="array" ref="P439">_xlfn.IFS(O439&lt;=0.3,"Low Risk",O439&lt;=0.4,"medium Risk",O439&lt;=0.5,"High Risk",O439&gt;0.5,"Very High Risk")</f>
        <v>medium Risk</v>
      </c>
      <c r="Q439">
        <v>684</v>
      </c>
      <c r="R439">
        <v>20796</v>
      </c>
      <c r="S439" t="str">
        <f t="shared" si="26"/>
        <v>Yes</v>
      </c>
      <c r="T439">
        <v>20465</v>
      </c>
      <c r="U439" t="str" cm="1">
        <f t="array" ref="U439">_xlfn.IFS(T439&lt;5000,"Small",T439&lt;20000,"Medium",T439&lt;35000,"Large",T439&gt;35000,"Very Large")</f>
        <v>Large</v>
      </c>
      <c r="V439">
        <v>12</v>
      </c>
      <c r="W439">
        <f t="shared" si="27"/>
        <v>1</v>
      </c>
      <c r="X439" t="s">
        <v>31</v>
      </c>
      <c r="Y439" t="s">
        <v>45</v>
      </c>
      <c r="Z439" t="s">
        <v>39</v>
      </c>
      <c r="AA439" t="s">
        <v>34</v>
      </c>
      <c r="AB439" t="s">
        <v>35</v>
      </c>
      <c r="AC439" t="s">
        <v>44</v>
      </c>
    </row>
    <row r="440" spans="1:29" x14ac:dyDescent="0.25">
      <c r="A440">
        <v>460</v>
      </c>
      <c r="B440">
        <v>17368</v>
      </c>
      <c r="C440">
        <v>8619</v>
      </c>
      <c r="D440">
        <f t="shared" si="24"/>
        <v>25987</v>
      </c>
      <c r="E440" t="s">
        <v>46</v>
      </c>
      <c r="F440">
        <v>26</v>
      </c>
      <c r="G440" t="str" cm="1">
        <f t="array" ref="G440">_xlfn.IFS(F440&lt;25,"18-24",F440&lt;35,"25-35",F440&lt;45,"35-44",F440&lt;55,"44-54",F440&gt;=55,"55+")</f>
        <v>25-35</v>
      </c>
      <c r="H440" t="s">
        <v>30</v>
      </c>
      <c r="I440">
        <v>2</v>
      </c>
      <c r="J440" t="str" cm="1">
        <f t="array" ref="J440">_xlfn.IFS(I440&lt;=0,"No Dependents",I440&lt;=1,"One",I440&lt;=2,"Two",I440&gt;=3,"Third")</f>
        <v>Two</v>
      </c>
      <c r="K440">
        <v>630</v>
      </c>
      <c r="L440" t="str" cm="1">
        <f t="array" ref="L440">_xlfn.IFS(K440&lt;=580,"Poor",K440&lt;=670,"fair",K440&lt;=740,"Good",K440&lt;=800,"Very Good",K440&gt;=800,"Excellent")</f>
        <v>fair</v>
      </c>
      <c r="M440">
        <v>3</v>
      </c>
      <c r="N440" t="str">
        <f t="shared" si="25"/>
        <v>Yes</v>
      </c>
      <c r="O440">
        <v>0.35</v>
      </c>
      <c r="P440" t="str" cm="1">
        <f t="array" ref="P440">_xlfn.IFS(O440&lt;=0.3,"Low Risk",O440&lt;=0.4,"medium Risk",O440&lt;=0.5,"High Risk",O440&gt;0.5,"Very High Risk")</f>
        <v>medium Risk</v>
      </c>
      <c r="Q440">
        <v>4233</v>
      </c>
      <c r="R440">
        <v>0</v>
      </c>
      <c r="S440" t="str">
        <f t="shared" si="26"/>
        <v>No</v>
      </c>
      <c r="T440">
        <v>5131</v>
      </c>
      <c r="U440" t="str" cm="1">
        <f t="array" ref="U440">_xlfn.IFS(T440&lt;5000,"Small",T440&lt;20000,"Medium",T440&lt;35000,"Large",T440&gt;35000,"Very Large")</f>
        <v>Medium</v>
      </c>
      <c r="V440">
        <v>24</v>
      </c>
      <c r="W440">
        <f t="shared" si="27"/>
        <v>2</v>
      </c>
      <c r="X440" t="s">
        <v>31</v>
      </c>
      <c r="Y440" t="s">
        <v>32</v>
      </c>
      <c r="Z440" t="s">
        <v>39</v>
      </c>
      <c r="AA440" t="s">
        <v>40</v>
      </c>
      <c r="AB440" t="s">
        <v>35</v>
      </c>
      <c r="AC440" t="s">
        <v>36</v>
      </c>
    </row>
    <row r="441" spans="1:29" x14ac:dyDescent="0.25">
      <c r="A441">
        <v>461</v>
      </c>
      <c r="B441">
        <v>19337</v>
      </c>
      <c r="C441">
        <v>1895</v>
      </c>
      <c r="D441">
        <f t="shared" si="24"/>
        <v>21232</v>
      </c>
      <c r="E441" t="s">
        <v>46</v>
      </c>
      <c r="F441">
        <v>45</v>
      </c>
      <c r="G441" t="str" cm="1">
        <f t="array" ref="G441">_xlfn.IFS(F441&lt;25,"18-24",F441&lt;35,"25-35",F441&lt;45,"35-44",F441&lt;55,"44-54",F441&gt;=55,"55+")</f>
        <v>44-54</v>
      </c>
      <c r="H441" t="s">
        <v>41</v>
      </c>
      <c r="I441">
        <v>0</v>
      </c>
      <c r="J441" t="str" cm="1">
        <f t="array" ref="J441">_xlfn.IFS(I441&lt;=0,"No Dependents",I441&lt;=1,"One",I441&lt;=2,"Two",I441&gt;=3,"Third")</f>
        <v>No Dependents</v>
      </c>
      <c r="K441">
        <v>615</v>
      </c>
      <c r="L441" t="str" cm="1">
        <f t="array" ref="L441">_xlfn.IFS(K441&lt;=580,"Poor",K441&lt;=670,"fair",K441&lt;=740,"Good",K441&lt;=800,"Very Good",K441&gt;=800,"Excellent")</f>
        <v>fair</v>
      </c>
      <c r="M441">
        <v>3</v>
      </c>
      <c r="N441" t="str">
        <f t="shared" si="25"/>
        <v>Yes</v>
      </c>
      <c r="O441">
        <v>0.41</v>
      </c>
      <c r="P441" t="str" cm="1">
        <f t="array" ref="P441">_xlfn.IFS(O441&lt;=0.3,"Low Risk",O441&lt;=0.4,"medium Risk",O441&lt;=0.5,"High Risk",O441&gt;0.5,"Very High Risk")</f>
        <v>High Risk</v>
      </c>
      <c r="Q441">
        <v>16961</v>
      </c>
      <c r="R441">
        <v>21827</v>
      </c>
      <c r="S441" t="str">
        <f t="shared" si="26"/>
        <v>Yes</v>
      </c>
      <c r="T441">
        <v>11652</v>
      </c>
      <c r="U441" t="str" cm="1">
        <f t="array" ref="U441">_xlfn.IFS(T441&lt;5000,"Small",T441&lt;20000,"Medium",T441&lt;35000,"Large",T441&gt;35000,"Very Large")</f>
        <v>Medium</v>
      </c>
      <c r="V441">
        <v>12</v>
      </c>
      <c r="W441">
        <f t="shared" si="27"/>
        <v>1</v>
      </c>
      <c r="X441" t="s">
        <v>42</v>
      </c>
      <c r="Y441" t="s">
        <v>32</v>
      </c>
      <c r="Z441" t="s">
        <v>39</v>
      </c>
      <c r="AA441" t="s">
        <v>34</v>
      </c>
      <c r="AB441" t="s">
        <v>35</v>
      </c>
      <c r="AC441" t="s">
        <v>36</v>
      </c>
    </row>
    <row r="442" spans="1:29" x14ac:dyDescent="0.25">
      <c r="A442">
        <v>462</v>
      </c>
      <c r="B442">
        <v>0</v>
      </c>
      <c r="C442">
        <v>6090</v>
      </c>
      <c r="D442">
        <f t="shared" si="24"/>
        <v>6090</v>
      </c>
      <c r="E442" t="s">
        <v>46</v>
      </c>
      <c r="F442">
        <v>40</v>
      </c>
      <c r="G442" t="str" cm="1">
        <f t="array" ref="G442">_xlfn.IFS(F442&lt;25,"18-24",F442&lt;35,"25-35",F442&lt;45,"35-44",F442&lt;55,"44-54",F442&gt;=55,"55+")</f>
        <v>35-44</v>
      </c>
      <c r="H442" t="s">
        <v>30</v>
      </c>
      <c r="I442">
        <v>1</v>
      </c>
      <c r="J442" t="str" cm="1">
        <f t="array" ref="J442">_xlfn.IFS(I442&lt;=0,"No Dependents",I442&lt;=1,"One",I442&lt;=2,"Two",I442&gt;=3,"Third")</f>
        <v>One</v>
      </c>
      <c r="K442">
        <v>568</v>
      </c>
      <c r="L442" t="str" cm="1">
        <f t="array" ref="L442">_xlfn.IFS(K442&lt;=580,"Poor",K442&lt;=670,"fair",K442&lt;=740,"Good",K442&lt;=800,"Very Good",K442&gt;=800,"Excellent")</f>
        <v>Poor</v>
      </c>
      <c r="M442">
        <v>1</v>
      </c>
      <c r="N442" t="str">
        <f t="shared" si="25"/>
        <v>Yes</v>
      </c>
      <c r="O442">
        <v>0.27</v>
      </c>
      <c r="P442" t="str" cm="1">
        <f t="array" ref="P442">_xlfn.IFS(O442&lt;=0.3,"Low Risk",O442&lt;=0.4,"medium Risk",O442&lt;=0.5,"High Risk",O442&gt;0.5,"Very High Risk")</f>
        <v>Low Risk</v>
      </c>
      <c r="Q442">
        <v>12997</v>
      </c>
      <c r="R442">
        <v>35361</v>
      </c>
      <c r="S442" t="str">
        <f t="shared" si="26"/>
        <v>Yes</v>
      </c>
      <c r="T442">
        <v>22507</v>
      </c>
      <c r="U442" t="str" cm="1">
        <f t="array" ref="U442">_xlfn.IFS(T442&lt;5000,"Small",T442&lt;20000,"Medium",T442&lt;35000,"Large",T442&gt;35000,"Very Large")</f>
        <v>Large</v>
      </c>
      <c r="V442">
        <v>60</v>
      </c>
      <c r="W442">
        <f t="shared" si="27"/>
        <v>5</v>
      </c>
      <c r="X442" t="s">
        <v>42</v>
      </c>
      <c r="Y442" t="s">
        <v>32</v>
      </c>
      <c r="Z442" t="s">
        <v>39</v>
      </c>
      <c r="AA442" t="s">
        <v>34</v>
      </c>
      <c r="AB442" t="s">
        <v>35</v>
      </c>
      <c r="AC442" t="s">
        <v>36</v>
      </c>
    </row>
    <row r="443" spans="1:29" x14ac:dyDescent="0.25">
      <c r="A443">
        <v>463</v>
      </c>
      <c r="B443">
        <v>9056</v>
      </c>
      <c r="C443">
        <v>8508</v>
      </c>
      <c r="D443">
        <f t="shared" si="24"/>
        <v>17564</v>
      </c>
      <c r="E443" t="s">
        <v>46</v>
      </c>
      <c r="F443">
        <v>48</v>
      </c>
      <c r="G443" t="str" cm="1">
        <f t="array" ref="G443">_xlfn.IFS(F443&lt;25,"18-24",F443&lt;35,"25-35",F443&lt;45,"35-44",F443&lt;55,"44-54",F443&gt;=55,"55+")</f>
        <v>44-54</v>
      </c>
      <c r="H443" t="s">
        <v>30</v>
      </c>
      <c r="I443">
        <v>1</v>
      </c>
      <c r="J443" t="str" cm="1">
        <f t="array" ref="J443">_xlfn.IFS(I443&lt;=0,"No Dependents",I443&lt;=1,"One",I443&lt;=2,"Two",I443&gt;=3,"Third")</f>
        <v>One</v>
      </c>
      <c r="K443">
        <v>760</v>
      </c>
      <c r="L443" t="str" cm="1">
        <f t="array" ref="L443">_xlfn.IFS(K443&lt;=580,"Poor",K443&lt;=670,"fair",K443&lt;=740,"Good",K443&lt;=800,"Very Good",K443&gt;=800,"Excellent")</f>
        <v>Very Good</v>
      </c>
      <c r="M443">
        <v>4</v>
      </c>
      <c r="N443" t="str">
        <f t="shared" si="25"/>
        <v>Yes</v>
      </c>
      <c r="O443">
        <v>0.53</v>
      </c>
      <c r="P443" t="str" cm="1">
        <f t="array" ref="P443">_xlfn.IFS(O443&lt;=0.3,"Low Risk",O443&lt;=0.4,"medium Risk",O443&lt;=0.5,"High Risk",O443&gt;0.5,"Very High Risk")</f>
        <v>Very High Risk</v>
      </c>
      <c r="Q443">
        <v>8007</v>
      </c>
      <c r="R443">
        <v>10315</v>
      </c>
      <c r="S443" t="str">
        <f t="shared" si="26"/>
        <v>Yes</v>
      </c>
      <c r="T443">
        <v>24806</v>
      </c>
      <c r="U443" t="str" cm="1">
        <f t="array" ref="U443">_xlfn.IFS(T443&lt;5000,"Small",T443&lt;20000,"Medium",T443&lt;35000,"Large",T443&gt;35000,"Very Large")</f>
        <v>Large</v>
      </c>
      <c r="V443">
        <v>60</v>
      </c>
      <c r="W443">
        <f t="shared" si="27"/>
        <v>5</v>
      </c>
      <c r="X443" t="s">
        <v>42</v>
      </c>
      <c r="Y443" t="s">
        <v>32</v>
      </c>
      <c r="Z443" t="s">
        <v>39</v>
      </c>
      <c r="AA443" t="s">
        <v>40</v>
      </c>
      <c r="AB443" t="s">
        <v>35</v>
      </c>
      <c r="AC443" t="s">
        <v>36</v>
      </c>
    </row>
    <row r="444" spans="1:29" x14ac:dyDescent="0.25">
      <c r="A444">
        <v>464</v>
      </c>
      <c r="B444">
        <v>13516</v>
      </c>
      <c r="C444">
        <v>0</v>
      </c>
      <c r="D444">
        <f t="shared" si="24"/>
        <v>13516</v>
      </c>
      <c r="E444" t="s">
        <v>29</v>
      </c>
      <c r="F444">
        <v>53</v>
      </c>
      <c r="G444" t="str" cm="1">
        <f t="array" ref="G444">_xlfn.IFS(F444&lt;25,"18-24",F444&lt;35,"25-35",F444&lt;45,"35-44",F444&lt;55,"44-54",F444&gt;=55,"55+")</f>
        <v>44-54</v>
      </c>
      <c r="H444" t="s">
        <v>30</v>
      </c>
      <c r="I444">
        <v>2</v>
      </c>
      <c r="J444" t="str" cm="1">
        <f t="array" ref="J444">_xlfn.IFS(I444&lt;=0,"No Dependents",I444&lt;=1,"One",I444&lt;=2,"Two",I444&gt;=3,"Third")</f>
        <v>Two</v>
      </c>
      <c r="K444">
        <v>797</v>
      </c>
      <c r="L444" t="str" cm="1">
        <f t="array" ref="L444">_xlfn.IFS(K444&lt;=580,"Poor",K444&lt;=670,"fair",K444&lt;=740,"Good",K444&lt;=800,"Very Good",K444&gt;=800,"Excellent")</f>
        <v>Very Good</v>
      </c>
      <c r="M444">
        <v>0</v>
      </c>
      <c r="N444" t="str">
        <f t="shared" si="25"/>
        <v>No</v>
      </c>
      <c r="O444">
        <v>0.32</v>
      </c>
      <c r="P444" t="str" cm="1">
        <f t="array" ref="P444">_xlfn.IFS(O444&lt;=0.3,"Low Risk",O444&lt;=0.4,"medium Risk",O444&lt;=0.5,"High Risk",O444&gt;0.5,"Very High Risk")</f>
        <v>medium Risk</v>
      </c>
      <c r="Q444">
        <v>16611</v>
      </c>
      <c r="R444">
        <v>47968</v>
      </c>
      <c r="S444" t="str">
        <f t="shared" si="26"/>
        <v>Yes</v>
      </c>
      <c r="T444">
        <v>20171</v>
      </c>
      <c r="U444" t="str" cm="1">
        <f t="array" ref="U444">_xlfn.IFS(T444&lt;5000,"Small",T444&lt;20000,"Medium",T444&lt;35000,"Large",T444&gt;35000,"Very Large")</f>
        <v>Large</v>
      </c>
      <c r="V444">
        <v>84</v>
      </c>
      <c r="W444">
        <f t="shared" si="27"/>
        <v>7</v>
      </c>
      <c r="X444" t="s">
        <v>47</v>
      </c>
      <c r="Y444" t="s">
        <v>32</v>
      </c>
      <c r="Z444" t="s">
        <v>39</v>
      </c>
      <c r="AA444" t="s">
        <v>34</v>
      </c>
      <c r="AB444" t="s">
        <v>42</v>
      </c>
      <c r="AC444" t="s">
        <v>44</v>
      </c>
    </row>
    <row r="445" spans="1:29" x14ac:dyDescent="0.25">
      <c r="A445">
        <v>465</v>
      </c>
      <c r="B445">
        <v>13493</v>
      </c>
      <c r="C445">
        <v>634</v>
      </c>
      <c r="D445">
        <f t="shared" si="24"/>
        <v>14127</v>
      </c>
      <c r="E445" t="s">
        <v>29</v>
      </c>
      <c r="F445">
        <v>57</v>
      </c>
      <c r="G445" t="str" cm="1">
        <f t="array" ref="G445">_xlfn.IFS(F445&lt;25,"18-24",F445&lt;35,"25-35",F445&lt;45,"35-44",F445&lt;55,"44-54",F445&gt;=55,"55+")</f>
        <v>55+</v>
      </c>
      <c r="H445" t="s">
        <v>30</v>
      </c>
      <c r="I445">
        <v>1</v>
      </c>
      <c r="J445" t="str" cm="1">
        <f t="array" ref="J445">_xlfn.IFS(I445&lt;=0,"No Dependents",I445&lt;=1,"One",I445&lt;=2,"Two",I445&gt;=3,"Third")</f>
        <v>One</v>
      </c>
      <c r="K445">
        <v>684</v>
      </c>
      <c r="L445" t="str" cm="1">
        <f t="array" ref="L445">_xlfn.IFS(K445&lt;=580,"Poor",K445&lt;=670,"fair",K445&lt;=740,"Good",K445&lt;=800,"Very Good",K445&gt;=800,"Excellent")</f>
        <v>Good</v>
      </c>
      <c r="M445">
        <v>4</v>
      </c>
      <c r="N445" t="str">
        <f t="shared" si="25"/>
        <v>Yes</v>
      </c>
      <c r="O445">
        <v>0.2</v>
      </c>
      <c r="P445" t="str" cm="1">
        <f t="array" ref="P445">_xlfn.IFS(O445&lt;=0.3,"Low Risk",O445&lt;=0.4,"medium Risk",O445&lt;=0.5,"High Risk",O445&gt;0.5,"Very High Risk")</f>
        <v>Low Risk</v>
      </c>
      <c r="Q445">
        <v>2328</v>
      </c>
      <c r="R445">
        <v>26519</v>
      </c>
      <c r="S445" t="str">
        <f t="shared" si="26"/>
        <v>Yes</v>
      </c>
      <c r="T445">
        <v>21593</v>
      </c>
      <c r="U445" t="str" cm="1">
        <f t="array" ref="U445">_xlfn.IFS(T445&lt;5000,"Small",T445&lt;20000,"Medium",T445&lt;35000,"Large",T445&gt;35000,"Very Large")</f>
        <v>Large</v>
      </c>
      <c r="V445">
        <v>84</v>
      </c>
      <c r="W445">
        <f t="shared" si="27"/>
        <v>7</v>
      </c>
      <c r="X445" t="s">
        <v>42</v>
      </c>
      <c r="Y445" t="s">
        <v>45</v>
      </c>
      <c r="Z445" t="s">
        <v>33</v>
      </c>
      <c r="AA445" t="s">
        <v>34</v>
      </c>
      <c r="AB445" t="s">
        <v>48</v>
      </c>
      <c r="AC445" t="s">
        <v>44</v>
      </c>
    </row>
    <row r="446" spans="1:29" x14ac:dyDescent="0.25">
      <c r="A446">
        <v>466</v>
      </c>
      <c r="B446">
        <v>3542</v>
      </c>
      <c r="C446">
        <v>1925</v>
      </c>
      <c r="D446">
        <f t="shared" si="24"/>
        <v>5467</v>
      </c>
      <c r="E446" t="s">
        <v>29</v>
      </c>
      <c r="F446">
        <v>29</v>
      </c>
      <c r="G446" t="str" cm="1">
        <f t="array" ref="G446">_xlfn.IFS(F446&lt;25,"18-24",F446&lt;35,"25-35",F446&lt;45,"35-44",F446&lt;55,"44-54",F446&gt;=55,"55+")</f>
        <v>25-35</v>
      </c>
      <c r="H446" t="s">
        <v>41</v>
      </c>
      <c r="I446">
        <v>1</v>
      </c>
      <c r="J446" t="str" cm="1">
        <f t="array" ref="J446">_xlfn.IFS(I446&lt;=0,"No Dependents",I446&lt;=1,"One",I446&lt;=2,"Two",I446&gt;=3,"Third")</f>
        <v>One</v>
      </c>
      <c r="K446">
        <v>550</v>
      </c>
      <c r="L446" t="str" cm="1">
        <f t="array" ref="L446">_xlfn.IFS(K446&lt;=580,"Poor",K446&lt;=670,"fair",K446&lt;=740,"Good",K446&lt;=800,"Very Good",K446&gt;=800,"Excellent")</f>
        <v>Poor</v>
      </c>
      <c r="M446">
        <v>2</v>
      </c>
      <c r="N446" t="str">
        <f t="shared" si="25"/>
        <v>Yes</v>
      </c>
      <c r="O446">
        <v>0.2</v>
      </c>
      <c r="P446" t="str" cm="1">
        <f t="array" ref="P446">_xlfn.IFS(O446&lt;=0.3,"Low Risk",O446&lt;=0.4,"medium Risk",O446&lt;=0.5,"High Risk",O446&gt;0.5,"Very High Risk")</f>
        <v>Low Risk</v>
      </c>
      <c r="Q446">
        <v>19115</v>
      </c>
      <c r="R446">
        <v>9107</v>
      </c>
      <c r="S446" t="str">
        <f t="shared" si="26"/>
        <v>Yes</v>
      </c>
      <c r="T446">
        <v>10470</v>
      </c>
      <c r="U446" t="str" cm="1">
        <f t="array" ref="U446">_xlfn.IFS(T446&lt;5000,"Small",T446&lt;20000,"Medium",T446&lt;35000,"Large",T446&gt;35000,"Very Large")</f>
        <v>Medium</v>
      </c>
      <c r="V446">
        <v>48</v>
      </c>
      <c r="W446">
        <f t="shared" si="27"/>
        <v>4</v>
      </c>
      <c r="X446" t="s">
        <v>37</v>
      </c>
      <c r="Y446" t="s">
        <v>45</v>
      </c>
      <c r="Z446" t="s">
        <v>39</v>
      </c>
      <c r="AA446" t="s">
        <v>40</v>
      </c>
      <c r="AB446" t="s">
        <v>51</v>
      </c>
      <c r="AC446" t="s">
        <v>44</v>
      </c>
    </row>
    <row r="447" spans="1:29" x14ac:dyDescent="0.25">
      <c r="A447">
        <v>467</v>
      </c>
      <c r="B447">
        <v>15964</v>
      </c>
      <c r="C447">
        <v>2056</v>
      </c>
      <c r="D447">
        <f t="shared" si="24"/>
        <v>18020</v>
      </c>
      <c r="E447" t="s">
        <v>29</v>
      </c>
      <c r="F447">
        <v>38</v>
      </c>
      <c r="G447" t="str" cm="1">
        <f t="array" ref="G447">_xlfn.IFS(F447&lt;25,"18-24",F447&lt;35,"25-35",F447&lt;45,"35-44",F447&lt;55,"44-54",F447&gt;=55,"55+")</f>
        <v>35-44</v>
      </c>
      <c r="H447" t="s">
        <v>30</v>
      </c>
      <c r="I447">
        <v>0</v>
      </c>
      <c r="J447" t="str" cm="1">
        <f t="array" ref="J447">_xlfn.IFS(I447&lt;=0,"No Dependents",I447&lt;=1,"One",I447&lt;=2,"Two",I447&gt;=3,"Third")</f>
        <v>No Dependents</v>
      </c>
      <c r="K447">
        <v>740</v>
      </c>
      <c r="L447" t="str" cm="1">
        <f t="array" ref="L447">_xlfn.IFS(K447&lt;=580,"Poor",K447&lt;=670,"fair",K447&lt;=740,"Good",K447&lt;=800,"Very Good",K447&gt;=800,"Excellent")</f>
        <v>Good</v>
      </c>
      <c r="M447">
        <v>4</v>
      </c>
      <c r="N447" t="str">
        <f t="shared" si="25"/>
        <v>Yes</v>
      </c>
      <c r="O447">
        <v>0.48</v>
      </c>
      <c r="P447" t="str" cm="1">
        <f t="array" ref="P447">_xlfn.IFS(O447&lt;=0.3,"Low Risk",O447&lt;=0.4,"medium Risk",O447&lt;=0.5,"High Risk",O447&gt;0.5,"Very High Risk")</f>
        <v>High Risk</v>
      </c>
      <c r="Q447">
        <v>9019</v>
      </c>
      <c r="R447">
        <v>3869</v>
      </c>
      <c r="S447" t="str">
        <f t="shared" si="26"/>
        <v>Yes</v>
      </c>
      <c r="T447">
        <v>22326</v>
      </c>
      <c r="U447" t="str" cm="1">
        <f t="array" ref="U447">_xlfn.IFS(T447&lt;5000,"Small",T447&lt;20000,"Medium",T447&lt;35000,"Large",T447&gt;35000,"Very Large")</f>
        <v>Large</v>
      </c>
      <c r="V447">
        <v>24</v>
      </c>
      <c r="W447">
        <f t="shared" si="27"/>
        <v>2</v>
      </c>
      <c r="X447" t="s">
        <v>42</v>
      </c>
      <c r="Y447" t="s">
        <v>32</v>
      </c>
      <c r="Z447" t="s">
        <v>39</v>
      </c>
      <c r="AA447" t="s">
        <v>40</v>
      </c>
      <c r="AB447" t="s">
        <v>35</v>
      </c>
      <c r="AC447" t="s">
        <v>36</v>
      </c>
    </row>
    <row r="448" spans="1:29" x14ac:dyDescent="0.25">
      <c r="A448">
        <v>469</v>
      </c>
      <c r="B448">
        <v>8313</v>
      </c>
      <c r="C448">
        <v>3144</v>
      </c>
      <c r="D448">
        <f t="shared" si="24"/>
        <v>11457</v>
      </c>
      <c r="E448" t="s">
        <v>29</v>
      </c>
      <c r="F448">
        <v>22</v>
      </c>
      <c r="G448" t="str" cm="1">
        <f t="array" ref="G448">_xlfn.IFS(F448&lt;25,"18-24",F448&lt;35,"25-35",F448&lt;45,"35-44",F448&lt;55,"44-54",F448&gt;=55,"55+")</f>
        <v>18-24</v>
      </c>
      <c r="H448" t="s">
        <v>30</v>
      </c>
      <c r="I448">
        <v>2</v>
      </c>
      <c r="J448" t="str" cm="1">
        <f t="array" ref="J448">_xlfn.IFS(I448&lt;=0,"No Dependents",I448&lt;=1,"One",I448&lt;=2,"Two",I448&gt;=3,"Third")</f>
        <v>Two</v>
      </c>
      <c r="K448">
        <v>591</v>
      </c>
      <c r="L448" t="str" cm="1">
        <f t="array" ref="L448">_xlfn.IFS(K448&lt;=580,"Poor",K448&lt;=670,"fair",K448&lt;=740,"Good",K448&lt;=800,"Very Good",K448&gt;=800,"Excellent")</f>
        <v>fair</v>
      </c>
      <c r="M448">
        <v>2</v>
      </c>
      <c r="N448" t="str">
        <f t="shared" si="25"/>
        <v>Yes</v>
      </c>
      <c r="O448">
        <v>0.48</v>
      </c>
      <c r="P448" t="str" cm="1">
        <f t="array" ref="P448">_xlfn.IFS(O448&lt;=0.3,"Low Risk",O448&lt;=0.4,"medium Risk",O448&lt;=0.5,"High Risk",O448&gt;0.5,"Very High Risk")</f>
        <v>High Risk</v>
      </c>
      <c r="Q448">
        <v>9255</v>
      </c>
      <c r="R448">
        <v>27370</v>
      </c>
      <c r="S448" t="str">
        <f t="shared" si="26"/>
        <v>Yes</v>
      </c>
      <c r="T448">
        <v>38304</v>
      </c>
      <c r="U448" t="str" cm="1">
        <f t="array" ref="U448">_xlfn.IFS(T448&lt;5000,"Small",T448&lt;20000,"Medium",T448&lt;35000,"Large",T448&gt;35000,"Very Large")</f>
        <v>Very Large</v>
      </c>
      <c r="V448">
        <v>72</v>
      </c>
      <c r="W448">
        <f t="shared" si="27"/>
        <v>6</v>
      </c>
      <c r="X448" t="s">
        <v>50</v>
      </c>
      <c r="Y448" t="s">
        <v>38</v>
      </c>
      <c r="Z448" t="s">
        <v>39</v>
      </c>
      <c r="AA448" t="s">
        <v>40</v>
      </c>
      <c r="AB448" t="s">
        <v>51</v>
      </c>
      <c r="AC448" t="s">
        <v>36</v>
      </c>
    </row>
    <row r="449" spans="1:29" x14ac:dyDescent="0.25">
      <c r="A449">
        <v>470</v>
      </c>
      <c r="B449">
        <v>19924</v>
      </c>
      <c r="C449">
        <v>9631</v>
      </c>
      <c r="D449">
        <f t="shared" si="24"/>
        <v>29555</v>
      </c>
      <c r="E449" t="s">
        <v>46</v>
      </c>
      <c r="F449">
        <v>58</v>
      </c>
      <c r="G449" t="str" cm="1">
        <f t="array" ref="G449">_xlfn.IFS(F449&lt;25,"18-24",F449&lt;35,"25-35",F449&lt;45,"35-44",F449&lt;55,"44-54",F449&gt;=55,"55+")</f>
        <v>55+</v>
      </c>
      <c r="H449" t="s">
        <v>41</v>
      </c>
      <c r="I449">
        <v>2</v>
      </c>
      <c r="J449" t="str" cm="1">
        <f t="array" ref="J449">_xlfn.IFS(I449&lt;=0,"No Dependents",I449&lt;=1,"One",I449&lt;=2,"Two",I449&gt;=3,"Third")</f>
        <v>Two</v>
      </c>
      <c r="K449">
        <v>550</v>
      </c>
      <c r="L449" t="str" cm="1">
        <f t="array" ref="L449">_xlfn.IFS(K449&lt;=580,"Poor",K449&lt;=670,"fair",K449&lt;=740,"Good",K449&lt;=800,"Very Good",K449&gt;=800,"Excellent")</f>
        <v>Poor</v>
      </c>
      <c r="M449">
        <v>0</v>
      </c>
      <c r="N449" t="str">
        <f t="shared" si="25"/>
        <v>No</v>
      </c>
      <c r="O449">
        <v>0.2</v>
      </c>
      <c r="P449" t="str" cm="1">
        <f t="array" ref="P449">_xlfn.IFS(O449&lt;=0.3,"Low Risk",O449&lt;=0.4,"medium Risk",O449&lt;=0.5,"High Risk",O449&gt;0.5,"Very High Risk")</f>
        <v>Low Risk</v>
      </c>
      <c r="Q449">
        <v>0</v>
      </c>
      <c r="R449">
        <v>7971</v>
      </c>
      <c r="S449" t="str">
        <f t="shared" si="26"/>
        <v>Yes</v>
      </c>
      <c r="T449">
        <v>31788</v>
      </c>
      <c r="U449" t="str" cm="1">
        <f t="array" ref="U449">_xlfn.IFS(T449&lt;5000,"Small",T449&lt;20000,"Medium",T449&lt;35000,"Large",T449&gt;35000,"Very Large")</f>
        <v>Large</v>
      </c>
      <c r="V449">
        <v>36</v>
      </c>
      <c r="W449">
        <f t="shared" si="27"/>
        <v>3</v>
      </c>
      <c r="X449" t="s">
        <v>47</v>
      </c>
      <c r="Y449" t="s">
        <v>45</v>
      </c>
      <c r="Z449" t="s">
        <v>39</v>
      </c>
      <c r="AA449" t="s">
        <v>40</v>
      </c>
      <c r="AB449" t="s">
        <v>35</v>
      </c>
      <c r="AC449" t="s">
        <v>36</v>
      </c>
    </row>
    <row r="450" spans="1:29" x14ac:dyDescent="0.25">
      <c r="A450">
        <v>471</v>
      </c>
      <c r="B450">
        <v>15807</v>
      </c>
      <c r="C450">
        <v>552</v>
      </c>
      <c r="D450">
        <f t="shared" si="24"/>
        <v>16359</v>
      </c>
      <c r="E450" t="s">
        <v>29</v>
      </c>
      <c r="F450">
        <v>56</v>
      </c>
      <c r="G450" t="str" cm="1">
        <f t="array" ref="G450">_xlfn.IFS(F450&lt;25,"18-24",F450&lt;35,"25-35",F450&lt;45,"35-44",F450&lt;55,"44-54",F450&gt;=55,"55+")</f>
        <v>55+</v>
      </c>
      <c r="H450" t="s">
        <v>30</v>
      </c>
      <c r="I450">
        <v>1</v>
      </c>
      <c r="J450" t="str" cm="1">
        <f t="array" ref="J450">_xlfn.IFS(I450&lt;=0,"No Dependents",I450&lt;=1,"One",I450&lt;=2,"Two",I450&gt;=3,"Third")</f>
        <v>One</v>
      </c>
      <c r="K450">
        <v>569</v>
      </c>
      <c r="L450" t="str" cm="1">
        <f t="array" ref="L450">_xlfn.IFS(K450&lt;=580,"Poor",K450&lt;=670,"fair",K450&lt;=740,"Good",K450&lt;=800,"Very Good",K450&gt;=800,"Excellent")</f>
        <v>Poor</v>
      </c>
      <c r="M450">
        <v>1</v>
      </c>
      <c r="N450" t="str">
        <f t="shared" si="25"/>
        <v>Yes</v>
      </c>
      <c r="O450">
        <v>0.26</v>
      </c>
      <c r="P450" t="str" cm="1">
        <f t="array" ref="P450">_xlfn.IFS(O450&lt;=0.3,"Low Risk",O450&lt;=0.4,"medium Risk",O450&lt;=0.5,"High Risk",O450&gt;0.5,"Very High Risk")</f>
        <v>Low Risk</v>
      </c>
      <c r="Q450">
        <v>5782</v>
      </c>
      <c r="R450">
        <v>31269</v>
      </c>
      <c r="S450" t="str">
        <f t="shared" si="26"/>
        <v>Yes</v>
      </c>
      <c r="T450">
        <v>0</v>
      </c>
      <c r="U450" t="str" cm="1">
        <f t="array" ref="U450">_xlfn.IFS(T450&lt;5000,"Small",T450&lt;20000,"Medium",T450&lt;35000,"Large",T450&gt;35000,"Very Large")</f>
        <v>Small</v>
      </c>
      <c r="V450">
        <v>36</v>
      </c>
      <c r="W450">
        <f t="shared" si="27"/>
        <v>3</v>
      </c>
      <c r="X450" t="s">
        <v>47</v>
      </c>
      <c r="Y450" t="s">
        <v>45</v>
      </c>
      <c r="Z450" t="s">
        <v>39</v>
      </c>
      <c r="AA450" t="s">
        <v>34</v>
      </c>
      <c r="AB450" t="s">
        <v>51</v>
      </c>
      <c r="AC450" t="s">
        <v>36</v>
      </c>
    </row>
    <row r="451" spans="1:29" x14ac:dyDescent="0.25">
      <c r="A451">
        <v>472</v>
      </c>
      <c r="B451">
        <v>11580</v>
      </c>
      <c r="C451">
        <v>8907</v>
      </c>
      <c r="D451">
        <f t="shared" ref="D451:D514" si="28">B451+C451</f>
        <v>20487</v>
      </c>
      <c r="E451" t="s">
        <v>49</v>
      </c>
      <c r="F451">
        <v>57</v>
      </c>
      <c r="G451" t="str" cm="1">
        <f t="array" ref="G451">_xlfn.IFS(F451&lt;25,"18-24",F451&lt;35,"25-35",F451&lt;45,"35-44",F451&lt;55,"44-54",F451&gt;=55,"55+")</f>
        <v>55+</v>
      </c>
      <c r="H451" t="s">
        <v>30</v>
      </c>
      <c r="I451">
        <v>0</v>
      </c>
      <c r="J451" t="str" cm="1">
        <f t="array" ref="J451">_xlfn.IFS(I451&lt;=0,"No Dependents",I451&lt;=1,"One",I451&lt;=2,"Two",I451&gt;=3,"Third")</f>
        <v>No Dependents</v>
      </c>
      <c r="K451">
        <v>622</v>
      </c>
      <c r="L451" t="str" cm="1">
        <f t="array" ref="L451">_xlfn.IFS(K451&lt;=580,"Poor",K451&lt;=670,"fair",K451&lt;=740,"Good",K451&lt;=800,"Very Good",K451&gt;=800,"Excellent")</f>
        <v>fair</v>
      </c>
      <c r="M451">
        <v>0</v>
      </c>
      <c r="N451" t="str">
        <f t="shared" ref="N451:N514" si="29">IF(M451&gt;0,"Yes","No")</f>
        <v>No</v>
      </c>
      <c r="O451">
        <v>0.33</v>
      </c>
      <c r="P451" t="str" cm="1">
        <f t="array" ref="P451">_xlfn.IFS(O451&lt;=0.3,"Low Risk",O451&lt;=0.4,"medium Risk",O451&lt;=0.5,"High Risk",O451&gt;0.5,"Very High Risk")</f>
        <v>medium Risk</v>
      </c>
      <c r="Q451">
        <v>1234</v>
      </c>
      <c r="R451">
        <v>25651</v>
      </c>
      <c r="S451" t="str">
        <f t="shared" ref="S451:S514" si="30">IF(R451&gt;100,"Yes","No")</f>
        <v>Yes</v>
      </c>
      <c r="T451">
        <v>34071</v>
      </c>
      <c r="U451" t="str" cm="1">
        <f t="array" ref="U451">_xlfn.IFS(T451&lt;5000,"Small",T451&lt;20000,"Medium",T451&lt;35000,"Large",T451&gt;35000,"Very Large")</f>
        <v>Large</v>
      </c>
      <c r="V451">
        <v>36</v>
      </c>
      <c r="W451">
        <f t="shared" ref="W451:W514" si="31">V451/12</f>
        <v>3</v>
      </c>
      <c r="X451" t="s">
        <v>31</v>
      </c>
      <c r="Y451" t="s">
        <v>38</v>
      </c>
      <c r="Z451" t="s">
        <v>39</v>
      </c>
      <c r="AA451" t="s">
        <v>40</v>
      </c>
      <c r="AB451" t="s">
        <v>43</v>
      </c>
      <c r="AC451" t="s">
        <v>36</v>
      </c>
    </row>
    <row r="452" spans="1:29" x14ac:dyDescent="0.25">
      <c r="A452">
        <v>473</v>
      </c>
      <c r="B452">
        <v>19749</v>
      </c>
      <c r="C452">
        <v>5383</v>
      </c>
      <c r="D452">
        <f t="shared" si="28"/>
        <v>25132</v>
      </c>
      <c r="E452" t="s">
        <v>29</v>
      </c>
      <c r="F452">
        <v>35</v>
      </c>
      <c r="G452" t="str" cm="1">
        <f t="array" ref="G452">_xlfn.IFS(F452&lt;25,"18-24",F452&lt;35,"25-35",F452&lt;45,"35-44",F452&lt;55,"44-54",F452&gt;=55,"55+")</f>
        <v>35-44</v>
      </c>
      <c r="H452" t="s">
        <v>30</v>
      </c>
      <c r="I452">
        <v>2</v>
      </c>
      <c r="J452" t="str" cm="1">
        <f t="array" ref="J452">_xlfn.IFS(I452&lt;=0,"No Dependents",I452&lt;=1,"One",I452&lt;=2,"Two",I452&gt;=3,"Third")</f>
        <v>Two</v>
      </c>
      <c r="K452">
        <v>566</v>
      </c>
      <c r="L452" t="str" cm="1">
        <f t="array" ref="L452">_xlfn.IFS(K452&lt;=580,"Poor",K452&lt;=670,"fair",K452&lt;=740,"Good",K452&lt;=800,"Very Good",K452&gt;=800,"Excellent")</f>
        <v>Poor</v>
      </c>
      <c r="M452">
        <v>4</v>
      </c>
      <c r="N452" t="str">
        <f t="shared" si="29"/>
        <v>Yes</v>
      </c>
      <c r="O452">
        <v>0.56999999999999995</v>
      </c>
      <c r="P452" t="str" cm="1">
        <f t="array" ref="P452">_xlfn.IFS(O452&lt;=0.3,"Low Risk",O452&lt;=0.4,"medium Risk",O452&lt;=0.5,"High Risk",O452&gt;0.5,"Very High Risk")</f>
        <v>Very High Risk</v>
      </c>
      <c r="Q452">
        <v>5205</v>
      </c>
      <c r="R452">
        <v>35757</v>
      </c>
      <c r="S452" t="str">
        <f t="shared" si="30"/>
        <v>Yes</v>
      </c>
      <c r="T452">
        <v>6067</v>
      </c>
      <c r="U452" t="str" cm="1">
        <f t="array" ref="U452">_xlfn.IFS(T452&lt;5000,"Small",T452&lt;20000,"Medium",T452&lt;35000,"Large",T452&gt;35000,"Very Large")</f>
        <v>Medium</v>
      </c>
      <c r="V452">
        <v>84</v>
      </c>
      <c r="W452">
        <f t="shared" si="31"/>
        <v>7</v>
      </c>
      <c r="X452" t="s">
        <v>50</v>
      </c>
      <c r="Y452" t="s">
        <v>32</v>
      </c>
      <c r="Z452" t="s">
        <v>39</v>
      </c>
      <c r="AA452" t="s">
        <v>34</v>
      </c>
      <c r="AB452" t="s">
        <v>48</v>
      </c>
      <c r="AC452" t="s">
        <v>36</v>
      </c>
    </row>
    <row r="453" spans="1:29" x14ac:dyDescent="0.25">
      <c r="A453">
        <v>475</v>
      </c>
      <c r="B453">
        <v>9494</v>
      </c>
      <c r="C453">
        <v>9905</v>
      </c>
      <c r="D453">
        <f t="shared" si="28"/>
        <v>19399</v>
      </c>
      <c r="E453" t="s">
        <v>49</v>
      </c>
      <c r="F453">
        <v>38</v>
      </c>
      <c r="G453" t="str" cm="1">
        <f t="array" ref="G453">_xlfn.IFS(F453&lt;25,"18-24",F453&lt;35,"25-35",F453&lt;45,"35-44",F453&lt;55,"44-54",F453&gt;=55,"55+")</f>
        <v>35-44</v>
      </c>
      <c r="H453" t="s">
        <v>41</v>
      </c>
      <c r="I453">
        <v>0</v>
      </c>
      <c r="J453" t="str" cm="1">
        <f t="array" ref="J453">_xlfn.IFS(I453&lt;=0,"No Dependents",I453&lt;=1,"One",I453&lt;=2,"Two",I453&gt;=3,"Third")</f>
        <v>No Dependents</v>
      </c>
      <c r="K453">
        <v>724</v>
      </c>
      <c r="L453" t="str" cm="1">
        <f t="array" ref="L453">_xlfn.IFS(K453&lt;=580,"Poor",K453&lt;=670,"fair",K453&lt;=740,"Good",K453&lt;=800,"Very Good",K453&gt;=800,"Excellent")</f>
        <v>Good</v>
      </c>
      <c r="M453">
        <v>3</v>
      </c>
      <c r="N453" t="str">
        <f t="shared" si="29"/>
        <v>Yes</v>
      </c>
      <c r="O453">
        <v>0.2</v>
      </c>
      <c r="P453" t="str" cm="1">
        <f t="array" ref="P453">_xlfn.IFS(O453&lt;=0.3,"Low Risk",O453&lt;=0.4,"medium Risk",O453&lt;=0.5,"High Risk",O453&gt;0.5,"Very High Risk")</f>
        <v>Low Risk</v>
      </c>
      <c r="Q453">
        <v>17152</v>
      </c>
      <c r="R453">
        <v>38108</v>
      </c>
      <c r="S453" t="str">
        <f t="shared" si="30"/>
        <v>Yes</v>
      </c>
      <c r="T453">
        <v>8715</v>
      </c>
      <c r="U453" t="str" cm="1">
        <f t="array" ref="U453">_xlfn.IFS(T453&lt;5000,"Small",T453&lt;20000,"Medium",T453&lt;35000,"Large",T453&gt;35000,"Very Large")</f>
        <v>Medium</v>
      </c>
      <c r="V453">
        <v>12</v>
      </c>
      <c r="W453">
        <f t="shared" si="31"/>
        <v>1</v>
      </c>
      <c r="X453" t="s">
        <v>50</v>
      </c>
      <c r="Y453" t="s">
        <v>38</v>
      </c>
      <c r="Z453" t="s">
        <v>39</v>
      </c>
      <c r="AA453" t="s">
        <v>40</v>
      </c>
      <c r="AB453" t="s">
        <v>42</v>
      </c>
      <c r="AC453" t="s">
        <v>44</v>
      </c>
    </row>
    <row r="454" spans="1:29" x14ac:dyDescent="0.25">
      <c r="A454">
        <v>476</v>
      </c>
      <c r="B454">
        <v>6312</v>
      </c>
      <c r="C454">
        <v>3389</v>
      </c>
      <c r="D454">
        <f t="shared" si="28"/>
        <v>9701</v>
      </c>
      <c r="E454" t="s">
        <v>46</v>
      </c>
      <c r="F454">
        <v>54</v>
      </c>
      <c r="G454" t="str" cm="1">
        <f t="array" ref="G454">_xlfn.IFS(F454&lt;25,"18-24",F454&lt;35,"25-35",F454&lt;45,"35-44",F454&lt;55,"44-54",F454&gt;=55,"55+")</f>
        <v>44-54</v>
      </c>
      <c r="H454" t="s">
        <v>30</v>
      </c>
      <c r="I454">
        <v>2</v>
      </c>
      <c r="J454" t="str" cm="1">
        <f t="array" ref="J454">_xlfn.IFS(I454&lt;=0,"No Dependents",I454&lt;=1,"One",I454&lt;=2,"Two",I454&gt;=3,"Third")</f>
        <v>Two</v>
      </c>
      <c r="K454">
        <v>551</v>
      </c>
      <c r="L454" t="str" cm="1">
        <f t="array" ref="L454">_xlfn.IFS(K454&lt;=580,"Poor",K454&lt;=670,"fair",K454&lt;=740,"Good",K454&lt;=800,"Very Good",K454&gt;=800,"Excellent")</f>
        <v>Poor</v>
      </c>
      <c r="M454">
        <v>3</v>
      </c>
      <c r="N454" t="str">
        <f t="shared" si="29"/>
        <v>Yes</v>
      </c>
      <c r="O454">
        <v>0.28000000000000003</v>
      </c>
      <c r="P454" t="str" cm="1">
        <f t="array" ref="P454">_xlfn.IFS(O454&lt;=0.3,"Low Risk",O454&lt;=0.4,"medium Risk",O454&lt;=0.5,"High Risk",O454&gt;0.5,"Very High Risk")</f>
        <v>Low Risk</v>
      </c>
      <c r="Q454">
        <v>9596</v>
      </c>
      <c r="R454">
        <v>9643</v>
      </c>
      <c r="S454" t="str">
        <f t="shared" si="30"/>
        <v>Yes</v>
      </c>
      <c r="T454">
        <v>0</v>
      </c>
      <c r="U454" t="str" cm="1">
        <f t="array" ref="U454">_xlfn.IFS(T454&lt;5000,"Small",T454&lt;20000,"Medium",T454&lt;35000,"Large",T454&gt;35000,"Very Large")</f>
        <v>Small</v>
      </c>
      <c r="V454">
        <v>72</v>
      </c>
      <c r="W454">
        <f t="shared" si="31"/>
        <v>6</v>
      </c>
      <c r="X454" t="s">
        <v>47</v>
      </c>
      <c r="Y454" t="s">
        <v>45</v>
      </c>
      <c r="Z454" t="s">
        <v>39</v>
      </c>
      <c r="AA454" t="s">
        <v>40</v>
      </c>
      <c r="AB454" t="s">
        <v>42</v>
      </c>
      <c r="AC454" t="s">
        <v>36</v>
      </c>
    </row>
    <row r="455" spans="1:29" x14ac:dyDescent="0.25">
      <c r="A455">
        <v>477</v>
      </c>
      <c r="B455">
        <v>3324</v>
      </c>
      <c r="C455">
        <v>9299</v>
      </c>
      <c r="D455">
        <f t="shared" si="28"/>
        <v>12623</v>
      </c>
      <c r="E455" t="s">
        <v>29</v>
      </c>
      <c r="F455">
        <v>42</v>
      </c>
      <c r="G455" t="str" cm="1">
        <f t="array" ref="G455">_xlfn.IFS(F455&lt;25,"18-24",F455&lt;35,"25-35",F455&lt;45,"35-44",F455&lt;55,"44-54",F455&gt;=55,"55+")</f>
        <v>35-44</v>
      </c>
      <c r="H455" t="s">
        <v>41</v>
      </c>
      <c r="I455">
        <v>1</v>
      </c>
      <c r="J455" t="str" cm="1">
        <f t="array" ref="J455">_xlfn.IFS(I455&lt;=0,"No Dependents",I455&lt;=1,"One",I455&lt;=2,"Two",I455&gt;=3,"Third")</f>
        <v>One</v>
      </c>
      <c r="K455">
        <v>612</v>
      </c>
      <c r="L455" t="str" cm="1">
        <f t="array" ref="L455">_xlfn.IFS(K455&lt;=580,"Poor",K455&lt;=670,"fair",K455&lt;=740,"Good",K455&lt;=800,"Very Good",K455&gt;=800,"Excellent")</f>
        <v>fair</v>
      </c>
      <c r="M455">
        <v>2</v>
      </c>
      <c r="N455" t="str">
        <f t="shared" si="29"/>
        <v>Yes</v>
      </c>
      <c r="O455">
        <v>0.17</v>
      </c>
      <c r="P455" t="str" cm="1">
        <f t="array" ref="P455">_xlfn.IFS(O455&lt;=0.3,"Low Risk",O455&lt;=0.4,"medium Risk",O455&lt;=0.5,"High Risk",O455&gt;0.5,"Very High Risk")</f>
        <v>Low Risk</v>
      </c>
      <c r="Q455">
        <v>19488</v>
      </c>
      <c r="R455">
        <v>3823</v>
      </c>
      <c r="S455" t="str">
        <f t="shared" si="30"/>
        <v>Yes</v>
      </c>
      <c r="T455">
        <v>12226</v>
      </c>
      <c r="U455" t="str" cm="1">
        <f t="array" ref="U455">_xlfn.IFS(T455&lt;5000,"Small",T455&lt;20000,"Medium",T455&lt;35000,"Large",T455&gt;35000,"Very Large")</f>
        <v>Medium</v>
      </c>
      <c r="V455">
        <v>12</v>
      </c>
      <c r="W455">
        <f t="shared" si="31"/>
        <v>1</v>
      </c>
      <c r="X455" t="s">
        <v>37</v>
      </c>
      <c r="Y455" t="s">
        <v>32</v>
      </c>
      <c r="Z455" t="s">
        <v>39</v>
      </c>
      <c r="AA455" t="s">
        <v>34</v>
      </c>
      <c r="AB455" t="s">
        <v>35</v>
      </c>
      <c r="AC455" t="s">
        <v>36</v>
      </c>
    </row>
    <row r="456" spans="1:29" x14ac:dyDescent="0.25">
      <c r="A456">
        <v>478</v>
      </c>
      <c r="B456">
        <v>5141</v>
      </c>
      <c r="C456">
        <v>8442</v>
      </c>
      <c r="D456">
        <f t="shared" si="28"/>
        <v>13583</v>
      </c>
      <c r="E456" t="s">
        <v>49</v>
      </c>
      <c r="F456">
        <v>31</v>
      </c>
      <c r="G456" t="str" cm="1">
        <f t="array" ref="G456">_xlfn.IFS(F456&lt;25,"18-24",F456&lt;35,"25-35",F456&lt;45,"35-44",F456&lt;55,"44-54",F456&gt;=55,"55+")</f>
        <v>25-35</v>
      </c>
      <c r="H456" t="s">
        <v>30</v>
      </c>
      <c r="I456">
        <v>0</v>
      </c>
      <c r="J456" t="str" cm="1">
        <f t="array" ref="J456">_xlfn.IFS(I456&lt;=0,"No Dependents",I456&lt;=1,"One",I456&lt;=2,"Two",I456&gt;=3,"Third")</f>
        <v>No Dependents</v>
      </c>
      <c r="K456">
        <v>611</v>
      </c>
      <c r="L456" t="str" cm="1">
        <f t="array" ref="L456">_xlfn.IFS(K456&lt;=580,"Poor",K456&lt;=670,"fair",K456&lt;=740,"Good",K456&lt;=800,"Very Good",K456&gt;=800,"Excellent")</f>
        <v>fair</v>
      </c>
      <c r="M456">
        <v>0</v>
      </c>
      <c r="N456" t="str">
        <f t="shared" si="29"/>
        <v>No</v>
      </c>
      <c r="O456">
        <v>0.35</v>
      </c>
      <c r="P456" t="str" cm="1">
        <f t="array" ref="P456">_xlfn.IFS(O456&lt;=0.3,"Low Risk",O456&lt;=0.4,"medium Risk",O456&lt;=0.5,"High Risk",O456&gt;0.5,"Very High Risk")</f>
        <v>medium Risk</v>
      </c>
      <c r="Q456">
        <v>0</v>
      </c>
      <c r="R456">
        <v>13454</v>
      </c>
      <c r="S456" t="str">
        <f t="shared" si="30"/>
        <v>Yes</v>
      </c>
      <c r="T456">
        <v>36399</v>
      </c>
      <c r="U456" t="str" cm="1">
        <f t="array" ref="U456">_xlfn.IFS(T456&lt;5000,"Small",T456&lt;20000,"Medium",T456&lt;35000,"Large",T456&gt;35000,"Very Large")</f>
        <v>Very Large</v>
      </c>
      <c r="V456">
        <v>36</v>
      </c>
      <c r="W456">
        <f t="shared" si="31"/>
        <v>3</v>
      </c>
      <c r="X456" t="s">
        <v>50</v>
      </c>
      <c r="Y456" t="s">
        <v>32</v>
      </c>
      <c r="Z456" t="s">
        <v>39</v>
      </c>
      <c r="AA456" t="s">
        <v>34</v>
      </c>
      <c r="AB456" t="s">
        <v>35</v>
      </c>
      <c r="AC456" t="s">
        <v>36</v>
      </c>
    </row>
    <row r="457" spans="1:29" x14ac:dyDescent="0.25">
      <c r="A457">
        <v>479</v>
      </c>
      <c r="B457">
        <v>3810</v>
      </c>
      <c r="C457">
        <v>2430</v>
      </c>
      <c r="D457">
        <f t="shared" si="28"/>
        <v>6240</v>
      </c>
      <c r="E457" t="s">
        <v>49</v>
      </c>
      <c r="F457">
        <v>33</v>
      </c>
      <c r="G457" t="str" cm="1">
        <f t="array" ref="G457">_xlfn.IFS(F457&lt;25,"18-24",F457&lt;35,"25-35",F457&lt;45,"35-44",F457&lt;55,"44-54",F457&gt;=55,"55+")</f>
        <v>25-35</v>
      </c>
      <c r="H457" t="s">
        <v>41</v>
      </c>
      <c r="I457">
        <v>0</v>
      </c>
      <c r="J457" t="str" cm="1">
        <f t="array" ref="J457">_xlfn.IFS(I457&lt;=0,"No Dependents",I457&lt;=1,"One",I457&lt;=2,"Two",I457&gt;=3,"Third")</f>
        <v>No Dependents</v>
      </c>
      <c r="K457">
        <v>649</v>
      </c>
      <c r="L457" t="str" cm="1">
        <f t="array" ref="L457">_xlfn.IFS(K457&lt;=580,"Poor",K457&lt;=670,"fair",K457&lt;=740,"Good",K457&lt;=800,"Very Good",K457&gt;=800,"Excellent")</f>
        <v>fair</v>
      </c>
      <c r="M457">
        <v>1</v>
      </c>
      <c r="N457" t="str">
        <f t="shared" si="29"/>
        <v>Yes</v>
      </c>
      <c r="O457">
        <v>0.33</v>
      </c>
      <c r="P457" t="str" cm="1">
        <f t="array" ref="P457">_xlfn.IFS(O457&lt;=0.3,"Low Risk",O457&lt;=0.4,"medium Risk",O457&lt;=0.5,"High Risk",O457&gt;0.5,"Very High Risk")</f>
        <v>medium Risk</v>
      </c>
      <c r="Q457">
        <v>19689</v>
      </c>
      <c r="R457">
        <v>3932</v>
      </c>
      <c r="S457" t="str">
        <f t="shared" si="30"/>
        <v>Yes</v>
      </c>
      <c r="T457">
        <v>14412</v>
      </c>
      <c r="U457" t="str" cm="1">
        <f t="array" ref="U457">_xlfn.IFS(T457&lt;5000,"Small",T457&lt;20000,"Medium",T457&lt;35000,"Large",T457&gt;35000,"Very Large")</f>
        <v>Medium</v>
      </c>
      <c r="V457">
        <v>48</v>
      </c>
      <c r="W457">
        <f t="shared" si="31"/>
        <v>4</v>
      </c>
      <c r="X457" t="s">
        <v>47</v>
      </c>
      <c r="Y457" t="s">
        <v>45</v>
      </c>
      <c r="Z457" t="s">
        <v>33</v>
      </c>
      <c r="AA457" t="s">
        <v>40</v>
      </c>
      <c r="AB457" t="s">
        <v>43</v>
      </c>
      <c r="AC457" t="s">
        <v>36</v>
      </c>
    </row>
    <row r="458" spans="1:29" x14ac:dyDescent="0.25">
      <c r="A458">
        <v>480</v>
      </c>
      <c r="B458">
        <v>8588</v>
      </c>
      <c r="C458">
        <v>458</v>
      </c>
      <c r="D458">
        <f t="shared" si="28"/>
        <v>9046</v>
      </c>
      <c r="E458" t="s">
        <v>29</v>
      </c>
      <c r="F458">
        <v>24</v>
      </c>
      <c r="G458" t="str" cm="1">
        <f t="array" ref="G458">_xlfn.IFS(F458&lt;25,"18-24",F458&lt;35,"25-35",F458&lt;45,"35-44",F458&lt;55,"44-54",F458&gt;=55,"55+")</f>
        <v>18-24</v>
      </c>
      <c r="H458" t="s">
        <v>41</v>
      </c>
      <c r="I458">
        <v>3</v>
      </c>
      <c r="J458" t="str" cm="1">
        <f t="array" ref="J458">_xlfn.IFS(I458&lt;=0,"No Dependents",I458&lt;=1,"One",I458&lt;=2,"Two",I458&gt;=3,"Third")</f>
        <v>Third</v>
      </c>
      <c r="K458">
        <v>550</v>
      </c>
      <c r="L458" t="str" cm="1">
        <f t="array" ref="L458">_xlfn.IFS(K458&lt;=580,"Poor",K458&lt;=670,"fair",K458&lt;=740,"Good",K458&lt;=800,"Very Good",K458&gt;=800,"Excellent")</f>
        <v>Poor</v>
      </c>
      <c r="M458">
        <v>0</v>
      </c>
      <c r="N458" t="str">
        <f t="shared" si="29"/>
        <v>No</v>
      </c>
      <c r="O458">
        <v>0.55000000000000004</v>
      </c>
      <c r="P458" t="str" cm="1">
        <f t="array" ref="P458">_xlfn.IFS(O458&lt;=0.3,"Low Risk",O458&lt;=0.4,"medium Risk",O458&lt;=0.5,"High Risk",O458&gt;0.5,"Very High Risk")</f>
        <v>Very High Risk</v>
      </c>
      <c r="Q458">
        <v>17922</v>
      </c>
      <c r="R458">
        <v>10220</v>
      </c>
      <c r="S458" t="str">
        <f t="shared" si="30"/>
        <v>Yes</v>
      </c>
      <c r="T458">
        <v>13569</v>
      </c>
      <c r="U458" t="str" cm="1">
        <f t="array" ref="U458">_xlfn.IFS(T458&lt;5000,"Small",T458&lt;20000,"Medium",T458&lt;35000,"Large",T458&gt;35000,"Very Large")</f>
        <v>Medium</v>
      </c>
      <c r="V458">
        <v>48</v>
      </c>
      <c r="W458">
        <f t="shared" si="31"/>
        <v>4</v>
      </c>
      <c r="X458" t="s">
        <v>37</v>
      </c>
      <c r="Y458" t="s">
        <v>32</v>
      </c>
      <c r="Z458" t="s">
        <v>33</v>
      </c>
      <c r="AA458" t="s">
        <v>40</v>
      </c>
      <c r="AB458" t="s">
        <v>35</v>
      </c>
      <c r="AC458" t="s">
        <v>36</v>
      </c>
    </row>
    <row r="459" spans="1:29" x14ac:dyDescent="0.25">
      <c r="A459">
        <v>481</v>
      </c>
      <c r="B459">
        <v>7301</v>
      </c>
      <c r="C459">
        <v>207</v>
      </c>
      <c r="D459">
        <f t="shared" si="28"/>
        <v>7508</v>
      </c>
      <c r="E459" t="s">
        <v>29</v>
      </c>
      <c r="F459">
        <v>42</v>
      </c>
      <c r="G459" t="str" cm="1">
        <f t="array" ref="G459">_xlfn.IFS(F459&lt;25,"18-24",F459&lt;35,"25-35",F459&lt;45,"35-44",F459&lt;55,"44-54",F459&gt;=55,"55+")</f>
        <v>35-44</v>
      </c>
      <c r="H459" t="s">
        <v>30</v>
      </c>
      <c r="I459">
        <v>0</v>
      </c>
      <c r="J459" t="str" cm="1">
        <f t="array" ref="J459">_xlfn.IFS(I459&lt;=0,"No Dependents",I459&lt;=1,"One",I459&lt;=2,"Two",I459&gt;=3,"Third")</f>
        <v>No Dependents</v>
      </c>
      <c r="K459">
        <v>566</v>
      </c>
      <c r="L459" t="str" cm="1">
        <f t="array" ref="L459">_xlfn.IFS(K459&lt;=580,"Poor",K459&lt;=670,"fair",K459&lt;=740,"Good",K459&lt;=800,"Very Good",K459&gt;=800,"Excellent")</f>
        <v>Poor</v>
      </c>
      <c r="M459">
        <v>2</v>
      </c>
      <c r="N459" t="str">
        <f t="shared" si="29"/>
        <v>Yes</v>
      </c>
      <c r="O459">
        <v>0.56999999999999995</v>
      </c>
      <c r="P459" t="str" cm="1">
        <f t="array" ref="P459">_xlfn.IFS(O459&lt;=0.3,"Low Risk",O459&lt;=0.4,"medium Risk",O459&lt;=0.5,"High Risk",O459&gt;0.5,"Very High Risk")</f>
        <v>Very High Risk</v>
      </c>
      <c r="Q459">
        <v>17715</v>
      </c>
      <c r="R459">
        <v>8554</v>
      </c>
      <c r="S459" t="str">
        <f t="shared" si="30"/>
        <v>Yes</v>
      </c>
      <c r="T459">
        <v>3369</v>
      </c>
      <c r="U459" t="str" cm="1">
        <f t="array" ref="U459">_xlfn.IFS(T459&lt;5000,"Small",T459&lt;20000,"Medium",T459&lt;35000,"Large",T459&gt;35000,"Very Large")</f>
        <v>Small</v>
      </c>
      <c r="V459">
        <v>12</v>
      </c>
      <c r="W459">
        <f t="shared" si="31"/>
        <v>1</v>
      </c>
      <c r="X459" t="s">
        <v>37</v>
      </c>
      <c r="Y459" t="s">
        <v>38</v>
      </c>
      <c r="Z459" t="s">
        <v>39</v>
      </c>
      <c r="AA459" t="s">
        <v>34</v>
      </c>
      <c r="AB459" t="s">
        <v>35</v>
      </c>
      <c r="AC459" t="s">
        <v>36</v>
      </c>
    </row>
    <row r="460" spans="1:29" x14ac:dyDescent="0.25">
      <c r="A460">
        <v>482</v>
      </c>
      <c r="B460">
        <v>17485</v>
      </c>
      <c r="C460">
        <v>899</v>
      </c>
      <c r="D460">
        <f t="shared" si="28"/>
        <v>18384</v>
      </c>
      <c r="E460" t="s">
        <v>48</v>
      </c>
      <c r="F460">
        <v>27</v>
      </c>
      <c r="G460" t="str" cm="1">
        <f t="array" ref="G460">_xlfn.IFS(F460&lt;25,"18-24",F460&lt;35,"25-35",F460&lt;45,"35-44",F460&lt;55,"44-54",F460&gt;=55,"55+")</f>
        <v>25-35</v>
      </c>
      <c r="H460" t="s">
        <v>30</v>
      </c>
      <c r="I460">
        <v>2</v>
      </c>
      <c r="J460" t="str" cm="1">
        <f t="array" ref="J460">_xlfn.IFS(I460&lt;=0,"No Dependents",I460&lt;=1,"One",I460&lt;=2,"Two",I460&gt;=3,"Third")</f>
        <v>Two</v>
      </c>
      <c r="K460">
        <v>618</v>
      </c>
      <c r="L460" t="str" cm="1">
        <f t="array" ref="L460">_xlfn.IFS(K460&lt;=580,"Poor",K460&lt;=670,"fair",K460&lt;=740,"Good",K460&lt;=800,"Very Good",K460&gt;=800,"Excellent")</f>
        <v>fair</v>
      </c>
      <c r="M460">
        <v>2</v>
      </c>
      <c r="N460" t="str">
        <f t="shared" si="29"/>
        <v>Yes</v>
      </c>
      <c r="O460">
        <v>0.35</v>
      </c>
      <c r="P460" t="str" cm="1">
        <f t="array" ref="P460">_xlfn.IFS(O460&lt;=0.3,"Low Risk",O460&lt;=0.4,"medium Risk",O460&lt;=0.5,"High Risk",O460&gt;0.5,"Very High Risk")</f>
        <v>medium Risk</v>
      </c>
      <c r="Q460">
        <v>8261</v>
      </c>
      <c r="R460">
        <v>2429</v>
      </c>
      <c r="S460" t="str">
        <f t="shared" si="30"/>
        <v>Yes</v>
      </c>
      <c r="T460">
        <v>33021</v>
      </c>
      <c r="U460" t="str" cm="1">
        <f t="array" ref="U460">_xlfn.IFS(T460&lt;5000,"Small",T460&lt;20000,"Medium",T460&lt;35000,"Large",T460&gt;35000,"Very Large")</f>
        <v>Large</v>
      </c>
      <c r="V460">
        <v>36</v>
      </c>
      <c r="W460">
        <f t="shared" si="31"/>
        <v>3</v>
      </c>
      <c r="X460" t="s">
        <v>47</v>
      </c>
      <c r="Y460" t="s">
        <v>32</v>
      </c>
      <c r="Z460" t="s">
        <v>39</v>
      </c>
      <c r="AA460" t="s">
        <v>40</v>
      </c>
      <c r="AB460" t="s">
        <v>35</v>
      </c>
      <c r="AC460" t="s">
        <v>36</v>
      </c>
    </row>
    <row r="461" spans="1:29" x14ac:dyDescent="0.25">
      <c r="A461">
        <v>483</v>
      </c>
      <c r="B461">
        <v>13714</v>
      </c>
      <c r="C461">
        <v>21</v>
      </c>
      <c r="D461">
        <f t="shared" si="28"/>
        <v>13735</v>
      </c>
      <c r="E461" t="s">
        <v>46</v>
      </c>
      <c r="F461">
        <v>44</v>
      </c>
      <c r="G461" t="str" cm="1">
        <f t="array" ref="G461">_xlfn.IFS(F461&lt;25,"18-24",F461&lt;35,"25-35",F461&lt;45,"35-44",F461&lt;55,"44-54",F461&gt;=55,"55+")</f>
        <v>35-44</v>
      </c>
      <c r="H461" t="s">
        <v>30</v>
      </c>
      <c r="I461">
        <v>3</v>
      </c>
      <c r="J461" t="str" cm="1">
        <f t="array" ref="J461">_xlfn.IFS(I461&lt;=0,"No Dependents",I461&lt;=1,"One",I461&lt;=2,"Two",I461&gt;=3,"Third")</f>
        <v>Third</v>
      </c>
      <c r="K461">
        <v>716</v>
      </c>
      <c r="L461" t="str" cm="1">
        <f t="array" ref="L461">_xlfn.IFS(K461&lt;=580,"Poor",K461&lt;=670,"fair",K461&lt;=740,"Good",K461&lt;=800,"Very Good",K461&gt;=800,"Excellent")</f>
        <v>Good</v>
      </c>
      <c r="M461">
        <v>1</v>
      </c>
      <c r="N461" t="str">
        <f t="shared" si="29"/>
        <v>Yes</v>
      </c>
      <c r="O461">
        <v>0.35</v>
      </c>
      <c r="P461" t="str" cm="1">
        <f t="array" ref="P461">_xlfn.IFS(O461&lt;=0.3,"Low Risk",O461&lt;=0.4,"medium Risk",O461&lt;=0.5,"High Risk",O461&gt;0.5,"Very High Risk")</f>
        <v>medium Risk</v>
      </c>
      <c r="Q461">
        <v>13765</v>
      </c>
      <c r="R461">
        <v>28208</v>
      </c>
      <c r="S461" t="str">
        <f t="shared" si="30"/>
        <v>Yes</v>
      </c>
      <c r="T461">
        <v>1528</v>
      </c>
      <c r="U461" t="str" cm="1">
        <f t="array" ref="U461">_xlfn.IFS(T461&lt;5000,"Small",T461&lt;20000,"Medium",T461&lt;35000,"Large",T461&gt;35000,"Very Large")</f>
        <v>Small</v>
      </c>
      <c r="V461">
        <v>72</v>
      </c>
      <c r="W461">
        <f t="shared" si="31"/>
        <v>6</v>
      </c>
      <c r="X461" t="s">
        <v>37</v>
      </c>
      <c r="Y461" t="s">
        <v>32</v>
      </c>
      <c r="Z461" t="s">
        <v>39</v>
      </c>
      <c r="AA461" t="s">
        <v>40</v>
      </c>
      <c r="AB461" t="s">
        <v>51</v>
      </c>
      <c r="AC461" t="s">
        <v>44</v>
      </c>
    </row>
    <row r="462" spans="1:29" x14ac:dyDescent="0.25">
      <c r="A462">
        <v>484</v>
      </c>
      <c r="B462">
        <v>6748</v>
      </c>
      <c r="C462">
        <v>8601</v>
      </c>
      <c r="D462">
        <f t="shared" si="28"/>
        <v>15349</v>
      </c>
      <c r="E462" t="s">
        <v>46</v>
      </c>
      <c r="F462">
        <v>24</v>
      </c>
      <c r="G462" t="str" cm="1">
        <f t="array" ref="G462">_xlfn.IFS(F462&lt;25,"18-24",F462&lt;35,"25-35",F462&lt;45,"35-44",F462&lt;55,"44-54",F462&gt;=55,"55+")</f>
        <v>18-24</v>
      </c>
      <c r="H462" t="s">
        <v>41</v>
      </c>
      <c r="I462">
        <v>2</v>
      </c>
      <c r="J462" t="str" cm="1">
        <f t="array" ref="J462">_xlfn.IFS(I462&lt;=0,"No Dependents",I462&lt;=1,"One",I462&lt;=2,"Two",I462&gt;=3,"Third")</f>
        <v>Two</v>
      </c>
      <c r="K462">
        <v>759</v>
      </c>
      <c r="L462" t="str" cm="1">
        <f t="array" ref="L462">_xlfn.IFS(K462&lt;=580,"Poor",K462&lt;=670,"fair",K462&lt;=740,"Good",K462&lt;=800,"Very Good",K462&gt;=800,"Excellent")</f>
        <v>Very Good</v>
      </c>
      <c r="M462">
        <v>4</v>
      </c>
      <c r="N462" t="str">
        <f t="shared" si="29"/>
        <v>Yes</v>
      </c>
      <c r="O462">
        <v>0.55000000000000004</v>
      </c>
      <c r="P462" t="str" cm="1">
        <f t="array" ref="P462">_xlfn.IFS(O462&lt;=0.3,"Low Risk",O462&lt;=0.4,"medium Risk",O462&lt;=0.5,"High Risk",O462&gt;0.5,"Very High Risk")</f>
        <v>Very High Risk</v>
      </c>
      <c r="Q462">
        <v>5944</v>
      </c>
      <c r="R462">
        <v>7444</v>
      </c>
      <c r="S462" t="str">
        <f t="shared" si="30"/>
        <v>Yes</v>
      </c>
      <c r="T462">
        <v>31314</v>
      </c>
      <c r="U462" t="str" cm="1">
        <f t="array" ref="U462">_xlfn.IFS(T462&lt;5000,"Small",T462&lt;20000,"Medium",T462&lt;35000,"Large",T462&gt;35000,"Very Large")</f>
        <v>Large</v>
      </c>
      <c r="V462">
        <v>48</v>
      </c>
      <c r="W462">
        <f t="shared" si="31"/>
        <v>4</v>
      </c>
      <c r="X462" t="s">
        <v>47</v>
      </c>
      <c r="Y462" t="s">
        <v>32</v>
      </c>
      <c r="Z462" t="s">
        <v>39</v>
      </c>
      <c r="AA462" t="s">
        <v>34</v>
      </c>
      <c r="AB462" t="s">
        <v>35</v>
      </c>
      <c r="AC462" t="s">
        <v>36</v>
      </c>
    </row>
    <row r="463" spans="1:29" x14ac:dyDescent="0.25">
      <c r="A463">
        <v>485</v>
      </c>
      <c r="B463">
        <v>11435</v>
      </c>
      <c r="C463">
        <v>894</v>
      </c>
      <c r="D463">
        <f t="shared" si="28"/>
        <v>12329</v>
      </c>
      <c r="E463" t="s">
        <v>49</v>
      </c>
      <c r="F463">
        <v>48</v>
      </c>
      <c r="G463" t="str" cm="1">
        <f t="array" ref="G463">_xlfn.IFS(F463&lt;25,"18-24",F463&lt;35,"25-35",F463&lt;45,"35-44",F463&lt;55,"44-54",F463&gt;=55,"55+")</f>
        <v>44-54</v>
      </c>
      <c r="H463" t="s">
        <v>41</v>
      </c>
      <c r="I463">
        <v>0</v>
      </c>
      <c r="J463" t="str" cm="1">
        <f t="array" ref="J463">_xlfn.IFS(I463&lt;=0,"No Dependents",I463&lt;=1,"One",I463&lt;=2,"Two",I463&gt;=3,"Third")</f>
        <v>No Dependents</v>
      </c>
      <c r="K463">
        <v>666</v>
      </c>
      <c r="L463" t="str" cm="1">
        <f t="array" ref="L463">_xlfn.IFS(K463&lt;=580,"Poor",K463&lt;=670,"fair",K463&lt;=740,"Good",K463&lt;=800,"Very Good",K463&gt;=800,"Excellent")</f>
        <v>fair</v>
      </c>
      <c r="M463">
        <v>4</v>
      </c>
      <c r="N463" t="str">
        <f t="shared" si="29"/>
        <v>Yes</v>
      </c>
      <c r="O463">
        <v>0.5</v>
      </c>
      <c r="P463" t="str" cm="1">
        <f t="array" ref="P463">_xlfn.IFS(O463&lt;=0.3,"Low Risk",O463&lt;=0.4,"medium Risk",O463&lt;=0.5,"High Risk",O463&gt;0.5,"Very High Risk")</f>
        <v>High Risk</v>
      </c>
      <c r="Q463">
        <v>7126</v>
      </c>
      <c r="R463">
        <v>10510</v>
      </c>
      <c r="S463" t="str">
        <f t="shared" si="30"/>
        <v>Yes</v>
      </c>
      <c r="T463">
        <v>38443</v>
      </c>
      <c r="U463" t="str" cm="1">
        <f t="array" ref="U463">_xlfn.IFS(T463&lt;5000,"Small",T463&lt;20000,"Medium",T463&lt;35000,"Large",T463&gt;35000,"Very Large")</f>
        <v>Very Large</v>
      </c>
      <c r="V463">
        <v>12</v>
      </c>
      <c r="W463">
        <f t="shared" si="31"/>
        <v>1</v>
      </c>
      <c r="X463" t="s">
        <v>42</v>
      </c>
      <c r="Y463" t="s">
        <v>45</v>
      </c>
      <c r="Z463" t="s">
        <v>39</v>
      </c>
      <c r="AA463" t="s">
        <v>40</v>
      </c>
      <c r="AB463" t="s">
        <v>35</v>
      </c>
      <c r="AC463" t="s">
        <v>36</v>
      </c>
    </row>
    <row r="464" spans="1:29" x14ac:dyDescent="0.25">
      <c r="A464">
        <v>486</v>
      </c>
      <c r="B464">
        <v>5709</v>
      </c>
      <c r="C464">
        <v>514</v>
      </c>
      <c r="D464">
        <f t="shared" si="28"/>
        <v>6223</v>
      </c>
      <c r="E464" t="s">
        <v>29</v>
      </c>
      <c r="F464">
        <v>35</v>
      </c>
      <c r="G464" t="str" cm="1">
        <f t="array" ref="G464">_xlfn.IFS(F464&lt;25,"18-24",F464&lt;35,"25-35",F464&lt;45,"35-44",F464&lt;55,"44-54",F464&gt;=55,"55+")</f>
        <v>35-44</v>
      </c>
      <c r="H464" t="s">
        <v>30</v>
      </c>
      <c r="I464">
        <v>0</v>
      </c>
      <c r="J464" t="str" cm="1">
        <f t="array" ref="J464">_xlfn.IFS(I464&lt;=0,"No Dependents",I464&lt;=1,"One",I464&lt;=2,"Two",I464&gt;=3,"Third")</f>
        <v>No Dependents</v>
      </c>
      <c r="K464">
        <v>795</v>
      </c>
      <c r="L464" t="str" cm="1">
        <f t="array" ref="L464">_xlfn.IFS(K464&lt;=580,"Poor",K464&lt;=670,"fair",K464&lt;=740,"Good",K464&lt;=800,"Very Good",K464&gt;=800,"Excellent")</f>
        <v>Very Good</v>
      </c>
      <c r="M464">
        <v>1</v>
      </c>
      <c r="N464" t="str">
        <f t="shared" si="29"/>
        <v>Yes</v>
      </c>
      <c r="O464">
        <v>0.1</v>
      </c>
      <c r="P464" t="str" cm="1">
        <f t="array" ref="P464">_xlfn.IFS(O464&lt;=0.3,"Low Risk",O464&lt;=0.4,"medium Risk",O464&lt;=0.5,"High Risk",O464&gt;0.5,"Very High Risk")</f>
        <v>Low Risk</v>
      </c>
      <c r="Q464">
        <v>0</v>
      </c>
      <c r="R464">
        <v>44045</v>
      </c>
      <c r="S464" t="str">
        <f t="shared" si="30"/>
        <v>Yes</v>
      </c>
      <c r="T464">
        <v>19047</v>
      </c>
      <c r="U464" t="str" cm="1">
        <f t="array" ref="U464">_xlfn.IFS(T464&lt;5000,"Small",T464&lt;20000,"Medium",T464&lt;35000,"Large",T464&gt;35000,"Very Large")</f>
        <v>Medium</v>
      </c>
      <c r="V464">
        <v>72</v>
      </c>
      <c r="W464">
        <f t="shared" si="31"/>
        <v>6</v>
      </c>
      <c r="X464" t="s">
        <v>42</v>
      </c>
      <c r="Y464" t="s">
        <v>38</v>
      </c>
      <c r="Z464" t="s">
        <v>39</v>
      </c>
      <c r="AA464" t="s">
        <v>34</v>
      </c>
      <c r="AB464" t="s">
        <v>43</v>
      </c>
      <c r="AC464" t="s">
        <v>44</v>
      </c>
    </row>
    <row r="465" spans="1:29" x14ac:dyDescent="0.25">
      <c r="A465">
        <v>487</v>
      </c>
      <c r="B465">
        <v>15116</v>
      </c>
      <c r="C465">
        <v>7294</v>
      </c>
      <c r="D465">
        <f t="shared" si="28"/>
        <v>22410</v>
      </c>
      <c r="E465" t="s">
        <v>29</v>
      </c>
      <c r="F465">
        <v>21</v>
      </c>
      <c r="G465" t="str" cm="1">
        <f t="array" ref="G465">_xlfn.IFS(F465&lt;25,"18-24",F465&lt;35,"25-35",F465&lt;45,"35-44",F465&lt;55,"44-54",F465&gt;=55,"55+")</f>
        <v>18-24</v>
      </c>
      <c r="H465" t="s">
        <v>41</v>
      </c>
      <c r="I465">
        <v>0</v>
      </c>
      <c r="J465" t="str" cm="1">
        <f t="array" ref="J465">_xlfn.IFS(I465&lt;=0,"No Dependents",I465&lt;=1,"One",I465&lt;=2,"Two",I465&gt;=3,"Third")</f>
        <v>No Dependents</v>
      </c>
      <c r="K465">
        <v>748</v>
      </c>
      <c r="L465" t="str" cm="1">
        <f t="array" ref="L465">_xlfn.IFS(K465&lt;=580,"Poor",K465&lt;=670,"fair",K465&lt;=740,"Good",K465&lt;=800,"Very Good",K465&gt;=800,"Excellent")</f>
        <v>Very Good</v>
      </c>
      <c r="M465">
        <v>4</v>
      </c>
      <c r="N465" t="str">
        <f t="shared" si="29"/>
        <v>Yes</v>
      </c>
      <c r="O465">
        <v>0.26</v>
      </c>
      <c r="P465" t="str" cm="1">
        <f t="array" ref="P465">_xlfn.IFS(O465&lt;=0.3,"Low Risk",O465&lt;=0.4,"medium Risk",O465&lt;=0.5,"High Risk",O465&gt;0.5,"Very High Risk")</f>
        <v>Low Risk</v>
      </c>
      <c r="Q465">
        <v>5263</v>
      </c>
      <c r="R465">
        <v>10537</v>
      </c>
      <c r="S465" t="str">
        <f t="shared" si="30"/>
        <v>Yes</v>
      </c>
      <c r="T465">
        <v>20748</v>
      </c>
      <c r="U465" t="str" cm="1">
        <f t="array" ref="U465">_xlfn.IFS(T465&lt;5000,"Small",T465&lt;20000,"Medium",T465&lt;35000,"Large",T465&gt;35000,"Very Large")</f>
        <v>Large</v>
      </c>
      <c r="V465">
        <v>36</v>
      </c>
      <c r="W465">
        <f t="shared" si="31"/>
        <v>3</v>
      </c>
      <c r="X465" t="s">
        <v>37</v>
      </c>
      <c r="Y465" t="s">
        <v>45</v>
      </c>
      <c r="Z465" t="s">
        <v>39</v>
      </c>
      <c r="AA465" t="s">
        <v>34</v>
      </c>
      <c r="AB465" t="s">
        <v>43</v>
      </c>
      <c r="AC465" t="s">
        <v>44</v>
      </c>
    </row>
    <row r="466" spans="1:29" x14ac:dyDescent="0.25">
      <c r="A466">
        <v>488</v>
      </c>
      <c r="B466">
        <v>0</v>
      </c>
      <c r="C466">
        <v>4904</v>
      </c>
      <c r="D466">
        <f t="shared" si="28"/>
        <v>4904</v>
      </c>
      <c r="E466" t="s">
        <v>29</v>
      </c>
      <c r="F466">
        <v>23</v>
      </c>
      <c r="G466" t="str" cm="1">
        <f t="array" ref="G466">_xlfn.IFS(F466&lt;25,"18-24",F466&lt;35,"25-35",F466&lt;45,"35-44",F466&lt;55,"44-54",F466&gt;=55,"55+")</f>
        <v>18-24</v>
      </c>
      <c r="H466" t="s">
        <v>30</v>
      </c>
      <c r="I466">
        <v>1</v>
      </c>
      <c r="J466" t="str" cm="1">
        <f t="array" ref="J466">_xlfn.IFS(I466&lt;=0,"No Dependents",I466&lt;=1,"One",I466&lt;=2,"Two",I466&gt;=3,"Third")</f>
        <v>One</v>
      </c>
      <c r="K466">
        <v>630</v>
      </c>
      <c r="L466" t="str" cm="1">
        <f t="array" ref="L466">_xlfn.IFS(K466&lt;=580,"Poor",K466&lt;=670,"fair",K466&lt;=740,"Good",K466&lt;=800,"Very Good",K466&gt;=800,"Excellent")</f>
        <v>fair</v>
      </c>
      <c r="M466">
        <v>3</v>
      </c>
      <c r="N466" t="str">
        <f t="shared" si="29"/>
        <v>Yes</v>
      </c>
      <c r="O466">
        <v>0.31</v>
      </c>
      <c r="P466" t="str" cm="1">
        <f t="array" ref="P466">_xlfn.IFS(O466&lt;=0.3,"Low Risk",O466&lt;=0.4,"medium Risk",O466&lt;=0.5,"High Risk",O466&gt;0.5,"Very High Risk")</f>
        <v>medium Risk</v>
      </c>
      <c r="Q466">
        <v>15300</v>
      </c>
      <c r="R466">
        <v>7147</v>
      </c>
      <c r="S466" t="str">
        <f t="shared" si="30"/>
        <v>Yes</v>
      </c>
      <c r="T466">
        <v>36109</v>
      </c>
      <c r="U466" t="str" cm="1">
        <f t="array" ref="U466">_xlfn.IFS(T466&lt;5000,"Small",T466&lt;20000,"Medium",T466&lt;35000,"Large",T466&gt;35000,"Very Large")</f>
        <v>Very Large</v>
      </c>
      <c r="V466">
        <v>24</v>
      </c>
      <c r="W466">
        <f t="shared" si="31"/>
        <v>2</v>
      </c>
      <c r="X466" t="s">
        <v>37</v>
      </c>
      <c r="Y466" t="s">
        <v>38</v>
      </c>
      <c r="Z466" t="s">
        <v>39</v>
      </c>
      <c r="AA466" t="s">
        <v>40</v>
      </c>
      <c r="AB466" t="s">
        <v>35</v>
      </c>
      <c r="AC466" t="s">
        <v>36</v>
      </c>
    </row>
    <row r="467" spans="1:29" x14ac:dyDescent="0.25">
      <c r="A467">
        <v>489</v>
      </c>
      <c r="B467">
        <v>12150</v>
      </c>
      <c r="C467">
        <v>7867</v>
      </c>
      <c r="D467">
        <f t="shared" si="28"/>
        <v>20017</v>
      </c>
      <c r="E467" t="s">
        <v>49</v>
      </c>
      <c r="F467">
        <v>34</v>
      </c>
      <c r="G467" t="str" cm="1">
        <f t="array" ref="G467">_xlfn.IFS(F467&lt;25,"18-24",F467&lt;35,"25-35",F467&lt;45,"35-44",F467&lt;55,"44-54",F467&gt;=55,"55+")</f>
        <v>25-35</v>
      </c>
      <c r="H467" t="s">
        <v>30</v>
      </c>
      <c r="I467">
        <v>2</v>
      </c>
      <c r="J467" t="str" cm="1">
        <f t="array" ref="J467">_xlfn.IFS(I467&lt;=0,"No Dependents",I467&lt;=1,"One",I467&lt;=2,"Two",I467&gt;=3,"Third")</f>
        <v>Two</v>
      </c>
      <c r="K467">
        <v>588</v>
      </c>
      <c r="L467" t="str" cm="1">
        <f t="array" ref="L467">_xlfn.IFS(K467&lt;=580,"Poor",K467&lt;=670,"fair",K467&lt;=740,"Good",K467&lt;=800,"Very Good",K467&gt;=800,"Excellent")</f>
        <v>fair</v>
      </c>
      <c r="M467">
        <v>4</v>
      </c>
      <c r="N467" t="str">
        <f t="shared" si="29"/>
        <v>Yes</v>
      </c>
      <c r="O467">
        <v>0.21</v>
      </c>
      <c r="P467" t="str" cm="1">
        <f t="array" ref="P467">_xlfn.IFS(O467&lt;=0.3,"Low Risk",O467&lt;=0.4,"medium Risk",O467&lt;=0.5,"High Risk",O467&gt;0.5,"Very High Risk")</f>
        <v>Low Risk</v>
      </c>
      <c r="Q467">
        <v>0</v>
      </c>
      <c r="R467">
        <v>40399</v>
      </c>
      <c r="S467" t="str">
        <f t="shared" si="30"/>
        <v>Yes</v>
      </c>
      <c r="T467">
        <v>14919</v>
      </c>
      <c r="U467" t="str" cm="1">
        <f t="array" ref="U467">_xlfn.IFS(T467&lt;5000,"Small",T467&lt;20000,"Medium",T467&lt;35000,"Large",T467&gt;35000,"Very Large")</f>
        <v>Medium</v>
      </c>
      <c r="V467">
        <v>36</v>
      </c>
      <c r="W467">
        <f t="shared" si="31"/>
        <v>3</v>
      </c>
      <c r="X467" t="s">
        <v>47</v>
      </c>
      <c r="Y467" t="s">
        <v>32</v>
      </c>
      <c r="Z467" t="s">
        <v>33</v>
      </c>
      <c r="AA467" t="s">
        <v>40</v>
      </c>
      <c r="AB467" t="s">
        <v>48</v>
      </c>
      <c r="AC467" t="s">
        <v>36</v>
      </c>
    </row>
    <row r="468" spans="1:29" x14ac:dyDescent="0.25">
      <c r="A468">
        <v>490</v>
      </c>
      <c r="B468">
        <v>8530</v>
      </c>
      <c r="C468">
        <v>4109</v>
      </c>
      <c r="D468">
        <f t="shared" si="28"/>
        <v>12639</v>
      </c>
      <c r="E468" t="s">
        <v>46</v>
      </c>
      <c r="F468">
        <v>58</v>
      </c>
      <c r="G468" t="str" cm="1">
        <f t="array" ref="G468">_xlfn.IFS(F468&lt;25,"18-24",F468&lt;35,"25-35",F468&lt;45,"35-44",F468&lt;55,"44-54",F468&gt;=55,"55+")</f>
        <v>55+</v>
      </c>
      <c r="H468" t="s">
        <v>41</v>
      </c>
      <c r="I468">
        <v>1</v>
      </c>
      <c r="J468" t="str" cm="1">
        <f t="array" ref="J468">_xlfn.IFS(I468&lt;=0,"No Dependents",I468&lt;=1,"One",I468&lt;=2,"Two",I468&gt;=3,"Third")</f>
        <v>One</v>
      </c>
      <c r="K468">
        <v>585</v>
      </c>
      <c r="L468" t="str" cm="1">
        <f t="array" ref="L468">_xlfn.IFS(K468&lt;=580,"Poor",K468&lt;=670,"fair",K468&lt;=740,"Good",K468&lt;=800,"Very Good",K468&gt;=800,"Excellent")</f>
        <v>fair</v>
      </c>
      <c r="M468">
        <v>4</v>
      </c>
      <c r="N468" t="str">
        <f t="shared" si="29"/>
        <v>Yes</v>
      </c>
      <c r="O468">
        <v>0.2</v>
      </c>
      <c r="P468" t="str" cm="1">
        <f t="array" ref="P468">_xlfn.IFS(O468&lt;=0.3,"Low Risk",O468&lt;=0.4,"medium Risk",O468&lt;=0.5,"High Risk",O468&gt;0.5,"Very High Risk")</f>
        <v>Low Risk</v>
      </c>
      <c r="Q468">
        <v>2892</v>
      </c>
      <c r="R468">
        <v>3598</v>
      </c>
      <c r="S468" t="str">
        <f t="shared" si="30"/>
        <v>Yes</v>
      </c>
      <c r="T468">
        <v>16256</v>
      </c>
      <c r="U468" t="str" cm="1">
        <f t="array" ref="U468">_xlfn.IFS(T468&lt;5000,"Small",T468&lt;20000,"Medium",T468&lt;35000,"Large",T468&gt;35000,"Very Large")</f>
        <v>Medium</v>
      </c>
      <c r="V468">
        <v>84</v>
      </c>
      <c r="W468">
        <f t="shared" si="31"/>
        <v>7</v>
      </c>
      <c r="X468" t="s">
        <v>37</v>
      </c>
      <c r="Y468" t="s">
        <v>32</v>
      </c>
      <c r="Z468" t="s">
        <v>33</v>
      </c>
      <c r="AA468" t="s">
        <v>40</v>
      </c>
      <c r="AB468" t="s">
        <v>43</v>
      </c>
      <c r="AC468" t="s">
        <v>36</v>
      </c>
    </row>
    <row r="469" spans="1:29" x14ac:dyDescent="0.25">
      <c r="A469">
        <v>491</v>
      </c>
      <c r="B469">
        <v>12188</v>
      </c>
      <c r="C469">
        <v>7179</v>
      </c>
      <c r="D469">
        <f t="shared" si="28"/>
        <v>19367</v>
      </c>
      <c r="E469" t="s">
        <v>46</v>
      </c>
      <c r="F469">
        <v>21</v>
      </c>
      <c r="G469" t="str" cm="1">
        <f t="array" ref="G469">_xlfn.IFS(F469&lt;25,"18-24",F469&lt;35,"25-35",F469&lt;45,"35-44",F469&lt;55,"44-54",F469&gt;=55,"55+")</f>
        <v>18-24</v>
      </c>
      <c r="H469" t="s">
        <v>30</v>
      </c>
      <c r="I469">
        <v>0</v>
      </c>
      <c r="J469" t="str" cm="1">
        <f t="array" ref="J469">_xlfn.IFS(I469&lt;=0,"No Dependents",I469&lt;=1,"One",I469&lt;=2,"Two",I469&gt;=3,"Third")</f>
        <v>No Dependents</v>
      </c>
      <c r="K469">
        <v>717</v>
      </c>
      <c r="L469" t="str" cm="1">
        <f t="array" ref="L469">_xlfn.IFS(K469&lt;=580,"Poor",K469&lt;=670,"fair",K469&lt;=740,"Good",K469&lt;=800,"Very Good",K469&gt;=800,"Excellent")</f>
        <v>Good</v>
      </c>
      <c r="M469">
        <v>4</v>
      </c>
      <c r="N469" t="str">
        <f t="shared" si="29"/>
        <v>Yes</v>
      </c>
      <c r="O469">
        <v>0.12</v>
      </c>
      <c r="P469" t="str" cm="1">
        <f t="array" ref="P469">_xlfn.IFS(O469&lt;=0.3,"Low Risk",O469&lt;=0.4,"medium Risk",O469&lt;=0.5,"High Risk",O469&gt;0.5,"Very High Risk")</f>
        <v>Low Risk</v>
      </c>
      <c r="Q469">
        <v>1198</v>
      </c>
      <c r="R469">
        <v>0</v>
      </c>
      <c r="S469" t="str">
        <f t="shared" si="30"/>
        <v>No</v>
      </c>
      <c r="T469">
        <v>5905</v>
      </c>
      <c r="U469" t="str" cm="1">
        <f t="array" ref="U469">_xlfn.IFS(T469&lt;5000,"Small",T469&lt;20000,"Medium",T469&lt;35000,"Large",T469&gt;35000,"Very Large")</f>
        <v>Medium</v>
      </c>
      <c r="V469">
        <v>36</v>
      </c>
      <c r="W469">
        <f t="shared" si="31"/>
        <v>3</v>
      </c>
      <c r="X469" t="s">
        <v>31</v>
      </c>
      <c r="Y469" t="s">
        <v>38</v>
      </c>
      <c r="Z469" t="s">
        <v>39</v>
      </c>
      <c r="AA469" t="s">
        <v>34</v>
      </c>
      <c r="AB469" t="s">
        <v>35</v>
      </c>
      <c r="AC469" t="s">
        <v>44</v>
      </c>
    </row>
    <row r="470" spans="1:29" x14ac:dyDescent="0.25">
      <c r="A470">
        <v>492</v>
      </c>
      <c r="B470">
        <v>16683</v>
      </c>
      <c r="C470">
        <v>1560</v>
      </c>
      <c r="D470">
        <f t="shared" si="28"/>
        <v>18243</v>
      </c>
      <c r="E470" t="s">
        <v>29</v>
      </c>
      <c r="F470">
        <v>58</v>
      </c>
      <c r="G470" t="str" cm="1">
        <f t="array" ref="G470">_xlfn.IFS(F470&lt;25,"18-24",F470&lt;35,"25-35",F470&lt;45,"35-44",F470&lt;55,"44-54",F470&gt;=55,"55+")</f>
        <v>55+</v>
      </c>
      <c r="H470" t="s">
        <v>30</v>
      </c>
      <c r="I470">
        <v>3</v>
      </c>
      <c r="J470" t="str" cm="1">
        <f t="array" ref="J470">_xlfn.IFS(I470&lt;=0,"No Dependents",I470&lt;=1,"One",I470&lt;=2,"Two",I470&gt;=3,"Third")</f>
        <v>Third</v>
      </c>
      <c r="K470">
        <v>722</v>
      </c>
      <c r="L470" t="str" cm="1">
        <f t="array" ref="L470">_xlfn.IFS(K470&lt;=580,"Poor",K470&lt;=670,"fair",K470&lt;=740,"Good",K470&lt;=800,"Very Good",K470&gt;=800,"Excellent")</f>
        <v>Good</v>
      </c>
      <c r="M470">
        <v>3</v>
      </c>
      <c r="N470" t="str">
        <f t="shared" si="29"/>
        <v>Yes</v>
      </c>
      <c r="O470">
        <v>0.42</v>
      </c>
      <c r="P470" t="str" cm="1">
        <f t="array" ref="P470">_xlfn.IFS(O470&lt;=0.3,"Low Risk",O470&lt;=0.4,"medium Risk",O470&lt;=0.5,"High Risk",O470&gt;0.5,"Very High Risk")</f>
        <v>High Risk</v>
      </c>
      <c r="Q470">
        <v>18756</v>
      </c>
      <c r="R470">
        <v>6718</v>
      </c>
      <c r="S470" t="str">
        <f t="shared" si="30"/>
        <v>Yes</v>
      </c>
      <c r="T470">
        <v>9884</v>
      </c>
      <c r="U470" t="str" cm="1">
        <f t="array" ref="U470">_xlfn.IFS(T470&lt;5000,"Small",T470&lt;20000,"Medium",T470&lt;35000,"Large",T470&gt;35000,"Very Large")</f>
        <v>Medium</v>
      </c>
      <c r="V470">
        <v>72</v>
      </c>
      <c r="W470">
        <f t="shared" si="31"/>
        <v>6</v>
      </c>
      <c r="X470" t="s">
        <v>42</v>
      </c>
      <c r="Y470" t="s">
        <v>38</v>
      </c>
      <c r="Z470" t="s">
        <v>39</v>
      </c>
      <c r="AA470" t="s">
        <v>40</v>
      </c>
      <c r="AB470" t="s">
        <v>35</v>
      </c>
      <c r="AC470" t="s">
        <v>36</v>
      </c>
    </row>
    <row r="471" spans="1:29" x14ac:dyDescent="0.25">
      <c r="A471">
        <v>493</v>
      </c>
      <c r="B471">
        <v>2504</v>
      </c>
      <c r="C471">
        <v>1266</v>
      </c>
      <c r="D471">
        <f t="shared" si="28"/>
        <v>3770</v>
      </c>
      <c r="E471" t="s">
        <v>29</v>
      </c>
      <c r="F471">
        <v>58</v>
      </c>
      <c r="G471" t="str" cm="1">
        <f t="array" ref="G471">_xlfn.IFS(F471&lt;25,"18-24",F471&lt;35,"25-35",F471&lt;45,"35-44",F471&lt;55,"44-54",F471&gt;=55,"55+")</f>
        <v>55+</v>
      </c>
      <c r="H471" t="s">
        <v>30</v>
      </c>
      <c r="I471">
        <v>2</v>
      </c>
      <c r="J471" t="str" cm="1">
        <f t="array" ref="J471">_xlfn.IFS(I471&lt;=0,"No Dependents",I471&lt;=1,"One",I471&lt;=2,"Two",I471&gt;=3,"Third")</f>
        <v>Two</v>
      </c>
      <c r="K471">
        <v>681</v>
      </c>
      <c r="L471" t="str" cm="1">
        <f t="array" ref="L471">_xlfn.IFS(K471&lt;=580,"Poor",K471&lt;=670,"fair",K471&lt;=740,"Good",K471&lt;=800,"Very Good",K471&gt;=800,"Excellent")</f>
        <v>Good</v>
      </c>
      <c r="M471">
        <v>4</v>
      </c>
      <c r="N471" t="str">
        <f t="shared" si="29"/>
        <v>Yes</v>
      </c>
      <c r="O471">
        <v>0.23</v>
      </c>
      <c r="P471" t="str" cm="1">
        <f t="array" ref="P471">_xlfn.IFS(O471&lt;=0.3,"Low Risk",O471&lt;=0.4,"medium Risk",O471&lt;=0.5,"High Risk",O471&gt;0.5,"Very High Risk")</f>
        <v>Low Risk</v>
      </c>
      <c r="Q471">
        <v>18276</v>
      </c>
      <c r="R471">
        <v>42691</v>
      </c>
      <c r="S471" t="str">
        <f t="shared" si="30"/>
        <v>Yes</v>
      </c>
      <c r="T471">
        <v>29906</v>
      </c>
      <c r="U471" t="str" cm="1">
        <f t="array" ref="U471">_xlfn.IFS(T471&lt;5000,"Small",T471&lt;20000,"Medium",T471&lt;35000,"Large",T471&gt;35000,"Very Large")</f>
        <v>Large</v>
      </c>
      <c r="V471">
        <v>72</v>
      </c>
      <c r="W471">
        <f t="shared" si="31"/>
        <v>6</v>
      </c>
      <c r="X471" t="s">
        <v>37</v>
      </c>
      <c r="Y471" t="s">
        <v>38</v>
      </c>
      <c r="Z471" t="s">
        <v>39</v>
      </c>
      <c r="AA471" t="s">
        <v>34</v>
      </c>
      <c r="AB471" t="s">
        <v>43</v>
      </c>
      <c r="AC471" t="s">
        <v>36</v>
      </c>
    </row>
    <row r="472" spans="1:29" x14ac:dyDescent="0.25">
      <c r="A472">
        <v>494</v>
      </c>
      <c r="B472">
        <v>3214</v>
      </c>
      <c r="C472">
        <v>3638</v>
      </c>
      <c r="D472">
        <f t="shared" si="28"/>
        <v>6852</v>
      </c>
      <c r="E472" t="s">
        <v>29</v>
      </c>
      <c r="F472">
        <v>41</v>
      </c>
      <c r="G472" t="str" cm="1">
        <f t="array" ref="G472">_xlfn.IFS(F472&lt;25,"18-24",F472&lt;35,"25-35",F472&lt;45,"35-44",F472&lt;55,"44-54",F472&gt;=55,"55+")</f>
        <v>35-44</v>
      </c>
      <c r="H472" t="s">
        <v>30</v>
      </c>
      <c r="I472">
        <v>1</v>
      </c>
      <c r="J472" t="str" cm="1">
        <f t="array" ref="J472">_xlfn.IFS(I472&lt;=0,"No Dependents",I472&lt;=1,"One",I472&lt;=2,"Two",I472&gt;=3,"Third")</f>
        <v>One</v>
      </c>
      <c r="K472">
        <v>779</v>
      </c>
      <c r="L472" t="str" cm="1">
        <f t="array" ref="L472">_xlfn.IFS(K472&lt;=580,"Poor",K472&lt;=670,"fair",K472&lt;=740,"Good",K472&lt;=800,"Very Good",K472&gt;=800,"Excellent")</f>
        <v>Very Good</v>
      </c>
      <c r="M472">
        <v>3</v>
      </c>
      <c r="N472" t="str">
        <f t="shared" si="29"/>
        <v>Yes</v>
      </c>
      <c r="O472">
        <v>0.13</v>
      </c>
      <c r="P472" t="str" cm="1">
        <f t="array" ref="P472">_xlfn.IFS(O472&lt;=0.3,"Low Risk",O472&lt;=0.4,"medium Risk",O472&lt;=0.5,"High Risk",O472&gt;0.5,"Very High Risk")</f>
        <v>Low Risk</v>
      </c>
      <c r="Q472">
        <v>1883</v>
      </c>
      <c r="R472">
        <v>13782</v>
      </c>
      <c r="S472" t="str">
        <f t="shared" si="30"/>
        <v>Yes</v>
      </c>
      <c r="T472">
        <v>6950</v>
      </c>
      <c r="U472" t="str" cm="1">
        <f t="array" ref="U472">_xlfn.IFS(T472&lt;5000,"Small",T472&lt;20000,"Medium",T472&lt;35000,"Large",T472&gt;35000,"Very Large")</f>
        <v>Medium</v>
      </c>
      <c r="V472">
        <v>60</v>
      </c>
      <c r="W472">
        <f t="shared" si="31"/>
        <v>5</v>
      </c>
      <c r="X472" t="s">
        <v>37</v>
      </c>
      <c r="Y472" t="s">
        <v>45</v>
      </c>
      <c r="Z472" t="s">
        <v>33</v>
      </c>
      <c r="AA472" t="s">
        <v>34</v>
      </c>
      <c r="AB472" t="s">
        <v>51</v>
      </c>
      <c r="AC472" t="s">
        <v>44</v>
      </c>
    </row>
    <row r="473" spans="1:29" x14ac:dyDescent="0.25">
      <c r="A473">
        <v>495</v>
      </c>
      <c r="B473">
        <v>3531</v>
      </c>
      <c r="C473">
        <v>8941</v>
      </c>
      <c r="D473">
        <f t="shared" si="28"/>
        <v>12472</v>
      </c>
      <c r="E473" t="s">
        <v>49</v>
      </c>
      <c r="F473">
        <v>49</v>
      </c>
      <c r="G473" t="str" cm="1">
        <f t="array" ref="G473">_xlfn.IFS(F473&lt;25,"18-24",F473&lt;35,"25-35",F473&lt;45,"35-44",F473&lt;55,"44-54",F473&gt;=55,"55+")</f>
        <v>44-54</v>
      </c>
      <c r="H473" t="s">
        <v>30</v>
      </c>
      <c r="I473">
        <v>2</v>
      </c>
      <c r="J473" t="str" cm="1">
        <f t="array" ref="J473">_xlfn.IFS(I473&lt;=0,"No Dependents",I473&lt;=1,"One",I473&lt;=2,"Two",I473&gt;=3,"Third")</f>
        <v>Two</v>
      </c>
      <c r="K473">
        <v>702</v>
      </c>
      <c r="L473" t="str" cm="1">
        <f t="array" ref="L473">_xlfn.IFS(K473&lt;=580,"Poor",K473&lt;=670,"fair",K473&lt;=740,"Good",K473&lt;=800,"Very Good",K473&gt;=800,"Excellent")</f>
        <v>Good</v>
      </c>
      <c r="M473">
        <v>1</v>
      </c>
      <c r="N473" t="str">
        <f t="shared" si="29"/>
        <v>Yes</v>
      </c>
      <c r="O473">
        <v>0.22</v>
      </c>
      <c r="P473" t="str" cm="1">
        <f t="array" ref="P473">_xlfn.IFS(O473&lt;=0.3,"Low Risk",O473&lt;=0.4,"medium Risk",O473&lt;=0.5,"High Risk",O473&gt;0.5,"Very High Risk")</f>
        <v>Low Risk</v>
      </c>
      <c r="Q473">
        <v>797</v>
      </c>
      <c r="R473">
        <v>49244</v>
      </c>
      <c r="S473" t="str">
        <f t="shared" si="30"/>
        <v>Yes</v>
      </c>
      <c r="T473">
        <v>2360</v>
      </c>
      <c r="U473" t="str" cm="1">
        <f t="array" ref="U473">_xlfn.IFS(T473&lt;5000,"Small",T473&lt;20000,"Medium",T473&lt;35000,"Large",T473&gt;35000,"Very Large")</f>
        <v>Small</v>
      </c>
      <c r="V473">
        <v>60</v>
      </c>
      <c r="W473">
        <f t="shared" si="31"/>
        <v>5</v>
      </c>
      <c r="X473" t="s">
        <v>42</v>
      </c>
      <c r="Y473" t="s">
        <v>32</v>
      </c>
      <c r="Z473" t="s">
        <v>33</v>
      </c>
      <c r="AA473" t="s">
        <v>34</v>
      </c>
      <c r="AB473" t="s">
        <v>35</v>
      </c>
      <c r="AC473" t="s">
        <v>44</v>
      </c>
    </row>
    <row r="474" spans="1:29" x14ac:dyDescent="0.25">
      <c r="A474">
        <v>497</v>
      </c>
      <c r="B474">
        <v>19312</v>
      </c>
      <c r="C474">
        <v>4780</v>
      </c>
      <c r="D474">
        <f t="shared" si="28"/>
        <v>24092</v>
      </c>
      <c r="E474" t="s">
        <v>29</v>
      </c>
      <c r="F474">
        <v>30</v>
      </c>
      <c r="G474" t="str" cm="1">
        <f t="array" ref="G474">_xlfn.IFS(F474&lt;25,"18-24",F474&lt;35,"25-35",F474&lt;45,"35-44",F474&lt;55,"44-54",F474&gt;=55,"55+")</f>
        <v>25-35</v>
      </c>
      <c r="H474" t="s">
        <v>41</v>
      </c>
      <c r="I474">
        <v>1</v>
      </c>
      <c r="J474" t="str" cm="1">
        <f t="array" ref="J474">_xlfn.IFS(I474&lt;=0,"No Dependents",I474&lt;=1,"One",I474&lt;=2,"Two",I474&gt;=3,"Third")</f>
        <v>One</v>
      </c>
      <c r="K474">
        <v>707</v>
      </c>
      <c r="L474" t="str" cm="1">
        <f t="array" ref="L474">_xlfn.IFS(K474&lt;=580,"Poor",K474&lt;=670,"fair",K474&lt;=740,"Good",K474&lt;=800,"Very Good",K474&gt;=800,"Excellent")</f>
        <v>Good</v>
      </c>
      <c r="M474">
        <v>1</v>
      </c>
      <c r="N474" t="str">
        <f t="shared" si="29"/>
        <v>Yes</v>
      </c>
      <c r="O474">
        <v>0.53</v>
      </c>
      <c r="P474" t="str" cm="1">
        <f t="array" ref="P474">_xlfn.IFS(O474&lt;=0.3,"Low Risk",O474&lt;=0.4,"medium Risk",O474&lt;=0.5,"High Risk",O474&gt;0.5,"Very High Risk")</f>
        <v>Very High Risk</v>
      </c>
      <c r="Q474">
        <v>8235</v>
      </c>
      <c r="R474">
        <v>16702</v>
      </c>
      <c r="S474" t="str">
        <f t="shared" si="30"/>
        <v>Yes</v>
      </c>
      <c r="T474">
        <v>22946</v>
      </c>
      <c r="U474" t="str" cm="1">
        <f t="array" ref="U474">_xlfn.IFS(T474&lt;5000,"Small",T474&lt;20000,"Medium",T474&lt;35000,"Large",T474&gt;35000,"Very Large")</f>
        <v>Large</v>
      </c>
      <c r="V474">
        <v>72</v>
      </c>
      <c r="W474">
        <f t="shared" si="31"/>
        <v>6</v>
      </c>
      <c r="X474" t="s">
        <v>31</v>
      </c>
      <c r="Y474" t="s">
        <v>38</v>
      </c>
      <c r="Z474" t="s">
        <v>39</v>
      </c>
      <c r="AA474" t="s">
        <v>34</v>
      </c>
      <c r="AB474" t="s">
        <v>35</v>
      </c>
      <c r="AC474" t="s">
        <v>36</v>
      </c>
    </row>
    <row r="475" spans="1:29" x14ac:dyDescent="0.25">
      <c r="A475">
        <v>498</v>
      </c>
      <c r="B475">
        <v>7029</v>
      </c>
      <c r="C475">
        <v>1927</v>
      </c>
      <c r="D475">
        <f t="shared" si="28"/>
        <v>8956</v>
      </c>
      <c r="E475" t="s">
        <v>49</v>
      </c>
      <c r="F475">
        <v>48</v>
      </c>
      <c r="G475" t="str" cm="1">
        <f t="array" ref="G475">_xlfn.IFS(F475&lt;25,"18-24",F475&lt;35,"25-35",F475&lt;45,"35-44",F475&lt;55,"44-54",F475&gt;=55,"55+")</f>
        <v>44-54</v>
      </c>
      <c r="H475" t="s">
        <v>30</v>
      </c>
      <c r="I475">
        <v>0</v>
      </c>
      <c r="J475" t="str" cm="1">
        <f t="array" ref="J475">_xlfn.IFS(I475&lt;=0,"No Dependents",I475&lt;=1,"One",I475&lt;=2,"Two",I475&gt;=3,"Third")</f>
        <v>No Dependents</v>
      </c>
      <c r="K475">
        <v>753</v>
      </c>
      <c r="L475" t="str" cm="1">
        <f t="array" ref="L475">_xlfn.IFS(K475&lt;=580,"Poor",K475&lt;=670,"fair",K475&lt;=740,"Good",K475&lt;=800,"Very Good",K475&gt;=800,"Excellent")</f>
        <v>Very Good</v>
      </c>
      <c r="M475">
        <v>0</v>
      </c>
      <c r="N475" t="str">
        <f t="shared" si="29"/>
        <v>No</v>
      </c>
      <c r="O475">
        <v>0.34</v>
      </c>
      <c r="P475" t="str" cm="1">
        <f t="array" ref="P475">_xlfn.IFS(O475&lt;=0.3,"Low Risk",O475&lt;=0.4,"medium Risk",O475&lt;=0.5,"High Risk",O475&gt;0.5,"Very High Risk")</f>
        <v>medium Risk</v>
      </c>
      <c r="Q475">
        <v>16538</v>
      </c>
      <c r="R475">
        <v>10184</v>
      </c>
      <c r="S475" t="str">
        <f t="shared" si="30"/>
        <v>Yes</v>
      </c>
      <c r="T475">
        <v>9730</v>
      </c>
      <c r="U475" t="str" cm="1">
        <f t="array" ref="U475">_xlfn.IFS(T475&lt;5000,"Small",T475&lt;20000,"Medium",T475&lt;35000,"Large",T475&gt;35000,"Very Large")</f>
        <v>Medium</v>
      </c>
      <c r="V475">
        <v>24</v>
      </c>
      <c r="W475">
        <f t="shared" si="31"/>
        <v>2</v>
      </c>
      <c r="X475" t="s">
        <v>42</v>
      </c>
      <c r="Y475" t="s">
        <v>32</v>
      </c>
      <c r="Z475" t="s">
        <v>33</v>
      </c>
      <c r="AA475" t="s">
        <v>34</v>
      </c>
      <c r="AB475" t="s">
        <v>48</v>
      </c>
      <c r="AC475" t="s">
        <v>44</v>
      </c>
    </row>
    <row r="476" spans="1:29" x14ac:dyDescent="0.25">
      <c r="A476">
        <v>499</v>
      </c>
      <c r="B476">
        <v>15428</v>
      </c>
      <c r="C476">
        <v>2356</v>
      </c>
      <c r="D476">
        <f t="shared" si="28"/>
        <v>17784</v>
      </c>
      <c r="E476" t="s">
        <v>29</v>
      </c>
      <c r="F476">
        <v>41</v>
      </c>
      <c r="G476" t="str" cm="1">
        <f t="array" ref="G476">_xlfn.IFS(F476&lt;25,"18-24",F476&lt;35,"25-35",F476&lt;45,"35-44",F476&lt;55,"44-54",F476&gt;=55,"55+")</f>
        <v>35-44</v>
      </c>
      <c r="H476" t="s">
        <v>30</v>
      </c>
      <c r="I476">
        <v>0</v>
      </c>
      <c r="J476" t="str" cm="1">
        <f t="array" ref="J476">_xlfn.IFS(I476&lt;=0,"No Dependents",I476&lt;=1,"One",I476&lt;=2,"Two",I476&gt;=3,"Third")</f>
        <v>No Dependents</v>
      </c>
      <c r="K476">
        <v>745</v>
      </c>
      <c r="L476" t="str" cm="1">
        <f t="array" ref="L476">_xlfn.IFS(K476&lt;=580,"Poor",K476&lt;=670,"fair",K476&lt;=740,"Good",K476&lt;=800,"Very Good",K476&gt;=800,"Excellent")</f>
        <v>Very Good</v>
      </c>
      <c r="M476">
        <v>1</v>
      </c>
      <c r="N476" t="str">
        <f t="shared" si="29"/>
        <v>Yes</v>
      </c>
      <c r="O476">
        <v>0.31</v>
      </c>
      <c r="P476" t="str" cm="1">
        <f t="array" ref="P476">_xlfn.IFS(O476&lt;=0.3,"Low Risk",O476&lt;=0.4,"medium Risk",O476&lt;=0.5,"High Risk",O476&gt;0.5,"Very High Risk")</f>
        <v>medium Risk</v>
      </c>
      <c r="Q476">
        <v>15257</v>
      </c>
      <c r="R476">
        <v>12468</v>
      </c>
      <c r="S476" t="str">
        <f t="shared" si="30"/>
        <v>Yes</v>
      </c>
      <c r="T476">
        <v>23161</v>
      </c>
      <c r="U476" t="str" cm="1">
        <f t="array" ref="U476">_xlfn.IFS(T476&lt;5000,"Small",T476&lt;20000,"Medium",T476&lt;35000,"Large",T476&gt;35000,"Very Large")</f>
        <v>Large</v>
      </c>
      <c r="V476">
        <v>24</v>
      </c>
      <c r="W476">
        <f t="shared" si="31"/>
        <v>2</v>
      </c>
      <c r="X476" t="s">
        <v>50</v>
      </c>
      <c r="Y476" t="s">
        <v>32</v>
      </c>
      <c r="Z476" t="s">
        <v>39</v>
      </c>
      <c r="AA476" t="s">
        <v>40</v>
      </c>
      <c r="AB476" t="s">
        <v>35</v>
      </c>
      <c r="AC476" t="s">
        <v>44</v>
      </c>
    </row>
    <row r="477" spans="1:29" x14ac:dyDescent="0.25">
      <c r="A477">
        <v>500</v>
      </c>
      <c r="B477">
        <v>18517</v>
      </c>
      <c r="C477">
        <v>4790</v>
      </c>
      <c r="D477">
        <f t="shared" si="28"/>
        <v>23307</v>
      </c>
      <c r="E477" t="s">
        <v>48</v>
      </c>
      <c r="F477">
        <v>27</v>
      </c>
      <c r="G477" t="str" cm="1">
        <f t="array" ref="G477">_xlfn.IFS(F477&lt;25,"18-24",F477&lt;35,"25-35",F477&lt;45,"35-44",F477&lt;55,"44-54",F477&gt;=55,"55+")</f>
        <v>25-35</v>
      </c>
      <c r="H477" t="s">
        <v>30</v>
      </c>
      <c r="I477">
        <v>2</v>
      </c>
      <c r="J477" t="str" cm="1">
        <f t="array" ref="J477">_xlfn.IFS(I477&lt;=0,"No Dependents",I477&lt;=1,"One",I477&lt;=2,"Two",I477&gt;=3,"Third")</f>
        <v>Two</v>
      </c>
      <c r="K477">
        <v>765</v>
      </c>
      <c r="L477" t="str" cm="1">
        <f t="array" ref="L477">_xlfn.IFS(K477&lt;=580,"Poor",K477&lt;=670,"fair",K477&lt;=740,"Good",K477&lt;=800,"Very Good",K477&gt;=800,"Excellent")</f>
        <v>Very Good</v>
      </c>
      <c r="M477">
        <v>0</v>
      </c>
      <c r="N477" t="str">
        <f t="shared" si="29"/>
        <v>No</v>
      </c>
      <c r="O477">
        <v>0.59</v>
      </c>
      <c r="P477" t="str" cm="1">
        <f t="array" ref="P477">_xlfn.IFS(O477&lt;=0.3,"Low Risk",O477&lt;=0.4,"medium Risk",O477&lt;=0.5,"High Risk",O477&gt;0.5,"Very High Risk")</f>
        <v>Very High Risk</v>
      </c>
      <c r="Q477">
        <v>8050</v>
      </c>
      <c r="R477">
        <v>22072</v>
      </c>
      <c r="S477" t="str">
        <f t="shared" si="30"/>
        <v>Yes</v>
      </c>
      <c r="T477">
        <v>28738</v>
      </c>
      <c r="U477" t="str" cm="1">
        <f t="array" ref="U477">_xlfn.IFS(T477&lt;5000,"Small",T477&lt;20000,"Medium",T477&lt;35000,"Large",T477&gt;35000,"Very Large")</f>
        <v>Large</v>
      </c>
      <c r="V477">
        <v>36</v>
      </c>
      <c r="W477">
        <f t="shared" si="31"/>
        <v>3</v>
      </c>
      <c r="X477" t="s">
        <v>47</v>
      </c>
      <c r="Y477" t="s">
        <v>45</v>
      </c>
      <c r="Z477" t="s">
        <v>33</v>
      </c>
      <c r="AA477" t="s">
        <v>40</v>
      </c>
      <c r="AB477" t="s">
        <v>51</v>
      </c>
      <c r="AC477" t="s">
        <v>36</v>
      </c>
    </row>
    <row r="478" spans="1:29" x14ac:dyDescent="0.25">
      <c r="A478">
        <v>501</v>
      </c>
      <c r="B478">
        <v>4105</v>
      </c>
      <c r="C478">
        <v>306</v>
      </c>
      <c r="D478">
        <f t="shared" si="28"/>
        <v>4411</v>
      </c>
      <c r="E478" t="s">
        <v>29</v>
      </c>
      <c r="F478">
        <v>23</v>
      </c>
      <c r="G478" t="str" cm="1">
        <f t="array" ref="G478">_xlfn.IFS(F478&lt;25,"18-24",F478&lt;35,"25-35",F478&lt;45,"35-44",F478&lt;55,"44-54",F478&gt;=55,"55+")</f>
        <v>18-24</v>
      </c>
      <c r="H478" t="s">
        <v>30</v>
      </c>
      <c r="I478">
        <v>2</v>
      </c>
      <c r="J478" t="str" cm="1">
        <f t="array" ref="J478">_xlfn.IFS(I478&lt;=0,"No Dependents",I478&lt;=1,"One",I478&lt;=2,"Two",I478&gt;=3,"Third")</f>
        <v>Two</v>
      </c>
      <c r="K478">
        <v>578</v>
      </c>
      <c r="L478" t="str" cm="1">
        <f t="array" ref="L478">_xlfn.IFS(K478&lt;=580,"Poor",K478&lt;=670,"fair",K478&lt;=740,"Good",K478&lt;=800,"Very Good",K478&gt;=800,"Excellent")</f>
        <v>Poor</v>
      </c>
      <c r="M478">
        <v>0</v>
      </c>
      <c r="N478" t="str">
        <f t="shared" si="29"/>
        <v>No</v>
      </c>
      <c r="O478">
        <v>0.2</v>
      </c>
      <c r="P478" t="str" cm="1">
        <f t="array" ref="P478">_xlfn.IFS(O478&lt;=0.3,"Low Risk",O478&lt;=0.4,"medium Risk",O478&lt;=0.5,"High Risk",O478&gt;0.5,"Very High Risk")</f>
        <v>Low Risk</v>
      </c>
      <c r="Q478">
        <v>5947</v>
      </c>
      <c r="R478">
        <v>15479</v>
      </c>
      <c r="S478" t="str">
        <f t="shared" si="30"/>
        <v>Yes</v>
      </c>
      <c r="T478">
        <v>4925</v>
      </c>
      <c r="U478" t="str" cm="1">
        <f t="array" ref="U478">_xlfn.IFS(T478&lt;5000,"Small",T478&lt;20000,"Medium",T478&lt;35000,"Large",T478&gt;35000,"Very Large")</f>
        <v>Small</v>
      </c>
      <c r="V478">
        <v>84</v>
      </c>
      <c r="W478">
        <f t="shared" si="31"/>
        <v>7</v>
      </c>
      <c r="X478" t="s">
        <v>47</v>
      </c>
      <c r="Y478" t="s">
        <v>32</v>
      </c>
      <c r="Z478" t="s">
        <v>33</v>
      </c>
      <c r="AA478" t="s">
        <v>40</v>
      </c>
      <c r="AB478" t="s">
        <v>35</v>
      </c>
      <c r="AC478" t="s">
        <v>36</v>
      </c>
    </row>
    <row r="479" spans="1:29" x14ac:dyDescent="0.25">
      <c r="A479">
        <v>502</v>
      </c>
      <c r="B479">
        <v>5627</v>
      </c>
      <c r="C479">
        <v>7979</v>
      </c>
      <c r="D479">
        <f t="shared" si="28"/>
        <v>13606</v>
      </c>
      <c r="E479" t="s">
        <v>46</v>
      </c>
      <c r="F479">
        <v>40</v>
      </c>
      <c r="G479" t="str" cm="1">
        <f t="array" ref="G479">_xlfn.IFS(F479&lt;25,"18-24",F479&lt;35,"25-35",F479&lt;45,"35-44",F479&lt;55,"44-54",F479&gt;=55,"55+")</f>
        <v>35-44</v>
      </c>
      <c r="H479" t="s">
        <v>41</v>
      </c>
      <c r="I479">
        <v>2</v>
      </c>
      <c r="J479" t="str" cm="1">
        <f t="array" ref="J479">_xlfn.IFS(I479&lt;=0,"No Dependents",I479&lt;=1,"One",I479&lt;=2,"Two",I479&gt;=3,"Third")</f>
        <v>Two</v>
      </c>
      <c r="K479">
        <v>750</v>
      </c>
      <c r="L479" t="str" cm="1">
        <f t="array" ref="L479">_xlfn.IFS(K479&lt;=580,"Poor",K479&lt;=670,"fair",K479&lt;=740,"Good",K479&lt;=800,"Very Good",K479&gt;=800,"Excellent")</f>
        <v>Very Good</v>
      </c>
      <c r="M479">
        <v>2</v>
      </c>
      <c r="N479" t="str">
        <f t="shared" si="29"/>
        <v>Yes</v>
      </c>
      <c r="O479">
        <v>0.21</v>
      </c>
      <c r="P479" t="str" cm="1">
        <f t="array" ref="P479">_xlfn.IFS(O479&lt;=0.3,"Low Risk",O479&lt;=0.4,"medium Risk",O479&lt;=0.5,"High Risk",O479&gt;0.5,"Very High Risk")</f>
        <v>Low Risk</v>
      </c>
      <c r="Q479">
        <v>9617</v>
      </c>
      <c r="R479">
        <v>0</v>
      </c>
      <c r="S479" t="str">
        <f t="shared" si="30"/>
        <v>No</v>
      </c>
      <c r="T479">
        <v>9463</v>
      </c>
      <c r="U479" t="str" cm="1">
        <f t="array" ref="U479">_xlfn.IFS(T479&lt;5000,"Small",T479&lt;20000,"Medium",T479&lt;35000,"Large",T479&gt;35000,"Very Large")</f>
        <v>Medium</v>
      </c>
      <c r="V479">
        <v>48</v>
      </c>
      <c r="W479">
        <f t="shared" si="31"/>
        <v>4</v>
      </c>
      <c r="X479" t="s">
        <v>42</v>
      </c>
      <c r="Y479" t="s">
        <v>38</v>
      </c>
      <c r="Z479" t="s">
        <v>39</v>
      </c>
      <c r="AA479" t="s">
        <v>40</v>
      </c>
      <c r="AB479" t="s">
        <v>43</v>
      </c>
      <c r="AC479" t="s">
        <v>44</v>
      </c>
    </row>
    <row r="480" spans="1:29" x14ac:dyDescent="0.25">
      <c r="A480">
        <v>503</v>
      </c>
      <c r="B480">
        <v>14972</v>
      </c>
      <c r="C480">
        <v>3665</v>
      </c>
      <c r="D480">
        <f t="shared" si="28"/>
        <v>18637</v>
      </c>
      <c r="E480" t="s">
        <v>29</v>
      </c>
      <c r="F480">
        <v>39</v>
      </c>
      <c r="G480" t="str" cm="1">
        <f t="array" ref="G480">_xlfn.IFS(F480&lt;25,"18-24",F480&lt;35,"25-35",F480&lt;45,"35-44",F480&lt;55,"44-54",F480&gt;=55,"55+")</f>
        <v>35-44</v>
      </c>
      <c r="H480" t="s">
        <v>41</v>
      </c>
      <c r="I480">
        <v>2</v>
      </c>
      <c r="J480" t="str" cm="1">
        <f t="array" ref="J480">_xlfn.IFS(I480&lt;=0,"No Dependents",I480&lt;=1,"One",I480&lt;=2,"Two",I480&gt;=3,"Third")</f>
        <v>Two</v>
      </c>
      <c r="K480">
        <v>745</v>
      </c>
      <c r="L480" t="str" cm="1">
        <f t="array" ref="L480">_xlfn.IFS(K480&lt;=580,"Poor",K480&lt;=670,"fair",K480&lt;=740,"Good",K480&lt;=800,"Very Good",K480&gt;=800,"Excellent")</f>
        <v>Very Good</v>
      </c>
      <c r="M480">
        <v>0</v>
      </c>
      <c r="N480" t="str">
        <f t="shared" si="29"/>
        <v>No</v>
      </c>
      <c r="O480">
        <v>0.25</v>
      </c>
      <c r="P480" t="str" cm="1">
        <f t="array" ref="P480">_xlfn.IFS(O480&lt;=0.3,"Low Risk",O480&lt;=0.4,"medium Risk",O480&lt;=0.5,"High Risk",O480&gt;0.5,"Very High Risk")</f>
        <v>Low Risk</v>
      </c>
      <c r="Q480">
        <v>1892</v>
      </c>
      <c r="R480">
        <v>23402</v>
      </c>
      <c r="S480" t="str">
        <f t="shared" si="30"/>
        <v>Yes</v>
      </c>
      <c r="T480">
        <v>18412</v>
      </c>
      <c r="U480" t="str" cm="1">
        <f t="array" ref="U480">_xlfn.IFS(T480&lt;5000,"Small",T480&lt;20000,"Medium",T480&lt;35000,"Large",T480&gt;35000,"Very Large")</f>
        <v>Medium</v>
      </c>
      <c r="V480">
        <v>84</v>
      </c>
      <c r="W480">
        <f t="shared" si="31"/>
        <v>7</v>
      </c>
      <c r="X480" t="s">
        <v>47</v>
      </c>
      <c r="Y480" t="s">
        <v>32</v>
      </c>
      <c r="Z480" t="s">
        <v>39</v>
      </c>
      <c r="AA480" t="s">
        <v>34</v>
      </c>
      <c r="AB480" t="s">
        <v>42</v>
      </c>
      <c r="AC480" t="s">
        <v>44</v>
      </c>
    </row>
    <row r="481" spans="1:29" x14ac:dyDescent="0.25">
      <c r="A481">
        <v>504</v>
      </c>
      <c r="B481">
        <v>0</v>
      </c>
      <c r="C481">
        <v>7057</v>
      </c>
      <c r="D481">
        <f t="shared" si="28"/>
        <v>7057</v>
      </c>
      <c r="E481" t="s">
        <v>48</v>
      </c>
      <c r="F481">
        <v>55</v>
      </c>
      <c r="G481" t="str" cm="1">
        <f t="array" ref="G481">_xlfn.IFS(F481&lt;25,"18-24",F481&lt;35,"25-35",F481&lt;45,"35-44",F481&lt;55,"44-54",F481&gt;=55,"55+")</f>
        <v>55+</v>
      </c>
      <c r="H481" t="s">
        <v>30</v>
      </c>
      <c r="I481">
        <v>0</v>
      </c>
      <c r="J481" t="str" cm="1">
        <f t="array" ref="J481">_xlfn.IFS(I481&lt;=0,"No Dependents",I481&lt;=1,"One",I481&lt;=2,"Two",I481&gt;=3,"Third")</f>
        <v>No Dependents</v>
      </c>
      <c r="K481">
        <v>600</v>
      </c>
      <c r="L481" t="str" cm="1">
        <f t="array" ref="L481">_xlfn.IFS(K481&lt;=580,"Poor",K481&lt;=670,"fair",K481&lt;=740,"Good",K481&lt;=800,"Very Good",K481&gt;=800,"Excellent")</f>
        <v>fair</v>
      </c>
      <c r="M481">
        <v>0</v>
      </c>
      <c r="N481" t="str">
        <f t="shared" si="29"/>
        <v>No</v>
      </c>
      <c r="O481">
        <v>0.19</v>
      </c>
      <c r="P481" t="str" cm="1">
        <f t="array" ref="P481">_xlfn.IFS(O481&lt;=0.3,"Low Risk",O481&lt;=0.4,"medium Risk",O481&lt;=0.5,"High Risk",O481&gt;0.5,"Very High Risk")</f>
        <v>Low Risk</v>
      </c>
      <c r="Q481">
        <v>3424</v>
      </c>
      <c r="R481">
        <v>7210</v>
      </c>
      <c r="S481" t="str">
        <f t="shared" si="30"/>
        <v>Yes</v>
      </c>
      <c r="T481">
        <v>23402</v>
      </c>
      <c r="U481" t="str" cm="1">
        <f t="array" ref="U481">_xlfn.IFS(T481&lt;5000,"Small",T481&lt;20000,"Medium",T481&lt;35000,"Large",T481&gt;35000,"Very Large")</f>
        <v>Large</v>
      </c>
      <c r="V481">
        <v>24</v>
      </c>
      <c r="W481">
        <f t="shared" si="31"/>
        <v>2</v>
      </c>
      <c r="X481" t="s">
        <v>31</v>
      </c>
      <c r="Y481" t="s">
        <v>45</v>
      </c>
      <c r="Z481" t="s">
        <v>33</v>
      </c>
      <c r="AA481" t="s">
        <v>40</v>
      </c>
      <c r="AB481" t="s">
        <v>35</v>
      </c>
      <c r="AC481" t="s">
        <v>36</v>
      </c>
    </row>
    <row r="482" spans="1:29" x14ac:dyDescent="0.25">
      <c r="A482">
        <v>505</v>
      </c>
      <c r="B482">
        <v>6910</v>
      </c>
      <c r="C482">
        <v>661</v>
      </c>
      <c r="D482">
        <f t="shared" si="28"/>
        <v>7571</v>
      </c>
      <c r="E482" t="s">
        <v>52</v>
      </c>
      <c r="F482">
        <v>24</v>
      </c>
      <c r="G482" t="str" cm="1">
        <f t="array" ref="G482">_xlfn.IFS(F482&lt;25,"18-24",F482&lt;35,"25-35",F482&lt;45,"35-44",F482&lt;55,"44-54",F482&gt;=55,"55+")</f>
        <v>18-24</v>
      </c>
      <c r="H482" t="s">
        <v>41</v>
      </c>
      <c r="I482">
        <v>1</v>
      </c>
      <c r="J482" t="str" cm="1">
        <f t="array" ref="J482">_xlfn.IFS(I482&lt;=0,"No Dependents",I482&lt;=1,"One",I482&lt;=2,"Two",I482&gt;=3,"Third")</f>
        <v>One</v>
      </c>
      <c r="K482">
        <v>701</v>
      </c>
      <c r="L482" t="str" cm="1">
        <f t="array" ref="L482">_xlfn.IFS(K482&lt;=580,"Poor",K482&lt;=670,"fair",K482&lt;=740,"Good",K482&lt;=800,"Very Good",K482&gt;=800,"Excellent")</f>
        <v>Good</v>
      </c>
      <c r="M482">
        <v>2</v>
      </c>
      <c r="N482" t="str">
        <f t="shared" si="29"/>
        <v>Yes</v>
      </c>
      <c r="O482">
        <v>0.28999999999999998</v>
      </c>
      <c r="P482" t="str" cm="1">
        <f t="array" ref="P482">_xlfn.IFS(O482&lt;=0.3,"Low Risk",O482&lt;=0.4,"medium Risk",O482&lt;=0.5,"High Risk",O482&gt;0.5,"Very High Risk")</f>
        <v>Low Risk</v>
      </c>
      <c r="Q482">
        <v>0</v>
      </c>
      <c r="R482">
        <v>45702</v>
      </c>
      <c r="S482" t="str">
        <f t="shared" si="30"/>
        <v>Yes</v>
      </c>
      <c r="T482">
        <v>35010</v>
      </c>
      <c r="U482" t="str" cm="1">
        <f t="array" ref="U482">_xlfn.IFS(T482&lt;5000,"Small",T482&lt;20000,"Medium",T482&lt;35000,"Large",T482&gt;35000,"Very Large")</f>
        <v>Very Large</v>
      </c>
      <c r="V482">
        <v>36</v>
      </c>
      <c r="W482">
        <f t="shared" si="31"/>
        <v>3</v>
      </c>
      <c r="X482" t="s">
        <v>37</v>
      </c>
      <c r="Y482" t="s">
        <v>45</v>
      </c>
      <c r="Z482" t="s">
        <v>39</v>
      </c>
      <c r="AA482" t="s">
        <v>34</v>
      </c>
      <c r="AB482" t="s">
        <v>43</v>
      </c>
      <c r="AC482" t="s">
        <v>36</v>
      </c>
    </row>
    <row r="483" spans="1:29" x14ac:dyDescent="0.25">
      <c r="A483">
        <v>506</v>
      </c>
      <c r="B483">
        <v>13003</v>
      </c>
      <c r="C483">
        <v>4644</v>
      </c>
      <c r="D483">
        <f t="shared" si="28"/>
        <v>17647</v>
      </c>
      <c r="E483" t="s">
        <v>29</v>
      </c>
      <c r="F483">
        <v>25</v>
      </c>
      <c r="G483" t="str" cm="1">
        <f t="array" ref="G483">_xlfn.IFS(F483&lt;25,"18-24",F483&lt;35,"25-35",F483&lt;45,"35-44",F483&lt;55,"44-54",F483&gt;=55,"55+")</f>
        <v>25-35</v>
      </c>
      <c r="H483" t="s">
        <v>30</v>
      </c>
      <c r="I483">
        <v>0</v>
      </c>
      <c r="J483" t="str" cm="1">
        <f t="array" ref="J483">_xlfn.IFS(I483&lt;=0,"No Dependents",I483&lt;=1,"One",I483&lt;=2,"Two",I483&gt;=3,"Third")</f>
        <v>No Dependents</v>
      </c>
      <c r="K483">
        <v>563</v>
      </c>
      <c r="L483" t="str" cm="1">
        <f t="array" ref="L483">_xlfn.IFS(K483&lt;=580,"Poor",K483&lt;=670,"fair",K483&lt;=740,"Good",K483&lt;=800,"Very Good",K483&gt;=800,"Excellent")</f>
        <v>Poor</v>
      </c>
      <c r="M483">
        <v>4</v>
      </c>
      <c r="N483" t="str">
        <f t="shared" si="29"/>
        <v>Yes</v>
      </c>
      <c r="O483">
        <v>0.56000000000000005</v>
      </c>
      <c r="P483" t="str" cm="1">
        <f t="array" ref="P483">_xlfn.IFS(O483&lt;=0.3,"Low Risk",O483&lt;=0.4,"medium Risk",O483&lt;=0.5,"High Risk",O483&gt;0.5,"Very High Risk")</f>
        <v>Very High Risk</v>
      </c>
      <c r="Q483">
        <v>13418</v>
      </c>
      <c r="R483">
        <v>36724</v>
      </c>
      <c r="S483" t="str">
        <f t="shared" si="30"/>
        <v>Yes</v>
      </c>
      <c r="T483">
        <v>26717</v>
      </c>
      <c r="U483" t="str" cm="1">
        <f t="array" ref="U483">_xlfn.IFS(T483&lt;5000,"Small",T483&lt;20000,"Medium",T483&lt;35000,"Large",T483&gt;35000,"Very Large")</f>
        <v>Large</v>
      </c>
      <c r="V483">
        <v>84</v>
      </c>
      <c r="W483">
        <f t="shared" si="31"/>
        <v>7</v>
      </c>
      <c r="X483" t="s">
        <v>42</v>
      </c>
      <c r="Y483" t="s">
        <v>45</v>
      </c>
      <c r="Z483" t="s">
        <v>39</v>
      </c>
      <c r="AA483" t="s">
        <v>34</v>
      </c>
      <c r="AB483" t="s">
        <v>35</v>
      </c>
      <c r="AC483" t="s">
        <v>36</v>
      </c>
    </row>
    <row r="484" spans="1:29" x14ac:dyDescent="0.25">
      <c r="A484">
        <v>508</v>
      </c>
      <c r="B484">
        <v>13704</v>
      </c>
      <c r="C484">
        <v>2920</v>
      </c>
      <c r="D484">
        <f t="shared" si="28"/>
        <v>16624</v>
      </c>
      <c r="E484" t="s">
        <v>29</v>
      </c>
      <c r="F484">
        <v>24</v>
      </c>
      <c r="G484" t="str" cm="1">
        <f t="array" ref="G484">_xlfn.IFS(F484&lt;25,"18-24",F484&lt;35,"25-35",F484&lt;45,"35-44",F484&lt;55,"44-54",F484&gt;=55,"55+")</f>
        <v>18-24</v>
      </c>
      <c r="H484" t="s">
        <v>30</v>
      </c>
      <c r="I484">
        <v>0</v>
      </c>
      <c r="J484" t="str" cm="1">
        <f t="array" ref="J484">_xlfn.IFS(I484&lt;=0,"No Dependents",I484&lt;=1,"One",I484&lt;=2,"Two",I484&gt;=3,"Third")</f>
        <v>No Dependents</v>
      </c>
      <c r="K484">
        <v>695</v>
      </c>
      <c r="L484" t="str" cm="1">
        <f t="array" ref="L484">_xlfn.IFS(K484&lt;=580,"Poor",K484&lt;=670,"fair",K484&lt;=740,"Good",K484&lt;=800,"Very Good",K484&gt;=800,"Excellent")</f>
        <v>Good</v>
      </c>
      <c r="M484">
        <v>2</v>
      </c>
      <c r="N484" t="str">
        <f t="shared" si="29"/>
        <v>Yes</v>
      </c>
      <c r="O484">
        <v>0.31</v>
      </c>
      <c r="P484" t="str" cm="1">
        <f t="array" ref="P484">_xlfn.IFS(O484&lt;=0.3,"Low Risk",O484&lt;=0.4,"medium Risk",O484&lt;=0.5,"High Risk",O484&gt;0.5,"Very High Risk")</f>
        <v>medium Risk</v>
      </c>
      <c r="Q484">
        <v>4833</v>
      </c>
      <c r="R484">
        <v>30916</v>
      </c>
      <c r="S484" t="str">
        <f t="shared" si="30"/>
        <v>Yes</v>
      </c>
      <c r="T484">
        <v>21594</v>
      </c>
      <c r="U484" t="str" cm="1">
        <f t="array" ref="U484">_xlfn.IFS(T484&lt;5000,"Small",T484&lt;20000,"Medium",T484&lt;35000,"Large",T484&gt;35000,"Very Large")</f>
        <v>Large</v>
      </c>
      <c r="V484">
        <v>60</v>
      </c>
      <c r="W484">
        <f t="shared" si="31"/>
        <v>5</v>
      </c>
      <c r="X484" t="s">
        <v>37</v>
      </c>
      <c r="Y484" t="s">
        <v>32</v>
      </c>
      <c r="Z484" t="s">
        <v>39</v>
      </c>
      <c r="AA484" t="s">
        <v>34</v>
      </c>
      <c r="AB484" t="s">
        <v>51</v>
      </c>
      <c r="AC484" t="s">
        <v>44</v>
      </c>
    </row>
    <row r="485" spans="1:29" x14ac:dyDescent="0.25">
      <c r="A485">
        <v>509</v>
      </c>
      <c r="B485">
        <v>17761</v>
      </c>
      <c r="C485">
        <v>9274</v>
      </c>
      <c r="D485">
        <f t="shared" si="28"/>
        <v>27035</v>
      </c>
      <c r="E485" t="s">
        <v>29</v>
      </c>
      <c r="F485">
        <v>32</v>
      </c>
      <c r="G485" t="str" cm="1">
        <f t="array" ref="G485">_xlfn.IFS(F485&lt;25,"18-24",F485&lt;35,"25-35",F485&lt;45,"35-44",F485&lt;55,"44-54",F485&gt;=55,"55+")</f>
        <v>25-35</v>
      </c>
      <c r="H485" t="s">
        <v>30</v>
      </c>
      <c r="I485">
        <v>2</v>
      </c>
      <c r="J485" t="str" cm="1">
        <f t="array" ref="J485">_xlfn.IFS(I485&lt;=0,"No Dependents",I485&lt;=1,"One",I485&lt;=2,"Two",I485&gt;=3,"Third")</f>
        <v>Two</v>
      </c>
      <c r="K485">
        <v>719</v>
      </c>
      <c r="L485" t="str" cm="1">
        <f t="array" ref="L485">_xlfn.IFS(K485&lt;=580,"Poor",K485&lt;=670,"fair",K485&lt;=740,"Good",K485&lt;=800,"Very Good",K485&gt;=800,"Excellent")</f>
        <v>Good</v>
      </c>
      <c r="M485">
        <v>3</v>
      </c>
      <c r="N485" t="str">
        <f t="shared" si="29"/>
        <v>Yes</v>
      </c>
      <c r="O485">
        <v>0.56999999999999995</v>
      </c>
      <c r="P485" t="str" cm="1">
        <f t="array" ref="P485">_xlfn.IFS(O485&lt;=0.3,"Low Risk",O485&lt;=0.4,"medium Risk",O485&lt;=0.5,"High Risk",O485&gt;0.5,"Very High Risk")</f>
        <v>Very High Risk</v>
      </c>
      <c r="Q485">
        <v>9894</v>
      </c>
      <c r="R485">
        <v>27268</v>
      </c>
      <c r="S485" t="str">
        <f t="shared" si="30"/>
        <v>Yes</v>
      </c>
      <c r="T485">
        <v>7406</v>
      </c>
      <c r="U485" t="str" cm="1">
        <f t="array" ref="U485">_xlfn.IFS(T485&lt;5000,"Small",T485&lt;20000,"Medium",T485&lt;35000,"Large",T485&gt;35000,"Very Large")</f>
        <v>Medium</v>
      </c>
      <c r="V485">
        <v>84</v>
      </c>
      <c r="W485">
        <f t="shared" si="31"/>
        <v>7</v>
      </c>
      <c r="X485" t="s">
        <v>47</v>
      </c>
      <c r="Y485" t="s">
        <v>32</v>
      </c>
      <c r="Z485" t="s">
        <v>39</v>
      </c>
      <c r="AA485" t="s">
        <v>40</v>
      </c>
      <c r="AB485" t="s">
        <v>35</v>
      </c>
      <c r="AC485" t="s">
        <v>36</v>
      </c>
    </row>
    <row r="486" spans="1:29" x14ac:dyDescent="0.25">
      <c r="A486">
        <v>510</v>
      </c>
      <c r="B486">
        <v>8190</v>
      </c>
      <c r="C486">
        <v>8946</v>
      </c>
      <c r="D486">
        <f t="shared" si="28"/>
        <v>17136</v>
      </c>
      <c r="E486" t="s">
        <v>48</v>
      </c>
      <c r="F486">
        <v>47</v>
      </c>
      <c r="G486" t="str" cm="1">
        <f t="array" ref="G486">_xlfn.IFS(F486&lt;25,"18-24",F486&lt;35,"25-35",F486&lt;45,"35-44",F486&lt;55,"44-54",F486&gt;=55,"55+")</f>
        <v>44-54</v>
      </c>
      <c r="H486" t="s">
        <v>30</v>
      </c>
      <c r="I486">
        <v>2</v>
      </c>
      <c r="J486" t="str" cm="1">
        <f t="array" ref="J486">_xlfn.IFS(I486&lt;=0,"No Dependents",I486&lt;=1,"One",I486&lt;=2,"Two",I486&gt;=3,"Third")</f>
        <v>Two</v>
      </c>
      <c r="K486">
        <v>606</v>
      </c>
      <c r="L486" t="str" cm="1">
        <f t="array" ref="L486">_xlfn.IFS(K486&lt;=580,"Poor",K486&lt;=670,"fair",K486&lt;=740,"Good",K486&lt;=800,"Very Good",K486&gt;=800,"Excellent")</f>
        <v>fair</v>
      </c>
      <c r="M486">
        <v>0</v>
      </c>
      <c r="N486" t="str">
        <f t="shared" si="29"/>
        <v>No</v>
      </c>
      <c r="O486">
        <v>0.12</v>
      </c>
      <c r="P486" t="str" cm="1">
        <f t="array" ref="P486">_xlfn.IFS(O486&lt;=0.3,"Low Risk",O486&lt;=0.4,"medium Risk",O486&lt;=0.5,"High Risk",O486&gt;0.5,"Very High Risk")</f>
        <v>Low Risk</v>
      </c>
      <c r="Q486">
        <v>15942</v>
      </c>
      <c r="R486">
        <v>43978</v>
      </c>
      <c r="S486" t="str">
        <f t="shared" si="30"/>
        <v>Yes</v>
      </c>
      <c r="T486">
        <v>14965</v>
      </c>
      <c r="U486" t="str" cm="1">
        <f t="array" ref="U486">_xlfn.IFS(T486&lt;5000,"Small",T486&lt;20000,"Medium",T486&lt;35000,"Large",T486&gt;35000,"Very Large")</f>
        <v>Medium</v>
      </c>
      <c r="V486">
        <v>48</v>
      </c>
      <c r="W486">
        <f t="shared" si="31"/>
        <v>4</v>
      </c>
      <c r="X486" t="s">
        <v>47</v>
      </c>
      <c r="Y486" t="s">
        <v>32</v>
      </c>
      <c r="Z486" t="s">
        <v>39</v>
      </c>
      <c r="AA486" t="s">
        <v>34</v>
      </c>
      <c r="AB486" t="s">
        <v>42</v>
      </c>
      <c r="AC486" t="s">
        <v>36</v>
      </c>
    </row>
    <row r="487" spans="1:29" x14ac:dyDescent="0.25">
      <c r="A487">
        <v>511</v>
      </c>
      <c r="B487">
        <v>19640</v>
      </c>
      <c r="C487">
        <v>6236</v>
      </c>
      <c r="D487">
        <f t="shared" si="28"/>
        <v>25876</v>
      </c>
      <c r="E487" t="s">
        <v>52</v>
      </c>
      <c r="F487">
        <v>43</v>
      </c>
      <c r="G487" t="str" cm="1">
        <f t="array" ref="G487">_xlfn.IFS(F487&lt;25,"18-24",F487&lt;35,"25-35",F487&lt;45,"35-44",F487&lt;55,"44-54",F487&gt;=55,"55+")</f>
        <v>35-44</v>
      </c>
      <c r="H487" t="s">
        <v>41</v>
      </c>
      <c r="I487">
        <v>2</v>
      </c>
      <c r="J487" t="str" cm="1">
        <f t="array" ref="J487">_xlfn.IFS(I487&lt;=0,"No Dependents",I487&lt;=1,"One",I487&lt;=2,"Two",I487&gt;=3,"Third")</f>
        <v>Two</v>
      </c>
      <c r="K487">
        <v>760</v>
      </c>
      <c r="L487" t="str" cm="1">
        <f t="array" ref="L487">_xlfn.IFS(K487&lt;=580,"Poor",K487&lt;=670,"fair",K487&lt;=740,"Good",K487&lt;=800,"Very Good",K487&gt;=800,"Excellent")</f>
        <v>Very Good</v>
      </c>
      <c r="M487">
        <v>0</v>
      </c>
      <c r="N487" t="str">
        <f t="shared" si="29"/>
        <v>No</v>
      </c>
      <c r="O487">
        <v>0.21</v>
      </c>
      <c r="P487" t="str" cm="1">
        <f t="array" ref="P487">_xlfn.IFS(O487&lt;=0.3,"Low Risk",O487&lt;=0.4,"medium Risk",O487&lt;=0.5,"High Risk",O487&gt;0.5,"Very High Risk")</f>
        <v>Low Risk</v>
      </c>
      <c r="Q487">
        <v>9065</v>
      </c>
      <c r="R487">
        <v>47358</v>
      </c>
      <c r="S487" t="str">
        <f t="shared" si="30"/>
        <v>Yes</v>
      </c>
      <c r="T487">
        <v>14733</v>
      </c>
      <c r="U487" t="str" cm="1">
        <f t="array" ref="U487">_xlfn.IFS(T487&lt;5000,"Small",T487&lt;20000,"Medium",T487&lt;35000,"Large",T487&gt;35000,"Very Large")</f>
        <v>Medium</v>
      </c>
      <c r="V487">
        <v>36</v>
      </c>
      <c r="W487">
        <f t="shared" si="31"/>
        <v>3</v>
      </c>
      <c r="X487" t="s">
        <v>50</v>
      </c>
      <c r="Y487" t="s">
        <v>45</v>
      </c>
      <c r="Z487" t="s">
        <v>39</v>
      </c>
      <c r="AA487" t="s">
        <v>40</v>
      </c>
      <c r="AB487" t="s">
        <v>35</v>
      </c>
      <c r="AC487" t="s">
        <v>36</v>
      </c>
    </row>
    <row r="488" spans="1:29" x14ac:dyDescent="0.25">
      <c r="A488">
        <v>512</v>
      </c>
      <c r="B488">
        <v>7645</v>
      </c>
      <c r="C488">
        <v>6078</v>
      </c>
      <c r="D488">
        <f t="shared" si="28"/>
        <v>13723</v>
      </c>
      <c r="E488" t="s">
        <v>49</v>
      </c>
      <c r="F488">
        <v>45</v>
      </c>
      <c r="G488" t="str" cm="1">
        <f t="array" ref="G488">_xlfn.IFS(F488&lt;25,"18-24",F488&lt;35,"25-35",F488&lt;45,"35-44",F488&lt;55,"44-54",F488&gt;=55,"55+")</f>
        <v>44-54</v>
      </c>
      <c r="H488" t="s">
        <v>30</v>
      </c>
      <c r="I488">
        <v>1</v>
      </c>
      <c r="J488" t="str" cm="1">
        <f t="array" ref="J488">_xlfn.IFS(I488&lt;=0,"No Dependents",I488&lt;=1,"One",I488&lt;=2,"Two",I488&gt;=3,"Third")</f>
        <v>One</v>
      </c>
      <c r="K488">
        <v>561</v>
      </c>
      <c r="L488" t="str" cm="1">
        <f t="array" ref="L488">_xlfn.IFS(K488&lt;=580,"Poor",K488&lt;=670,"fair",K488&lt;=740,"Good",K488&lt;=800,"Very Good",K488&gt;=800,"Excellent")</f>
        <v>Poor</v>
      </c>
      <c r="M488">
        <v>2</v>
      </c>
      <c r="N488" t="str">
        <f t="shared" si="29"/>
        <v>Yes</v>
      </c>
      <c r="O488">
        <v>0.38</v>
      </c>
      <c r="P488" t="str" cm="1">
        <f t="array" ref="P488">_xlfn.IFS(O488&lt;=0.3,"Low Risk",O488&lt;=0.4,"medium Risk",O488&lt;=0.5,"High Risk",O488&gt;0.5,"Very High Risk")</f>
        <v>medium Risk</v>
      </c>
      <c r="Q488">
        <v>565</v>
      </c>
      <c r="R488">
        <v>23259</v>
      </c>
      <c r="S488" t="str">
        <f t="shared" si="30"/>
        <v>Yes</v>
      </c>
      <c r="T488">
        <v>27926</v>
      </c>
      <c r="U488" t="str" cm="1">
        <f t="array" ref="U488">_xlfn.IFS(T488&lt;5000,"Small",T488&lt;20000,"Medium",T488&lt;35000,"Large",T488&gt;35000,"Very Large")</f>
        <v>Large</v>
      </c>
      <c r="V488">
        <v>84</v>
      </c>
      <c r="W488">
        <f t="shared" si="31"/>
        <v>7</v>
      </c>
      <c r="X488" t="s">
        <v>31</v>
      </c>
      <c r="Y488" t="s">
        <v>32</v>
      </c>
      <c r="Z488" t="s">
        <v>39</v>
      </c>
      <c r="AA488" t="s">
        <v>40</v>
      </c>
      <c r="AB488" t="s">
        <v>35</v>
      </c>
      <c r="AC488" t="s">
        <v>36</v>
      </c>
    </row>
    <row r="489" spans="1:29" x14ac:dyDescent="0.25">
      <c r="A489">
        <v>513</v>
      </c>
      <c r="B489">
        <v>11588</v>
      </c>
      <c r="C489">
        <v>352</v>
      </c>
      <c r="D489">
        <f t="shared" si="28"/>
        <v>11940</v>
      </c>
      <c r="E489" t="s">
        <v>46</v>
      </c>
      <c r="F489">
        <v>41</v>
      </c>
      <c r="G489" t="str" cm="1">
        <f t="array" ref="G489">_xlfn.IFS(F489&lt;25,"18-24",F489&lt;35,"25-35",F489&lt;45,"35-44",F489&lt;55,"44-54",F489&gt;=55,"55+")</f>
        <v>35-44</v>
      </c>
      <c r="H489" t="s">
        <v>41</v>
      </c>
      <c r="I489">
        <v>3</v>
      </c>
      <c r="J489" t="str" cm="1">
        <f t="array" ref="J489">_xlfn.IFS(I489&lt;=0,"No Dependents",I489&lt;=1,"One",I489&lt;=2,"Two",I489&gt;=3,"Third")</f>
        <v>Third</v>
      </c>
      <c r="K489">
        <v>759</v>
      </c>
      <c r="L489" t="str" cm="1">
        <f t="array" ref="L489">_xlfn.IFS(K489&lt;=580,"Poor",K489&lt;=670,"fair",K489&lt;=740,"Good",K489&lt;=800,"Very Good",K489&gt;=800,"Excellent")</f>
        <v>Very Good</v>
      </c>
      <c r="M489">
        <v>2</v>
      </c>
      <c r="N489" t="str">
        <f t="shared" si="29"/>
        <v>Yes</v>
      </c>
      <c r="O489">
        <v>0.41</v>
      </c>
      <c r="P489" t="str" cm="1">
        <f t="array" ref="P489">_xlfn.IFS(O489&lt;=0.3,"Low Risk",O489&lt;=0.4,"medium Risk",O489&lt;=0.5,"High Risk",O489&gt;0.5,"Very High Risk")</f>
        <v>High Risk</v>
      </c>
      <c r="Q489">
        <v>7412</v>
      </c>
      <c r="R489">
        <v>13864</v>
      </c>
      <c r="S489" t="str">
        <f t="shared" si="30"/>
        <v>Yes</v>
      </c>
      <c r="T489">
        <v>29783</v>
      </c>
      <c r="U489" t="str" cm="1">
        <f t="array" ref="U489">_xlfn.IFS(T489&lt;5000,"Small",T489&lt;20000,"Medium",T489&lt;35000,"Large",T489&gt;35000,"Very Large")</f>
        <v>Large</v>
      </c>
      <c r="V489">
        <v>72</v>
      </c>
      <c r="W489">
        <f t="shared" si="31"/>
        <v>6</v>
      </c>
      <c r="X489" t="s">
        <v>50</v>
      </c>
      <c r="Y489" t="s">
        <v>32</v>
      </c>
      <c r="Z489" t="s">
        <v>39</v>
      </c>
      <c r="AA489" t="s">
        <v>40</v>
      </c>
      <c r="AB489" t="s">
        <v>42</v>
      </c>
      <c r="AC489" t="s">
        <v>36</v>
      </c>
    </row>
    <row r="490" spans="1:29" x14ac:dyDescent="0.25">
      <c r="A490">
        <v>514</v>
      </c>
      <c r="B490">
        <v>0</v>
      </c>
      <c r="C490">
        <v>9094</v>
      </c>
      <c r="D490">
        <f t="shared" si="28"/>
        <v>9094</v>
      </c>
      <c r="E490" t="s">
        <v>52</v>
      </c>
      <c r="F490">
        <v>44</v>
      </c>
      <c r="G490" t="str" cm="1">
        <f t="array" ref="G490">_xlfn.IFS(F490&lt;25,"18-24",F490&lt;35,"25-35",F490&lt;45,"35-44",F490&lt;55,"44-54",F490&gt;=55,"55+")</f>
        <v>35-44</v>
      </c>
      <c r="H490" t="s">
        <v>30</v>
      </c>
      <c r="I490">
        <v>2</v>
      </c>
      <c r="J490" t="str" cm="1">
        <f t="array" ref="J490">_xlfn.IFS(I490&lt;=0,"No Dependents",I490&lt;=1,"One",I490&lt;=2,"Two",I490&gt;=3,"Third")</f>
        <v>Two</v>
      </c>
      <c r="K490">
        <v>566</v>
      </c>
      <c r="L490" t="str" cm="1">
        <f t="array" ref="L490">_xlfn.IFS(K490&lt;=580,"Poor",K490&lt;=670,"fair",K490&lt;=740,"Good",K490&lt;=800,"Very Good",K490&gt;=800,"Excellent")</f>
        <v>Poor</v>
      </c>
      <c r="M490">
        <v>3</v>
      </c>
      <c r="N490" t="str">
        <f t="shared" si="29"/>
        <v>Yes</v>
      </c>
      <c r="O490">
        <v>0.12</v>
      </c>
      <c r="P490" t="str" cm="1">
        <f t="array" ref="P490">_xlfn.IFS(O490&lt;=0.3,"Low Risk",O490&lt;=0.4,"medium Risk",O490&lt;=0.5,"High Risk",O490&gt;0.5,"Very High Risk")</f>
        <v>Low Risk</v>
      </c>
      <c r="Q490">
        <v>18402</v>
      </c>
      <c r="R490">
        <v>34293</v>
      </c>
      <c r="S490" t="str">
        <f t="shared" si="30"/>
        <v>Yes</v>
      </c>
      <c r="T490">
        <v>18824</v>
      </c>
      <c r="U490" t="str" cm="1">
        <f t="array" ref="U490">_xlfn.IFS(T490&lt;5000,"Small",T490&lt;20000,"Medium",T490&lt;35000,"Large",T490&gt;35000,"Very Large")</f>
        <v>Medium</v>
      </c>
      <c r="V490">
        <v>12</v>
      </c>
      <c r="W490">
        <f t="shared" si="31"/>
        <v>1</v>
      </c>
      <c r="X490" t="s">
        <v>42</v>
      </c>
      <c r="Y490" t="s">
        <v>32</v>
      </c>
      <c r="Z490" t="s">
        <v>39</v>
      </c>
      <c r="AA490" t="s">
        <v>34</v>
      </c>
      <c r="AB490" t="s">
        <v>43</v>
      </c>
      <c r="AC490" t="s">
        <v>36</v>
      </c>
    </row>
    <row r="491" spans="1:29" x14ac:dyDescent="0.25">
      <c r="A491">
        <v>515</v>
      </c>
      <c r="B491">
        <v>10053</v>
      </c>
      <c r="C491">
        <v>7005</v>
      </c>
      <c r="D491">
        <f t="shared" si="28"/>
        <v>17058</v>
      </c>
      <c r="E491" t="s">
        <v>29</v>
      </c>
      <c r="F491">
        <v>45</v>
      </c>
      <c r="G491" t="str" cm="1">
        <f t="array" ref="G491">_xlfn.IFS(F491&lt;25,"18-24",F491&lt;35,"25-35",F491&lt;45,"35-44",F491&lt;55,"44-54",F491&gt;=55,"55+")</f>
        <v>44-54</v>
      </c>
      <c r="H491" t="s">
        <v>30</v>
      </c>
      <c r="I491">
        <v>1</v>
      </c>
      <c r="J491" t="str" cm="1">
        <f t="array" ref="J491">_xlfn.IFS(I491&lt;=0,"No Dependents",I491&lt;=1,"One",I491&lt;=2,"Two",I491&gt;=3,"Third")</f>
        <v>One</v>
      </c>
      <c r="K491">
        <v>579</v>
      </c>
      <c r="L491" t="str" cm="1">
        <f t="array" ref="L491">_xlfn.IFS(K491&lt;=580,"Poor",K491&lt;=670,"fair",K491&lt;=740,"Good",K491&lt;=800,"Very Good",K491&gt;=800,"Excellent")</f>
        <v>Poor</v>
      </c>
      <c r="M491">
        <v>4</v>
      </c>
      <c r="N491" t="str">
        <f t="shared" si="29"/>
        <v>Yes</v>
      </c>
      <c r="O491">
        <v>0.3</v>
      </c>
      <c r="P491" t="str" cm="1">
        <f t="array" ref="P491">_xlfn.IFS(O491&lt;=0.3,"Low Risk",O491&lt;=0.4,"medium Risk",O491&lt;=0.5,"High Risk",O491&gt;0.5,"Very High Risk")</f>
        <v>Low Risk</v>
      </c>
      <c r="Q491">
        <v>10077</v>
      </c>
      <c r="R491">
        <v>46045</v>
      </c>
      <c r="S491" t="str">
        <f t="shared" si="30"/>
        <v>Yes</v>
      </c>
      <c r="T491">
        <v>37394</v>
      </c>
      <c r="U491" t="str" cm="1">
        <f t="array" ref="U491">_xlfn.IFS(T491&lt;5000,"Small",T491&lt;20000,"Medium",T491&lt;35000,"Large",T491&gt;35000,"Very Large")</f>
        <v>Very Large</v>
      </c>
      <c r="V491">
        <v>60</v>
      </c>
      <c r="W491">
        <f t="shared" si="31"/>
        <v>5</v>
      </c>
      <c r="X491" t="s">
        <v>50</v>
      </c>
      <c r="Y491" t="s">
        <v>45</v>
      </c>
      <c r="Z491" t="s">
        <v>39</v>
      </c>
      <c r="AA491" t="s">
        <v>34</v>
      </c>
      <c r="AB491" t="s">
        <v>35</v>
      </c>
      <c r="AC491" t="s">
        <v>36</v>
      </c>
    </row>
    <row r="492" spans="1:29" x14ac:dyDescent="0.25">
      <c r="A492">
        <v>516</v>
      </c>
      <c r="B492">
        <v>5330</v>
      </c>
      <c r="C492">
        <v>158</v>
      </c>
      <c r="D492">
        <f t="shared" si="28"/>
        <v>5488</v>
      </c>
      <c r="E492" t="s">
        <v>52</v>
      </c>
      <c r="F492">
        <v>52</v>
      </c>
      <c r="G492" t="str" cm="1">
        <f t="array" ref="G492">_xlfn.IFS(F492&lt;25,"18-24",F492&lt;35,"25-35",F492&lt;45,"35-44",F492&lt;55,"44-54",F492&gt;=55,"55+")</f>
        <v>44-54</v>
      </c>
      <c r="H492" t="s">
        <v>30</v>
      </c>
      <c r="I492">
        <v>2</v>
      </c>
      <c r="J492" t="str" cm="1">
        <f t="array" ref="J492">_xlfn.IFS(I492&lt;=0,"No Dependents",I492&lt;=1,"One",I492&lt;=2,"Two",I492&gt;=3,"Third")</f>
        <v>Two</v>
      </c>
      <c r="K492">
        <v>637</v>
      </c>
      <c r="L492" t="str" cm="1">
        <f t="array" ref="L492">_xlfn.IFS(K492&lt;=580,"Poor",K492&lt;=670,"fair",K492&lt;=740,"Good",K492&lt;=800,"Very Good",K492&gt;=800,"Excellent")</f>
        <v>fair</v>
      </c>
      <c r="M492">
        <v>1</v>
      </c>
      <c r="N492" t="str">
        <f t="shared" si="29"/>
        <v>Yes</v>
      </c>
      <c r="O492">
        <v>0.42</v>
      </c>
      <c r="P492" t="str" cm="1">
        <f t="array" ref="P492">_xlfn.IFS(O492&lt;=0.3,"Low Risk",O492&lt;=0.4,"medium Risk",O492&lt;=0.5,"High Risk",O492&gt;0.5,"Very High Risk")</f>
        <v>High Risk</v>
      </c>
      <c r="Q492">
        <v>10315</v>
      </c>
      <c r="R492">
        <v>7043</v>
      </c>
      <c r="S492" t="str">
        <f t="shared" si="30"/>
        <v>Yes</v>
      </c>
      <c r="T492">
        <v>29287</v>
      </c>
      <c r="U492" t="str" cm="1">
        <f t="array" ref="U492">_xlfn.IFS(T492&lt;5000,"Small",T492&lt;20000,"Medium",T492&lt;35000,"Large",T492&gt;35000,"Very Large")</f>
        <v>Large</v>
      </c>
      <c r="V492">
        <v>12</v>
      </c>
      <c r="W492">
        <f t="shared" si="31"/>
        <v>1</v>
      </c>
      <c r="X492" t="s">
        <v>47</v>
      </c>
      <c r="Y492" t="s">
        <v>32</v>
      </c>
      <c r="Z492" t="s">
        <v>39</v>
      </c>
      <c r="AA492" t="s">
        <v>40</v>
      </c>
      <c r="AB492" t="s">
        <v>43</v>
      </c>
      <c r="AC492" t="s">
        <v>36</v>
      </c>
    </row>
    <row r="493" spans="1:29" x14ac:dyDescent="0.25">
      <c r="A493">
        <v>517</v>
      </c>
      <c r="B493">
        <v>10662</v>
      </c>
      <c r="C493">
        <v>956</v>
      </c>
      <c r="D493">
        <f t="shared" si="28"/>
        <v>11618</v>
      </c>
      <c r="E493" t="s">
        <v>49</v>
      </c>
      <c r="F493">
        <v>52</v>
      </c>
      <c r="G493" t="str" cm="1">
        <f t="array" ref="G493">_xlfn.IFS(F493&lt;25,"18-24",F493&lt;35,"25-35",F493&lt;45,"35-44",F493&lt;55,"44-54",F493&gt;=55,"55+")</f>
        <v>44-54</v>
      </c>
      <c r="H493" t="s">
        <v>30</v>
      </c>
      <c r="I493">
        <v>2</v>
      </c>
      <c r="J493" t="str" cm="1">
        <f t="array" ref="J493">_xlfn.IFS(I493&lt;=0,"No Dependents",I493&lt;=1,"One",I493&lt;=2,"Two",I493&gt;=3,"Third")</f>
        <v>Two</v>
      </c>
      <c r="K493">
        <v>752</v>
      </c>
      <c r="L493" t="str" cm="1">
        <f t="array" ref="L493">_xlfn.IFS(K493&lt;=580,"Poor",K493&lt;=670,"fair",K493&lt;=740,"Good",K493&lt;=800,"Very Good",K493&gt;=800,"Excellent")</f>
        <v>Very Good</v>
      </c>
      <c r="M493">
        <v>4</v>
      </c>
      <c r="N493" t="str">
        <f t="shared" si="29"/>
        <v>Yes</v>
      </c>
      <c r="O493">
        <v>0.45</v>
      </c>
      <c r="P493" t="str" cm="1">
        <f t="array" ref="P493">_xlfn.IFS(O493&lt;=0.3,"Low Risk",O493&lt;=0.4,"medium Risk",O493&lt;=0.5,"High Risk",O493&gt;0.5,"Very High Risk")</f>
        <v>High Risk</v>
      </c>
      <c r="Q493">
        <v>12834</v>
      </c>
      <c r="R493">
        <v>41473</v>
      </c>
      <c r="S493" t="str">
        <f t="shared" si="30"/>
        <v>Yes</v>
      </c>
      <c r="T493">
        <v>17568</v>
      </c>
      <c r="U493" t="str" cm="1">
        <f t="array" ref="U493">_xlfn.IFS(T493&lt;5000,"Small",T493&lt;20000,"Medium",T493&lt;35000,"Large",T493&gt;35000,"Very Large")</f>
        <v>Medium</v>
      </c>
      <c r="V493">
        <v>36</v>
      </c>
      <c r="W493">
        <f t="shared" si="31"/>
        <v>3</v>
      </c>
      <c r="X493" t="s">
        <v>31</v>
      </c>
      <c r="Y493" t="s">
        <v>38</v>
      </c>
      <c r="Z493" t="s">
        <v>39</v>
      </c>
      <c r="AA493" t="s">
        <v>40</v>
      </c>
      <c r="AB493" t="s">
        <v>35</v>
      </c>
      <c r="AC493" t="s">
        <v>36</v>
      </c>
    </row>
    <row r="494" spans="1:29" x14ac:dyDescent="0.25">
      <c r="A494">
        <v>518</v>
      </c>
      <c r="B494">
        <v>9114</v>
      </c>
      <c r="C494">
        <v>0</v>
      </c>
      <c r="D494">
        <f t="shared" si="28"/>
        <v>9114</v>
      </c>
      <c r="E494" t="s">
        <v>48</v>
      </c>
      <c r="F494">
        <v>25</v>
      </c>
      <c r="G494" t="str" cm="1">
        <f t="array" ref="G494">_xlfn.IFS(F494&lt;25,"18-24",F494&lt;35,"25-35",F494&lt;45,"35-44",F494&lt;55,"44-54",F494&gt;=55,"55+")</f>
        <v>25-35</v>
      </c>
      <c r="H494" t="s">
        <v>30</v>
      </c>
      <c r="I494">
        <v>0</v>
      </c>
      <c r="J494" t="str" cm="1">
        <f t="array" ref="J494">_xlfn.IFS(I494&lt;=0,"No Dependents",I494&lt;=1,"One",I494&lt;=2,"Two",I494&gt;=3,"Third")</f>
        <v>No Dependents</v>
      </c>
      <c r="K494">
        <v>648</v>
      </c>
      <c r="L494" t="str" cm="1">
        <f t="array" ref="L494">_xlfn.IFS(K494&lt;=580,"Poor",K494&lt;=670,"fair",K494&lt;=740,"Good",K494&lt;=800,"Very Good",K494&gt;=800,"Excellent")</f>
        <v>fair</v>
      </c>
      <c r="M494">
        <v>0</v>
      </c>
      <c r="N494" t="str">
        <f t="shared" si="29"/>
        <v>No</v>
      </c>
      <c r="O494">
        <v>0.42</v>
      </c>
      <c r="P494" t="str" cm="1">
        <f t="array" ref="P494">_xlfn.IFS(O494&lt;=0.3,"Low Risk",O494&lt;=0.4,"medium Risk",O494&lt;=0.5,"High Risk",O494&gt;0.5,"Very High Risk")</f>
        <v>High Risk</v>
      </c>
      <c r="Q494">
        <v>2314</v>
      </c>
      <c r="R494">
        <v>38893</v>
      </c>
      <c r="S494" t="str">
        <f t="shared" si="30"/>
        <v>Yes</v>
      </c>
      <c r="T494">
        <v>31436</v>
      </c>
      <c r="U494" t="str" cm="1">
        <f t="array" ref="U494">_xlfn.IFS(T494&lt;5000,"Small",T494&lt;20000,"Medium",T494&lt;35000,"Large",T494&gt;35000,"Very Large")</f>
        <v>Large</v>
      </c>
      <c r="V494">
        <v>24</v>
      </c>
      <c r="W494">
        <f t="shared" si="31"/>
        <v>2</v>
      </c>
      <c r="X494" t="s">
        <v>31</v>
      </c>
      <c r="Y494" t="s">
        <v>45</v>
      </c>
      <c r="Z494" t="s">
        <v>33</v>
      </c>
      <c r="AA494" t="s">
        <v>34</v>
      </c>
      <c r="AB494" t="s">
        <v>51</v>
      </c>
      <c r="AC494" t="s">
        <v>36</v>
      </c>
    </row>
    <row r="495" spans="1:29" x14ac:dyDescent="0.25">
      <c r="A495">
        <v>519</v>
      </c>
      <c r="B495">
        <v>15323</v>
      </c>
      <c r="C495">
        <v>8595</v>
      </c>
      <c r="D495">
        <f t="shared" si="28"/>
        <v>23918</v>
      </c>
      <c r="E495" t="s">
        <v>29</v>
      </c>
      <c r="F495">
        <v>56</v>
      </c>
      <c r="G495" t="str" cm="1">
        <f t="array" ref="G495">_xlfn.IFS(F495&lt;25,"18-24",F495&lt;35,"25-35",F495&lt;45,"35-44",F495&lt;55,"44-54",F495&gt;=55,"55+")</f>
        <v>55+</v>
      </c>
      <c r="H495" t="s">
        <v>41</v>
      </c>
      <c r="I495">
        <v>0</v>
      </c>
      <c r="J495" t="str" cm="1">
        <f t="array" ref="J495">_xlfn.IFS(I495&lt;=0,"No Dependents",I495&lt;=1,"One",I495&lt;=2,"Two",I495&gt;=3,"Third")</f>
        <v>No Dependents</v>
      </c>
      <c r="K495">
        <v>572</v>
      </c>
      <c r="L495" t="str" cm="1">
        <f t="array" ref="L495">_xlfn.IFS(K495&lt;=580,"Poor",K495&lt;=670,"fair",K495&lt;=740,"Good",K495&lt;=800,"Very Good",K495&gt;=800,"Excellent")</f>
        <v>Poor</v>
      </c>
      <c r="M495">
        <v>2</v>
      </c>
      <c r="N495" t="str">
        <f t="shared" si="29"/>
        <v>Yes</v>
      </c>
      <c r="O495">
        <v>0.26</v>
      </c>
      <c r="P495" t="str" cm="1">
        <f t="array" ref="P495">_xlfn.IFS(O495&lt;=0.3,"Low Risk",O495&lt;=0.4,"medium Risk",O495&lt;=0.5,"High Risk",O495&gt;0.5,"Very High Risk")</f>
        <v>Low Risk</v>
      </c>
      <c r="Q495">
        <v>4412</v>
      </c>
      <c r="R495">
        <v>40642</v>
      </c>
      <c r="S495" t="str">
        <f t="shared" si="30"/>
        <v>Yes</v>
      </c>
      <c r="T495">
        <v>22380</v>
      </c>
      <c r="U495" t="str" cm="1">
        <f t="array" ref="U495">_xlfn.IFS(T495&lt;5000,"Small",T495&lt;20000,"Medium",T495&lt;35000,"Large",T495&gt;35000,"Very Large")</f>
        <v>Large</v>
      </c>
      <c r="V495">
        <v>60</v>
      </c>
      <c r="W495">
        <f t="shared" si="31"/>
        <v>5</v>
      </c>
      <c r="X495" t="s">
        <v>50</v>
      </c>
      <c r="Y495" t="s">
        <v>45</v>
      </c>
      <c r="Z495" t="s">
        <v>39</v>
      </c>
      <c r="AA495" t="s">
        <v>40</v>
      </c>
      <c r="AB495" t="s">
        <v>35</v>
      </c>
      <c r="AC495" t="s">
        <v>36</v>
      </c>
    </row>
    <row r="496" spans="1:29" x14ac:dyDescent="0.25">
      <c r="A496">
        <v>521</v>
      </c>
      <c r="B496">
        <v>12975</v>
      </c>
      <c r="C496">
        <v>3453</v>
      </c>
      <c r="D496">
        <f t="shared" si="28"/>
        <v>16428</v>
      </c>
      <c r="E496" t="s">
        <v>29</v>
      </c>
      <c r="F496">
        <v>36</v>
      </c>
      <c r="G496" t="str" cm="1">
        <f t="array" ref="G496">_xlfn.IFS(F496&lt;25,"18-24",F496&lt;35,"25-35",F496&lt;45,"35-44",F496&lt;55,"44-54",F496&gt;=55,"55+")</f>
        <v>35-44</v>
      </c>
      <c r="H496" t="s">
        <v>41</v>
      </c>
      <c r="I496">
        <v>1</v>
      </c>
      <c r="J496" t="str" cm="1">
        <f t="array" ref="J496">_xlfn.IFS(I496&lt;=0,"No Dependents",I496&lt;=1,"One",I496&lt;=2,"Two",I496&gt;=3,"Third")</f>
        <v>One</v>
      </c>
      <c r="K496">
        <v>678</v>
      </c>
      <c r="L496" t="str" cm="1">
        <f t="array" ref="L496">_xlfn.IFS(K496&lt;=580,"Poor",K496&lt;=670,"fair",K496&lt;=740,"Good",K496&lt;=800,"Very Good",K496&gt;=800,"Excellent")</f>
        <v>Good</v>
      </c>
      <c r="M496">
        <v>4</v>
      </c>
      <c r="N496" t="str">
        <f t="shared" si="29"/>
        <v>Yes</v>
      </c>
      <c r="O496">
        <v>0.31</v>
      </c>
      <c r="P496" t="str" cm="1">
        <f t="array" ref="P496">_xlfn.IFS(O496&lt;=0.3,"Low Risk",O496&lt;=0.4,"medium Risk",O496&lt;=0.5,"High Risk",O496&gt;0.5,"Very High Risk")</f>
        <v>medium Risk</v>
      </c>
      <c r="Q496">
        <v>11384</v>
      </c>
      <c r="R496">
        <v>30868</v>
      </c>
      <c r="S496" t="str">
        <f t="shared" si="30"/>
        <v>Yes</v>
      </c>
      <c r="T496">
        <v>9031</v>
      </c>
      <c r="U496" t="str" cm="1">
        <f t="array" ref="U496">_xlfn.IFS(T496&lt;5000,"Small",T496&lt;20000,"Medium",T496&lt;35000,"Large",T496&gt;35000,"Very Large")</f>
        <v>Medium</v>
      </c>
      <c r="V496">
        <v>24</v>
      </c>
      <c r="W496">
        <f t="shared" si="31"/>
        <v>2</v>
      </c>
      <c r="X496" t="s">
        <v>47</v>
      </c>
      <c r="Y496" t="s">
        <v>32</v>
      </c>
      <c r="Z496" t="s">
        <v>39</v>
      </c>
      <c r="AA496" t="s">
        <v>34</v>
      </c>
      <c r="AB496" t="s">
        <v>51</v>
      </c>
      <c r="AC496" t="s">
        <v>44</v>
      </c>
    </row>
    <row r="497" spans="1:29" x14ac:dyDescent="0.25">
      <c r="A497">
        <v>522</v>
      </c>
      <c r="B497">
        <v>13023</v>
      </c>
      <c r="C497">
        <v>6675</v>
      </c>
      <c r="D497">
        <f t="shared" si="28"/>
        <v>19698</v>
      </c>
      <c r="E497" t="s">
        <v>48</v>
      </c>
      <c r="F497">
        <v>53</v>
      </c>
      <c r="G497" t="str" cm="1">
        <f t="array" ref="G497">_xlfn.IFS(F497&lt;25,"18-24",F497&lt;35,"25-35",F497&lt;45,"35-44",F497&lt;55,"44-54",F497&gt;=55,"55+")</f>
        <v>44-54</v>
      </c>
      <c r="H497" t="s">
        <v>41</v>
      </c>
      <c r="I497">
        <v>3</v>
      </c>
      <c r="J497" t="str" cm="1">
        <f t="array" ref="J497">_xlfn.IFS(I497&lt;=0,"No Dependents",I497&lt;=1,"One",I497&lt;=2,"Two",I497&gt;=3,"Third")</f>
        <v>Third</v>
      </c>
      <c r="K497">
        <v>628</v>
      </c>
      <c r="L497" t="str" cm="1">
        <f t="array" ref="L497">_xlfn.IFS(K497&lt;=580,"Poor",K497&lt;=670,"fair",K497&lt;=740,"Good",K497&lt;=800,"Very Good",K497&gt;=800,"Excellent")</f>
        <v>fair</v>
      </c>
      <c r="M497">
        <v>3</v>
      </c>
      <c r="N497" t="str">
        <f t="shared" si="29"/>
        <v>Yes</v>
      </c>
      <c r="O497">
        <v>0.35</v>
      </c>
      <c r="P497" t="str" cm="1">
        <f t="array" ref="P497">_xlfn.IFS(O497&lt;=0.3,"Low Risk",O497&lt;=0.4,"medium Risk",O497&lt;=0.5,"High Risk",O497&gt;0.5,"Very High Risk")</f>
        <v>medium Risk</v>
      </c>
      <c r="Q497">
        <v>10051</v>
      </c>
      <c r="R497">
        <v>26309</v>
      </c>
      <c r="S497" t="str">
        <f t="shared" si="30"/>
        <v>Yes</v>
      </c>
      <c r="T497">
        <v>22947</v>
      </c>
      <c r="U497" t="str" cm="1">
        <f t="array" ref="U497">_xlfn.IFS(T497&lt;5000,"Small",T497&lt;20000,"Medium",T497&lt;35000,"Large",T497&gt;35000,"Very Large")</f>
        <v>Large</v>
      </c>
      <c r="V497">
        <v>48</v>
      </c>
      <c r="W497">
        <f t="shared" si="31"/>
        <v>4</v>
      </c>
      <c r="X497" t="s">
        <v>37</v>
      </c>
      <c r="Y497" t="s">
        <v>38</v>
      </c>
      <c r="Z497" t="s">
        <v>33</v>
      </c>
      <c r="AA497" t="s">
        <v>40</v>
      </c>
      <c r="AB497" t="s">
        <v>35</v>
      </c>
      <c r="AC497" t="s">
        <v>36</v>
      </c>
    </row>
    <row r="498" spans="1:29" x14ac:dyDescent="0.25">
      <c r="A498">
        <v>523</v>
      </c>
      <c r="B498">
        <v>2667</v>
      </c>
      <c r="C498">
        <v>955</v>
      </c>
      <c r="D498">
        <f t="shared" si="28"/>
        <v>3622</v>
      </c>
      <c r="E498" t="s">
        <v>29</v>
      </c>
      <c r="F498">
        <v>41</v>
      </c>
      <c r="G498" t="str" cm="1">
        <f t="array" ref="G498">_xlfn.IFS(F498&lt;25,"18-24",F498&lt;35,"25-35",F498&lt;45,"35-44",F498&lt;55,"44-54",F498&gt;=55,"55+")</f>
        <v>35-44</v>
      </c>
      <c r="H498" t="s">
        <v>30</v>
      </c>
      <c r="I498">
        <v>3</v>
      </c>
      <c r="J498" t="str" cm="1">
        <f t="array" ref="J498">_xlfn.IFS(I498&lt;=0,"No Dependents",I498&lt;=1,"One",I498&lt;=2,"Two",I498&gt;=3,"Third")</f>
        <v>Third</v>
      </c>
      <c r="K498">
        <v>581</v>
      </c>
      <c r="L498" t="str" cm="1">
        <f t="array" ref="L498">_xlfn.IFS(K498&lt;=580,"Poor",K498&lt;=670,"fair",K498&lt;=740,"Good",K498&lt;=800,"Very Good",K498&gt;=800,"Excellent")</f>
        <v>fair</v>
      </c>
      <c r="M498">
        <v>0</v>
      </c>
      <c r="N498" t="str">
        <f t="shared" si="29"/>
        <v>No</v>
      </c>
      <c r="O498">
        <v>0.56999999999999995</v>
      </c>
      <c r="P498" t="str" cm="1">
        <f t="array" ref="P498">_xlfn.IFS(O498&lt;=0.3,"Low Risk",O498&lt;=0.4,"medium Risk",O498&lt;=0.5,"High Risk",O498&gt;0.5,"Very High Risk")</f>
        <v>Very High Risk</v>
      </c>
      <c r="Q498">
        <v>8216</v>
      </c>
      <c r="R498">
        <v>23284</v>
      </c>
      <c r="S498" t="str">
        <f t="shared" si="30"/>
        <v>Yes</v>
      </c>
      <c r="T498">
        <v>4188</v>
      </c>
      <c r="U498" t="str" cm="1">
        <f t="array" ref="U498">_xlfn.IFS(T498&lt;5000,"Small",T498&lt;20000,"Medium",T498&lt;35000,"Large",T498&gt;35000,"Very Large")</f>
        <v>Small</v>
      </c>
      <c r="V498">
        <v>36</v>
      </c>
      <c r="W498">
        <f t="shared" si="31"/>
        <v>3</v>
      </c>
      <c r="X498" t="s">
        <v>31</v>
      </c>
      <c r="Y498" t="s">
        <v>45</v>
      </c>
      <c r="Z498" t="s">
        <v>39</v>
      </c>
      <c r="AA498" t="s">
        <v>40</v>
      </c>
      <c r="AB498" t="s">
        <v>35</v>
      </c>
      <c r="AC498" t="s">
        <v>36</v>
      </c>
    </row>
    <row r="499" spans="1:29" x14ac:dyDescent="0.25">
      <c r="A499">
        <v>524</v>
      </c>
      <c r="B499">
        <v>11337</v>
      </c>
      <c r="C499">
        <v>6295</v>
      </c>
      <c r="D499">
        <f t="shared" si="28"/>
        <v>17632</v>
      </c>
      <c r="E499" t="s">
        <v>52</v>
      </c>
      <c r="F499">
        <v>29</v>
      </c>
      <c r="G499" t="str" cm="1">
        <f t="array" ref="G499">_xlfn.IFS(F499&lt;25,"18-24",F499&lt;35,"25-35",F499&lt;45,"35-44",F499&lt;55,"44-54",F499&gt;=55,"55+")</f>
        <v>25-35</v>
      </c>
      <c r="H499" t="s">
        <v>41</v>
      </c>
      <c r="I499">
        <v>1</v>
      </c>
      <c r="J499" t="str" cm="1">
        <f t="array" ref="J499">_xlfn.IFS(I499&lt;=0,"No Dependents",I499&lt;=1,"One",I499&lt;=2,"Two",I499&gt;=3,"Third")</f>
        <v>One</v>
      </c>
      <c r="K499">
        <v>558</v>
      </c>
      <c r="L499" t="str" cm="1">
        <f t="array" ref="L499">_xlfn.IFS(K499&lt;=580,"Poor",K499&lt;=670,"fair",K499&lt;=740,"Good",K499&lt;=800,"Very Good",K499&gt;=800,"Excellent")</f>
        <v>Poor</v>
      </c>
      <c r="M499">
        <v>0</v>
      </c>
      <c r="N499" t="str">
        <f t="shared" si="29"/>
        <v>No</v>
      </c>
      <c r="O499">
        <v>0.34</v>
      </c>
      <c r="P499" t="str" cm="1">
        <f t="array" ref="P499">_xlfn.IFS(O499&lt;=0.3,"Low Risk",O499&lt;=0.4,"medium Risk",O499&lt;=0.5,"High Risk",O499&gt;0.5,"Very High Risk")</f>
        <v>medium Risk</v>
      </c>
      <c r="Q499">
        <v>0</v>
      </c>
      <c r="R499">
        <v>47723</v>
      </c>
      <c r="S499" t="str">
        <f t="shared" si="30"/>
        <v>Yes</v>
      </c>
      <c r="T499">
        <v>26669</v>
      </c>
      <c r="U499" t="str" cm="1">
        <f t="array" ref="U499">_xlfn.IFS(T499&lt;5000,"Small",T499&lt;20000,"Medium",T499&lt;35000,"Large",T499&gt;35000,"Very Large")</f>
        <v>Large</v>
      </c>
      <c r="V499">
        <v>48</v>
      </c>
      <c r="W499">
        <f t="shared" si="31"/>
        <v>4</v>
      </c>
      <c r="X499" t="s">
        <v>50</v>
      </c>
      <c r="Y499" t="s">
        <v>32</v>
      </c>
      <c r="Z499" t="s">
        <v>39</v>
      </c>
      <c r="AA499" t="s">
        <v>40</v>
      </c>
      <c r="AB499" t="s">
        <v>35</v>
      </c>
      <c r="AC499" t="s">
        <v>36</v>
      </c>
    </row>
    <row r="500" spans="1:29" x14ac:dyDescent="0.25">
      <c r="A500">
        <v>525</v>
      </c>
      <c r="B500">
        <v>15659</v>
      </c>
      <c r="C500">
        <v>1712</v>
      </c>
      <c r="D500">
        <f t="shared" si="28"/>
        <v>17371</v>
      </c>
      <c r="E500" t="s">
        <v>49</v>
      </c>
      <c r="F500">
        <v>26</v>
      </c>
      <c r="G500" t="str" cm="1">
        <f t="array" ref="G500">_xlfn.IFS(F500&lt;25,"18-24",F500&lt;35,"25-35",F500&lt;45,"35-44",F500&lt;55,"44-54",F500&gt;=55,"55+")</f>
        <v>25-35</v>
      </c>
      <c r="H500" t="s">
        <v>30</v>
      </c>
      <c r="I500">
        <v>2</v>
      </c>
      <c r="J500" t="str" cm="1">
        <f t="array" ref="J500">_xlfn.IFS(I500&lt;=0,"No Dependents",I500&lt;=1,"One",I500&lt;=2,"Two",I500&gt;=3,"Third")</f>
        <v>Two</v>
      </c>
      <c r="K500">
        <v>564</v>
      </c>
      <c r="L500" t="str" cm="1">
        <f t="array" ref="L500">_xlfn.IFS(K500&lt;=580,"Poor",K500&lt;=670,"fair",K500&lt;=740,"Good",K500&lt;=800,"Very Good",K500&gt;=800,"Excellent")</f>
        <v>Poor</v>
      </c>
      <c r="M500">
        <v>1</v>
      </c>
      <c r="N500" t="str">
        <f t="shared" si="29"/>
        <v>Yes</v>
      </c>
      <c r="O500">
        <v>0.26</v>
      </c>
      <c r="P500" t="str" cm="1">
        <f t="array" ref="P500">_xlfn.IFS(O500&lt;=0.3,"Low Risk",O500&lt;=0.4,"medium Risk",O500&lt;=0.5,"High Risk",O500&gt;0.5,"Very High Risk")</f>
        <v>Low Risk</v>
      </c>
      <c r="Q500">
        <v>7902</v>
      </c>
      <c r="R500">
        <v>35268</v>
      </c>
      <c r="S500" t="str">
        <f t="shared" si="30"/>
        <v>Yes</v>
      </c>
      <c r="T500">
        <v>36713</v>
      </c>
      <c r="U500" t="str" cm="1">
        <f t="array" ref="U500">_xlfn.IFS(T500&lt;5000,"Small",T500&lt;20000,"Medium",T500&lt;35000,"Large",T500&gt;35000,"Very Large")</f>
        <v>Very Large</v>
      </c>
      <c r="V500">
        <v>60</v>
      </c>
      <c r="W500">
        <f t="shared" si="31"/>
        <v>5</v>
      </c>
      <c r="X500" t="s">
        <v>42</v>
      </c>
      <c r="Y500" t="s">
        <v>38</v>
      </c>
      <c r="Z500" t="s">
        <v>39</v>
      </c>
      <c r="AA500" t="s">
        <v>40</v>
      </c>
      <c r="AB500" t="s">
        <v>51</v>
      </c>
      <c r="AC500" t="s">
        <v>36</v>
      </c>
    </row>
    <row r="501" spans="1:29" x14ac:dyDescent="0.25">
      <c r="A501">
        <v>526</v>
      </c>
      <c r="B501">
        <v>5719</v>
      </c>
      <c r="C501">
        <v>4703</v>
      </c>
      <c r="D501">
        <f t="shared" si="28"/>
        <v>10422</v>
      </c>
      <c r="E501" t="s">
        <v>29</v>
      </c>
      <c r="F501">
        <v>55</v>
      </c>
      <c r="G501" t="str" cm="1">
        <f t="array" ref="G501">_xlfn.IFS(F501&lt;25,"18-24",F501&lt;35,"25-35",F501&lt;45,"35-44",F501&lt;55,"44-54",F501&gt;=55,"55+")</f>
        <v>55+</v>
      </c>
      <c r="H501" t="s">
        <v>30</v>
      </c>
      <c r="I501">
        <v>0</v>
      </c>
      <c r="J501" t="str" cm="1">
        <f t="array" ref="J501">_xlfn.IFS(I501&lt;=0,"No Dependents",I501&lt;=1,"One",I501&lt;=2,"Two",I501&gt;=3,"Third")</f>
        <v>No Dependents</v>
      </c>
      <c r="K501">
        <v>705</v>
      </c>
      <c r="L501" t="str" cm="1">
        <f t="array" ref="L501">_xlfn.IFS(K501&lt;=580,"Poor",K501&lt;=670,"fair",K501&lt;=740,"Good",K501&lt;=800,"Very Good",K501&gt;=800,"Excellent")</f>
        <v>Good</v>
      </c>
      <c r="M501">
        <v>3</v>
      </c>
      <c r="N501" t="str">
        <f t="shared" si="29"/>
        <v>Yes</v>
      </c>
      <c r="O501">
        <v>0.48</v>
      </c>
      <c r="P501" t="str" cm="1">
        <f t="array" ref="P501">_xlfn.IFS(O501&lt;=0.3,"Low Risk",O501&lt;=0.4,"medium Risk",O501&lt;=0.5,"High Risk",O501&gt;0.5,"Very High Risk")</f>
        <v>High Risk</v>
      </c>
      <c r="Q501">
        <v>13187</v>
      </c>
      <c r="R501">
        <v>3464</v>
      </c>
      <c r="S501" t="str">
        <f t="shared" si="30"/>
        <v>Yes</v>
      </c>
      <c r="T501">
        <v>0</v>
      </c>
      <c r="U501" t="str" cm="1">
        <f t="array" ref="U501">_xlfn.IFS(T501&lt;5000,"Small",T501&lt;20000,"Medium",T501&lt;35000,"Large",T501&gt;35000,"Very Large")</f>
        <v>Small</v>
      </c>
      <c r="V501">
        <v>12</v>
      </c>
      <c r="W501">
        <f t="shared" si="31"/>
        <v>1</v>
      </c>
      <c r="X501" t="s">
        <v>42</v>
      </c>
      <c r="Y501" t="s">
        <v>32</v>
      </c>
      <c r="Z501" t="s">
        <v>39</v>
      </c>
      <c r="AA501" t="s">
        <v>40</v>
      </c>
      <c r="AB501" t="s">
        <v>48</v>
      </c>
      <c r="AC501" t="s">
        <v>36</v>
      </c>
    </row>
    <row r="502" spans="1:29" x14ac:dyDescent="0.25">
      <c r="A502">
        <v>527</v>
      </c>
      <c r="B502">
        <v>9483</v>
      </c>
      <c r="C502">
        <v>6563</v>
      </c>
      <c r="D502">
        <f t="shared" si="28"/>
        <v>16046</v>
      </c>
      <c r="E502" t="s">
        <v>29</v>
      </c>
      <c r="F502">
        <v>59</v>
      </c>
      <c r="G502" t="str" cm="1">
        <f t="array" ref="G502">_xlfn.IFS(F502&lt;25,"18-24",F502&lt;35,"25-35",F502&lt;45,"35-44",F502&lt;55,"44-54",F502&gt;=55,"55+")</f>
        <v>55+</v>
      </c>
      <c r="H502" t="s">
        <v>30</v>
      </c>
      <c r="I502">
        <v>2</v>
      </c>
      <c r="J502" t="str" cm="1">
        <f t="array" ref="J502">_xlfn.IFS(I502&lt;=0,"No Dependents",I502&lt;=1,"One",I502&lt;=2,"Two",I502&gt;=3,"Third")</f>
        <v>Two</v>
      </c>
      <c r="K502">
        <v>701</v>
      </c>
      <c r="L502" t="str" cm="1">
        <f t="array" ref="L502">_xlfn.IFS(K502&lt;=580,"Poor",K502&lt;=670,"fair",K502&lt;=740,"Good",K502&lt;=800,"Very Good",K502&gt;=800,"Excellent")</f>
        <v>Good</v>
      </c>
      <c r="M502">
        <v>3</v>
      </c>
      <c r="N502" t="str">
        <f t="shared" si="29"/>
        <v>Yes</v>
      </c>
      <c r="O502">
        <v>0.35</v>
      </c>
      <c r="P502" t="str" cm="1">
        <f t="array" ref="P502">_xlfn.IFS(O502&lt;=0.3,"Low Risk",O502&lt;=0.4,"medium Risk",O502&lt;=0.5,"High Risk",O502&gt;0.5,"Very High Risk")</f>
        <v>medium Risk</v>
      </c>
      <c r="Q502">
        <v>17573</v>
      </c>
      <c r="R502">
        <v>18643</v>
      </c>
      <c r="S502" t="str">
        <f t="shared" si="30"/>
        <v>Yes</v>
      </c>
      <c r="T502">
        <v>0</v>
      </c>
      <c r="U502" t="str" cm="1">
        <f t="array" ref="U502">_xlfn.IFS(T502&lt;5000,"Small",T502&lt;20000,"Medium",T502&lt;35000,"Large",T502&gt;35000,"Very Large")</f>
        <v>Small</v>
      </c>
      <c r="V502">
        <v>48</v>
      </c>
      <c r="W502">
        <f t="shared" si="31"/>
        <v>4</v>
      </c>
      <c r="X502" t="s">
        <v>47</v>
      </c>
      <c r="Y502" t="s">
        <v>32</v>
      </c>
      <c r="Z502" t="s">
        <v>39</v>
      </c>
      <c r="AA502" t="s">
        <v>40</v>
      </c>
      <c r="AB502" t="s">
        <v>42</v>
      </c>
      <c r="AC502" t="s">
        <v>44</v>
      </c>
    </row>
    <row r="503" spans="1:29" x14ac:dyDescent="0.25">
      <c r="A503">
        <v>528</v>
      </c>
      <c r="B503">
        <v>2539</v>
      </c>
      <c r="C503">
        <v>9465</v>
      </c>
      <c r="D503">
        <f t="shared" si="28"/>
        <v>12004</v>
      </c>
      <c r="E503" t="s">
        <v>46</v>
      </c>
      <c r="F503">
        <v>42</v>
      </c>
      <c r="G503" t="str" cm="1">
        <f t="array" ref="G503">_xlfn.IFS(F503&lt;25,"18-24",F503&lt;35,"25-35",F503&lt;45,"35-44",F503&lt;55,"44-54",F503&gt;=55,"55+")</f>
        <v>35-44</v>
      </c>
      <c r="H503" t="s">
        <v>30</v>
      </c>
      <c r="I503">
        <v>1</v>
      </c>
      <c r="J503" t="str" cm="1">
        <f t="array" ref="J503">_xlfn.IFS(I503&lt;=0,"No Dependents",I503&lt;=1,"One",I503&lt;=2,"Two",I503&gt;=3,"Third")</f>
        <v>One</v>
      </c>
      <c r="K503">
        <v>737</v>
      </c>
      <c r="L503" t="str" cm="1">
        <f t="array" ref="L503">_xlfn.IFS(K503&lt;=580,"Poor",K503&lt;=670,"fair",K503&lt;=740,"Good",K503&lt;=800,"Very Good",K503&gt;=800,"Excellent")</f>
        <v>Good</v>
      </c>
      <c r="M503">
        <v>1</v>
      </c>
      <c r="N503" t="str">
        <f t="shared" si="29"/>
        <v>Yes</v>
      </c>
      <c r="O503">
        <v>0.26</v>
      </c>
      <c r="P503" t="str" cm="1">
        <f t="array" ref="P503">_xlfn.IFS(O503&lt;=0.3,"Low Risk",O503&lt;=0.4,"medium Risk",O503&lt;=0.5,"High Risk",O503&gt;0.5,"Very High Risk")</f>
        <v>Low Risk</v>
      </c>
      <c r="Q503">
        <v>12288</v>
      </c>
      <c r="R503">
        <v>29265</v>
      </c>
      <c r="S503" t="str">
        <f t="shared" si="30"/>
        <v>Yes</v>
      </c>
      <c r="T503">
        <v>24171</v>
      </c>
      <c r="U503" t="str" cm="1">
        <f t="array" ref="U503">_xlfn.IFS(T503&lt;5000,"Small",T503&lt;20000,"Medium",T503&lt;35000,"Large",T503&gt;35000,"Very Large")</f>
        <v>Large</v>
      </c>
      <c r="V503">
        <v>72</v>
      </c>
      <c r="W503">
        <f t="shared" si="31"/>
        <v>6</v>
      </c>
      <c r="X503" t="s">
        <v>31</v>
      </c>
      <c r="Y503" t="s">
        <v>45</v>
      </c>
      <c r="Z503" t="s">
        <v>39</v>
      </c>
      <c r="AA503" t="s">
        <v>40</v>
      </c>
      <c r="AB503" t="s">
        <v>43</v>
      </c>
      <c r="AC503" t="s">
        <v>36</v>
      </c>
    </row>
    <row r="504" spans="1:29" x14ac:dyDescent="0.25">
      <c r="A504">
        <v>530</v>
      </c>
      <c r="B504">
        <v>6835</v>
      </c>
      <c r="C504">
        <v>9633</v>
      </c>
      <c r="D504">
        <f t="shared" si="28"/>
        <v>16468</v>
      </c>
      <c r="E504" t="s">
        <v>29</v>
      </c>
      <c r="F504">
        <v>40</v>
      </c>
      <c r="G504" t="str" cm="1">
        <f t="array" ref="G504">_xlfn.IFS(F504&lt;25,"18-24",F504&lt;35,"25-35",F504&lt;45,"35-44",F504&lt;55,"44-54",F504&gt;=55,"55+")</f>
        <v>35-44</v>
      </c>
      <c r="H504" t="s">
        <v>41</v>
      </c>
      <c r="I504">
        <v>1</v>
      </c>
      <c r="J504" t="str" cm="1">
        <f t="array" ref="J504">_xlfn.IFS(I504&lt;=0,"No Dependents",I504&lt;=1,"One",I504&lt;=2,"Two",I504&gt;=3,"Third")</f>
        <v>One</v>
      </c>
      <c r="K504">
        <v>763</v>
      </c>
      <c r="L504" t="str" cm="1">
        <f t="array" ref="L504">_xlfn.IFS(K504&lt;=580,"Poor",K504&lt;=670,"fair",K504&lt;=740,"Good",K504&lt;=800,"Very Good",K504&gt;=800,"Excellent")</f>
        <v>Very Good</v>
      </c>
      <c r="M504">
        <v>3</v>
      </c>
      <c r="N504" t="str">
        <f t="shared" si="29"/>
        <v>Yes</v>
      </c>
      <c r="O504">
        <v>0.53</v>
      </c>
      <c r="P504" t="str" cm="1">
        <f t="array" ref="P504">_xlfn.IFS(O504&lt;=0.3,"Low Risk",O504&lt;=0.4,"medium Risk",O504&lt;=0.5,"High Risk",O504&gt;0.5,"Very High Risk")</f>
        <v>Very High Risk</v>
      </c>
      <c r="Q504">
        <v>6884</v>
      </c>
      <c r="R504">
        <v>23880</v>
      </c>
      <c r="S504" t="str">
        <f t="shared" si="30"/>
        <v>Yes</v>
      </c>
      <c r="T504">
        <v>11204</v>
      </c>
      <c r="U504" t="str" cm="1">
        <f t="array" ref="U504">_xlfn.IFS(T504&lt;5000,"Small",T504&lt;20000,"Medium",T504&lt;35000,"Large",T504&gt;35000,"Very Large")</f>
        <v>Medium</v>
      </c>
      <c r="V504">
        <v>72</v>
      </c>
      <c r="W504">
        <f t="shared" si="31"/>
        <v>6</v>
      </c>
      <c r="X504" t="s">
        <v>37</v>
      </c>
      <c r="Y504" t="s">
        <v>32</v>
      </c>
      <c r="Z504" t="s">
        <v>33</v>
      </c>
      <c r="AA504" t="s">
        <v>34</v>
      </c>
      <c r="AB504" t="s">
        <v>43</v>
      </c>
      <c r="AC504" t="s">
        <v>36</v>
      </c>
    </row>
    <row r="505" spans="1:29" x14ac:dyDescent="0.25">
      <c r="A505">
        <v>532</v>
      </c>
      <c r="B505">
        <v>16837</v>
      </c>
      <c r="C505">
        <v>1394</v>
      </c>
      <c r="D505">
        <f t="shared" si="28"/>
        <v>18231</v>
      </c>
      <c r="E505" t="s">
        <v>29</v>
      </c>
      <c r="F505">
        <v>32</v>
      </c>
      <c r="G505" t="str" cm="1">
        <f t="array" ref="G505">_xlfn.IFS(F505&lt;25,"18-24",F505&lt;35,"25-35",F505&lt;45,"35-44",F505&lt;55,"44-54",F505&gt;=55,"55+")</f>
        <v>25-35</v>
      </c>
      <c r="H505" t="s">
        <v>30</v>
      </c>
      <c r="I505">
        <v>0</v>
      </c>
      <c r="J505" t="str" cm="1">
        <f t="array" ref="J505">_xlfn.IFS(I505&lt;=0,"No Dependents",I505&lt;=1,"One",I505&lt;=2,"Two",I505&gt;=3,"Third")</f>
        <v>No Dependents</v>
      </c>
      <c r="K505">
        <v>760</v>
      </c>
      <c r="L505" t="str" cm="1">
        <f t="array" ref="L505">_xlfn.IFS(K505&lt;=580,"Poor",K505&lt;=670,"fair",K505&lt;=740,"Good",K505&lt;=800,"Very Good",K505&gt;=800,"Excellent")</f>
        <v>Very Good</v>
      </c>
      <c r="M505">
        <v>4</v>
      </c>
      <c r="N505" t="str">
        <f t="shared" si="29"/>
        <v>Yes</v>
      </c>
      <c r="O505">
        <v>0.12</v>
      </c>
      <c r="P505" t="str" cm="1">
        <f t="array" ref="P505">_xlfn.IFS(O505&lt;=0.3,"Low Risk",O505&lt;=0.4,"medium Risk",O505&lt;=0.5,"High Risk",O505&gt;0.5,"Very High Risk")</f>
        <v>Low Risk</v>
      </c>
      <c r="Q505">
        <v>10559</v>
      </c>
      <c r="R505">
        <v>255</v>
      </c>
      <c r="S505" t="str">
        <f t="shared" si="30"/>
        <v>Yes</v>
      </c>
      <c r="T505">
        <v>38367</v>
      </c>
      <c r="U505" t="str" cm="1">
        <f t="array" ref="U505">_xlfn.IFS(T505&lt;5000,"Small",T505&lt;20000,"Medium",T505&lt;35000,"Large",T505&gt;35000,"Very Large")</f>
        <v>Very Large</v>
      </c>
      <c r="V505">
        <v>12</v>
      </c>
      <c r="W505">
        <f t="shared" si="31"/>
        <v>1</v>
      </c>
      <c r="X505" t="s">
        <v>37</v>
      </c>
      <c r="Y505" t="s">
        <v>32</v>
      </c>
      <c r="Z505" t="s">
        <v>39</v>
      </c>
      <c r="AA505" t="s">
        <v>40</v>
      </c>
      <c r="AB505" t="s">
        <v>48</v>
      </c>
      <c r="AC505" t="s">
        <v>44</v>
      </c>
    </row>
    <row r="506" spans="1:29" x14ac:dyDescent="0.25">
      <c r="A506">
        <v>533</v>
      </c>
      <c r="B506">
        <v>9312</v>
      </c>
      <c r="C506">
        <v>9461</v>
      </c>
      <c r="D506">
        <f t="shared" si="28"/>
        <v>18773</v>
      </c>
      <c r="E506" t="s">
        <v>52</v>
      </c>
      <c r="F506">
        <v>43</v>
      </c>
      <c r="G506" t="str" cm="1">
        <f t="array" ref="G506">_xlfn.IFS(F506&lt;25,"18-24",F506&lt;35,"25-35",F506&lt;45,"35-44",F506&lt;55,"44-54",F506&gt;=55,"55+")</f>
        <v>35-44</v>
      </c>
      <c r="H506" t="s">
        <v>41</v>
      </c>
      <c r="I506">
        <v>1</v>
      </c>
      <c r="J506" t="str" cm="1">
        <f t="array" ref="J506">_xlfn.IFS(I506&lt;=0,"No Dependents",I506&lt;=1,"One",I506&lt;=2,"Two",I506&gt;=3,"Third")</f>
        <v>One</v>
      </c>
      <c r="K506">
        <v>658</v>
      </c>
      <c r="L506" t="str" cm="1">
        <f t="array" ref="L506">_xlfn.IFS(K506&lt;=580,"Poor",K506&lt;=670,"fair",K506&lt;=740,"Good",K506&lt;=800,"Very Good",K506&gt;=800,"Excellent")</f>
        <v>fair</v>
      </c>
      <c r="M506">
        <v>1</v>
      </c>
      <c r="N506" t="str">
        <f t="shared" si="29"/>
        <v>Yes</v>
      </c>
      <c r="O506">
        <v>0.38</v>
      </c>
      <c r="P506" t="str" cm="1">
        <f t="array" ref="P506">_xlfn.IFS(O506&lt;=0.3,"Low Risk",O506&lt;=0.4,"medium Risk",O506&lt;=0.5,"High Risk",O506&gt;0.5,"Very High Risk")</f>
        <v>medium Risk</v>
      </c>
      <c r="Q506">
        <v>18125</v>
      </c>
      <c r="R506">
        <v>1502</v>
      </c>
      <c r="S506" t="str">
        <f t="shared" si="30"/>
        <v>Yes</v>
      </c>
      <c r="T506">
        <v>23658</v>
      </c>
      <c r="U506" t="str" cm="1">
        <f t="array" ref="U506">_xlfn.IFS(T506&lt;5000,"Small",T506&lt;20000,"Medium",T506&lt;35000,"Large",T506&gt;35000,"Very Large")</f>
        <v>Large</v>
      </c>
      <c r="V506">
        <v>48</v>
      </c>
      <c r="W506">
        <f t="shared" si="31"/>
        <v>4</v>
      </c>
      <c r="X506" t="s">
        <v>42</v>
      </c>
      <c r="Y506" t="s">
        <v>45</v>
      </c>
      <c r="Z506" t="s">
        <v>39</v>
      </c>
      <c r="AA506" t="s">
        <v>34</v>
      </c>
      <c r="AB506" t="s">
        <v>35</v>
      </c>
      <c r="AC506" t="s">
        <v>44</v>
      </c>
    </row>
    <row r="507" spans="1:29" x14ac:dyDescent="0.25">
      <c r="A507">
        <v>534</v>
      </c>
      <c r="B507">
        <v>7320</v>
      </c>
      <c r="C507">
        <v>4732</v>
      </c>
      <c r="D507">
        <f t="shared" si="28"/>
        <v>12052</v>
      </c>
      <c r="E507" t="s">
        <v>46</v>
      </c>
      <c r="F507">
        <v>36</v>
      </c>
      <c r="G507" t="str" cm="1">
        <f t="array" ref="G507">_xlfn.IFS(F507&lt;25,"18-24",F507&lt;35,"25-35",F507&lt;45,"35-44",F507&lt;55,"44-54",F507&gt;=55,"55+")</f>
        <v>35-44</v>
      </c>
      <c r="H507" t="s">
        <v>30</v>
      </c>
      <c r="I507">
        <v>3</v>
      </c>
      <c r="J507" t="str" cm="1">
        <f t="array" ref="J507">_xlfn.IFS(I507&lt;=0,"No Dependents",I507&lt;=1,"One",I507&lt;=2,"Two",I507&gt;=3,"Third")</f>
        <v>Third</v>
      </c>
      <c r="K507">
        <v>625</v>
      </c>
      <c r="L507" t="str" cm="1">
        <f t="array" ref="L507">_xlfn.IFS(K507&lt;=580,"Poor",K507&lt;=670,"fair",K507&lt;=740,"Good",K507&lt;=800,"Very Good",K507&gt;=800,"Excellent")</f>
        <v>fair</v>
      </c>
      <c r="M507">
        <v>0</v>
      </c>
      <c r="N507" t="str">
        <f t="shared" si="29"/>
        <v>No</v>
      </c>
      <c r="O507">
        <v>0.48</v>
      </c>
      <c r="P507" t="str" cm="1">
        <f t="array" ref="P507">_xlfn.IFS(O507&lt;=0.3,"Low Risk",O507&lt;=0.4,"medium Risk",O507&lt;=0.5,"High Risk",O507&gt;0.5,"Very High Risk")</f>
        <v>High Risk</v>
      </c>
      <c r="Q507">
        <v>3688</v>
      </c>
      <c r="R507">
        <v>4656</v>
      </c>
      <c r="S507" t="str">
        <f t="shared" si="30"/>
        <v>Yes</v>
      </c>
      <c r="T507">
        <v>38081</v>
      </c>
      <c r="U507" t="str" cm="1">
        <f t="array" ref="U507">_xlfn.IFS(T507&lt;5000,"Small",T507&lt;20000,"Medium",T507&lt;35000,"Large",T507&gt;35000,"Very Large")</f>
        <v>Very Large</v>
      </c>
      <c r="V507">
        <v>12</v>
      </c>
      <c r="W507">
        <f t="shared" si="31"/>
        <v>1</v>
      </c>
      <c r="X507" t="s">
        <v>31</v>
      </c>
      <c r="Y507" t="s">
        <v>38</v>
      </c>
      <c r="Z507" t="s">
        <v>39</v>
      </c>
      <c r="AA507" t="s">
        <v>40</v>
      </c>
      <c r="AB507" t="s">
        <v>35</v>
      </c>
      <c r="AC507" t="s">
        <v>36</v>
      </c>
    </row>
    <row r="508" spans="1:29" x14ac:dyDescent="0.25">
      <c r="A508">
        <v>535</v>
      </c>
      <c r="B508">
        <v>15216</v>
      </c>
      <c r="C508">
        <v>3714</v>
      </c>
      <c r="D508">
        <f t="shared" si="28"/>
        <v>18930</v>
      </c>
      <c r="E508" t="s">
        <v>29</v>
      </c>
      <c r="F508">
        <v>23</v>
      </c>
      <c r="G508" t="str" cm="1">
        <f t="array" ref="G508">_xlfn.IFS(F508&lt;25,"18-24",F508&lt;35,"25-35",F508&lt;45,"35-44",F508&lt;55,"44-54",F508&gt;=55,"55+")</f>
        <v>18-24</v>
      </c>
      <c r="H508" t="s">
        <v>41</v>
      </c>
      <c r="I508">
        <v>0</v>
      </c>
      <c r="J508" t="str" cm="1">
        <f t="array" ref="J508">_xlfn.IFS(I508&lt;=0,"No Dependents",I508&lt;=1,"One",I508&lt;=2,"Two",I508&gt;=3,"Third")</f>
        <v>No Dependents</v>
      </c>
      <c r="K508">
        <v>697</v>
      </c>
      <c r="L508" t="str" cm="1">
        <f t="array" ref="L508">_xlfn.IFS(K508&lt;=580,"Poor",K508&lt;=670,"fair",K508&lt;=740,"Good",K508&lt;=800,"Very Good",K508&gt;=800,"Excellent")</f>
        <v>Good</v>
      </c>
      <c r="M508">
        <v>3</v>
      </c>
      <c r="N508" t="str">
        <f t="shared" si="29"/>
        <v>Yes</v>
      </c>
      <c r="O508">
        <v>0.17</v>
      </c>
      <c r="P508" t="str" cm="1">
        <f t="array" ref="P508">_xlfn.IFS(O508&lt;=0.3,"Low Risk",O508&lt;=0.4,"medium Risk",O508&lt;=0.5,"High Risk",O508&gt;0.5,"Very High Risk")</f>
        <v>Low Risk</v>
      </c>
      <c r="Q508">
        <v>14114</v>
      </c>
      <c r="R508">
        <v>10302</v>
      </c>
      <c r="S508" t="str">
        <f t="shared" si="30"/>
        <v>Yes</v>
      </c>
      <c r="T508">
        <v>35986</v>
      </c>
      <c r="U508" t="str" cm="1">
        <f t="array" ref="U508">_xlfn.IFS(T508&lt;5000,"Small",T508&lt;20000,"Medium",T508&lt;35000,"Large",T508&gt;35000,"Very Large")</f>
        <v>Very Large</v>
      </c>
      <c r="V508">
        <v>36</v>
      </c>
      <c r="W508">
        <f t="shared" si="31"/>
        <v>3</v>
      </c>
      <c r="X508" t="s">
        <v>47</v>
      </c>
      <c r="Y508" t="s">
        <v>45</v>
      </c>
      <c r="Z508" t="s">
        <v>33</v>
      </c>
      <c r="AA508" t="s">
        <v>40</v>
      </c>
      <c r="AB508" t="s">
        <v>51</v>
      </c>
      <c r="AC508" t="s">
        <v>44</v>
      </c>
    </row>
    <row r="509" spans="1:29" x14ac:dyDescent="0.25">
      <c r="A509">
        <v>536</v>
      </c>
      <c r="B509">
        <v>4779</v>
      </c>
      <c r="C509">
        <v>529</v>
      </c>
      <c r="D509">
        <f t="shared" si="28"/>
        <v>5308</v>
      </c>
      <c r="E509" t="s">
        <v>29</v>
      </c>
      <c r="F509">
        <v>50</v>
      </c>
      <c r="G509" t="str" cm="1">
        <f t="array" ref="G509">_xlfn.IFS(F509&lt;25,"18-24",F509&lt;35,"25-35",F509&lt;45,"35-44",F509&lt;55,"44-54",F509&gt;=55,"55+")</f>
        <v>44-54</v>
      </c>
      <c r="H509" t="s">
        <v>30</v>
      </c>
      <c r="I509">
        <v>0</v>
      </c>
      <c r="J509" t="str" cm="1">
        <f t="array" ref="J509">_xlfn.IFS(I509&lt;=0,"No Dependents",I509&lt;=1,"One",I509&lt;=2,"Two",I509&gt;=3,"Third")</f>
        <v>No Dependents</v>
      </c>
      <c r="K509">
        <v>614</v>
      </c>
      <c r="L509" t="str" cm="1">
        <f t="array" ref="L509">_xlfn.IFS(K509&lt;=580,"Poor",K509&lt;=670,"fair",K509&lt;=740,"Good",K509&lt;=800,"Very Good",K509&gt;=800,"Excellent")</f>
        <v>fair</v>
      </c>
      <c r="M509">
        <v>0</v>
      </c>
      <c r="N509" t="str">
        <f t="shared" si="29"/>
        <v>No</v>
      </c>
      <c r="O509">
        <v>0.21</v>
      </c>
      <c r="P509" t="str" cm="1">
        <f t="array" ref="P509">_xlfn.IFS(O509&lt;=0.3,"Low Risk",O509&lt;=0.4,"medium Risk",O509&lt;=0.5,"High Risk",O509&gt;0.5,"Very High Risk")</f>
        <v>Low Risk</v>
      </c>
      <c r="Q509">
        <v>5369</v>
      </c>
      <c r="R509">
        <v>5430</v>
      </c>
      <c r="S509" t="str">
        <f t="shared" si="30"/>
        <v>Yes</v>
      </c>
      <c r="T509">
        <v>14786</v>
      </c>
      <c r="U509" t="str" cm="1">
        <f t="array" ref="U509">_xlfn.IFS(T509&lt;5000,"Small",T509&lt;20000,"Medium",T509&lt;35000,"Large",T509&gt;35000,"Very Large")</f>
        <v>Medium</v>
      </c>
      <c r="V509">
        <v>72</v>
      </c>
      <c r="W509">
        <f t="shared" si="31"/>
        <v>6</v>
      </c>
      <c r="X509" t="s">
        <v>47</v>
      </c>
      <c r="Y509" t="s">
        <v>32</v>
      </c>
      <c r="Z509" t="s">
        <v>33</v>
      </c>
      <c r="AA509" t="s">
        <v>40</v>
      </c>
      <c r="AB509" t="s">
        <v>42</v>
      </c>
      <c r="AC509" t="s">
        <v>36</v>
      </c>
    </row>
    <row r="510" spans="1:29" x14ac:dyDescent="0.25">
      <c r="A510">
        <v>537</v>
      </c>
      <c r="B510">
        <v>19308</v>
      </c>
      <c r="C510">
        <v>2958</v>
      </c>
      <c r="D510">
        <f t="shared" si="28"/>
        <v>22266</v>
      </c>
      <c r="E510" t="s">
        <v>29</v>
      </c>
      <c r="F510">
        <v>42</v>
      </c>
      <c r="G510" t="str" cm="1">
        <f t="array" ref="G510">_xlfn.IFS(F510&lt;25,"18-24",F510&lt;35,"25-35",F510&lt;45,"35-44",F510&lt;55,"44-54",F510&gt;=55,"55+")</f>
        <v>35-44</v>
      </c>
      <c r="H510" t="s">
        <v>30</v>
      </c>
      <c r="I510">
        <v>1</v>
      </c>
      <c r="J510" t="str" cm="1">
        <f t="array" ref="J510">_xlfn.IFS(I510&lt;=0,"No Dependents",I510&lt;=1,"One",I510&lt;=2,"Two",I510&gt;=3,"Third")</f>
        <v>One</v>
      </c>
      <c r="K510">
        <v>762</v>
      </c>
      <c r="L510" t="str" cm="1">
        <f t="array" ref="L510">_xlfn.IFS(K510&lt;=580,"Poor",K510&lt;=670,"fair",K510&lt;=740,"Good",K510&lt;=800,"Very Good",K510&gt;=800,"Excellent")</f>
        <v>Very Good</v>
      </c>
      <c r="M510">
        <v>1</v>
      </c>
      <c r="N510" t="str">
        <f t="shared" si="29"/>
        <v>Yes</v>
      </c>
      <c r="O510">
        <v>0.54</v>
      </c>
      <c r="P510" t="str" cm="1">
        <f t="array" ref="P510">_xlfn.IFS(O510&lt;=0.3,"Low Risk",O510&lt;=0.4,"medium Risk",O510&lt;=0.5,"High Risk",O510&gt;0.5,"Very High Risk")</f>
        <v>Very High Risk</v>
      </c>
      <c r="Q510">
        <v>0</v>
      </c>
      <c r="R510">
        <v>41366</v>
      </c>
      <c r="S510" t="str">
        <f t="shared" si="30"/>
        <v>Yes</v>
      </c>
      <c r="T510">
        <v>30283</v>
      </c>
      <c r="U510" t="str" cm="1">
        <f t="array" ref="U510">_xlfn.IFS(T510&lt;5000,"Small",T510&lt;20000,"Medium",T510&lt;35000,"Large",T510&gt;35000,"Very Large")</f>
        <v>Large</v>
      </c>
      <c r="V510">
        <v>24</v>
      </c>
      <c r="W510">
        <f t="shared" si="31"/>
        <v>2</v>
      </c>
      <c r="X510" t="s">
        <v>37</v>
      </c>
      <c r="Y510" t="s">
        <v>32</v>
      </c>
      <c r="Z510" t="s">
        <v>33</v>
      </c>
      <c r="AA510" t="s">
        <v>40</v>
      </c>
      <c r="AB510" t="s">
        <v>35</v>
      </c>
      <c r="AC510" t="s">
        <v>36</v>
      </c>
    </row>
    <row r="511" spans="1:29" x14ac:dyDescent="0.25">
      <c r="A511">
        <v>538</v>
      </c>
      <c r="B511">
        <v>3581</v>
      </c>
      <c r="C511">
        <v>7904</v>
      </c>
      <c r="D511">
        <f t="shared" si="28"/>
        <v>11485</v>
      </c>
      <c r="E511" t="s">
        <v>46</v>
      </c>
      <c r="F511">
        <v>40</v>
      </c>
      <c r="G511" t="str" cm="1">
        <f t="array" ref="G511">_xlfn.IFS(F511&lt;25,"18-24",F511&lt;35,"25-35",F511&lt;45,"35-44",F511&lt;55,"44-54",F511&gt;=55,"55+")</f>
        <v>35-44</v>
      </c>
      <c r="H511" t="s">
        <v>30</v>
      </c>
      <c r="I511">
        <v>2</v>
      </c>
      <c r="J511" t="str" cm="1">
        <f t="array" ref="J511">_xlfn.IFS(I511&lt;=0,"No Dependents",I511&lt;=1,"One",I511&lt;=2,"Two",I511&gt;=3,"Third")</f>
        <v>Two</v>
      </c>
      <c r="K511">
        <v>726</v>
      </c>
      <c r="L511" t="str" cm="1">
        <f t="array" ref="L511">_xlfn.IFS(K511&lt;=580,"Poor",K511&lt;=670,"fair",K511&lt;=740,"Good",K511&lt;=800,"Very Good",K511&gt;=800,"Excellent")</f>
        <v>Good</v>
      </c>
      <c r="M511">
        <v>1</v>
      </c>
      <c r="N511" t="str">
        <f t="shared" si="29"/>
        <v>Yes</v>
      </c>
      <c r="O511">
        <v>0.35</v>
      </c>
      <c r="P511" t="str" cm="1">
        <f t="array" ref="P511">_xlfn.IFS(O511&lt;=0.3,"Low Risk",O511&lt;=0.4,"medium Risk",O511&lt;=0.5,"High Risk",O511&gt;0.5,"Very High Risk")</f>
        <v>medium Risk</v>
      </c>
      <c r="Q511">
        <v>4023</v>
      </c>
      <c r="R511">
        <v>27425</v>
      </c>
      <c r="S511" t="str">
        <f t="shared" si="30"/>
        <v>Yes</v>
      </c>
      <c r="T511">
        <v>1056</v>
      </c>
      <c r="U511" t="str" cm="1">
        <f t="array" ref="U511">_xlfn.IFS(T511&lt;5000,"Small",T511&lt;20000,"Medium",T511&lt;35000,"Large",T511&gt;35000,"Very Large")</f>
        <v>Small</v>
      </c>
      <c r="V511">
        <v>48</v>
      </c>
      <c r="W511">
        <f t="shared" si="31"/>
        <v>4</v>
      </c>
      <c r="X511" t="s">
        <v>31</v>
      </c>
      <c r="Y511" t="s">
        <v>32</v>
      </c>
      <c r="Z511" t="s">
        <v>33</v>
      </c>
      <c r="AA511" t="s">
        <v>34</v>
      </c>
      <c r="AB511" t="s">
        <v>35</v>
      </c>
      <c r="AC511" t="s">
        <v>44</v>
      </c>
    </row>
    <row r="512" spans="1:29" x14ac:dyDescent="0.25">
      <c r="A512">
        <v>540</v>
      </c>
      <c r="B512">
        <v>7713</v>
      </c>
      <c r="C512">
        <v>6895</v>
      </c>
      <c r="D512">
        <f t="shared" si="28"/>
        <v>14608</v>
      </c>
      <c r="E512" t="s">
        <v>49</v>
      </c>
      <c r="F512">
        <v>57</v>
      </c>
      <c r="G512" t="str" cm="1">
        <f t="array" ref="G512">_xlfn.IFS(F512&lt;25,"18-24",F512&lt;35,"25-35",F512&lt;45,"35-44",F512&lt;55,"44-54",F512&gt;=55,"55+")</f>
        <v>55+</v>
      </c>
      <c r="H512" t="s">
        <v>41</v>
      </c>
      <c r="I512">
        <v>2</v>
      </c>
      <c r="J512" t="str" cm="1">
        <f t="array" ref="J512">_xlfn.IFS(I512&lt;=0,"No Dependents",I512&lt;=1,"One",I512&lt;=2,"Two",I512&gt;=3,"Third")</f>
        <v>Two</v>
      </c>
      <c r="K512">
        <v>678</v>
      </c>
      <c r="L512" t="str" cm="1">
        <f t="array" ref="L512">_xlfn.IFS(K512&lt;=580,"Poor",K512&lt;=670,"fair",K512&lt;=740,"Good",K512&lt;=800,"Very Good",K512&gt;=800,"Excellent")</f>
        <v>Good</v>
      </c>
      <c r="M512">
        <v>3</v>
      </c>
      <c r="N512" t="str">
        <f t="shared" si="29"/>
        <v>Yes</v>
      </c>
      <c r="O512">
        <v>0.34</v>
      </c>
      <c r="P512" t="str" cm="1">
        <f t="array" ref="P512">_xlfn.IFS(O512&lt;=0.3,"Low Risk",O512&lt;=0.4,"medium Risk",O512&lt;=0.5,"High Risk",O512&gt;0.5,"Very High Risk")</f>
        <v>medium Risk</v>
      </c>
      <c r="Q512">
        <v>17100</v>
      </c>
      <c r="R512">
        <v>1860</v>
      </c>
      <c r="S512" t="str">
        <f t="shared" si="30"/>
        <v>Yes</v>
      </c>
      <c r="T512">
        <v>9559</v>
      </c>
      <c r="U512" t="str" cm="1">
        <f t="array" ref="U512">_xlfn.IFS(T512&lt;5000,"Small",T512&lt;20000,"Medium",T512&lt;35000,"Large",T512&gt;35000,"Very Large")</f>
        <v>Medium</v>
      </c>
      <c r="V512">
        <v>36</v>
      </c>
      <c r="W512">
        <f t="shared" si="31"/>
        <v>3</v>
      </c>
      <c r="X512" t="s">
        <v>50</v>
      </c>
      <c r="Y512" t="s">
        <v>38</v>
      </c>
      <c r="Z512" t="s">
        <v>39</v>
      </c>
      <c r="AA512" t="s">
        <v>40</v>
      </c>
      <c r="AB512" t="s">
        <v>43</v>
      </c>
      <c r="AC512" t="s">
        <v>44</v>
      </c>
    </row>
    <row r="513" spans="1:29" x14ac:dyDescent="0.25">
      <c r="A513">
        <v>541</v>
      </c>
      <c r="B513">
        <v>18639</v>
      </c>
      <c r="C513">
        <v>9131</v>
      </c>
      <c r="D513">
        <f t="shared" si="28"/>
        <v>27770</v>
      </c>
      <c r="E513" t="s">
        <v>29</v>
      </c>
      <c r="F513">
        <v>43</v>
      </c>
      <c r="G513" t="str" cm="1">
        <f t="array" ref="G513">_xlfn.IFS(F513&lt;25,"18-24",F513&lt;35,"25-35",F513&lt;45,"35-44",F513&lt;55,"44-54",F513&gt;=55,"55+")</f>
        <v>35-44</v>
      </c>
      <c r="H513" t="s">
        <v>41</v>
      </c>
      <c r="I513">
        <v>1</v>
      </c>
      <c r="J513" t="str" cm="1">
        <f t="array" ref="J513">_xlfn.IFS(I513&lt;=0,"No Dependents",I513&lt;=1,"One",I513&lt;=2,"Two",I513&gt;=3,"Third")</f>
        <v>One</v>
      </c>
      <c r="K513">
        <v>559</v>
      </c>
      <c r="L513" t="str" cm="1">
        <f t="array" ref="L513">_xlfn.IFS(K513&lt;=580,"Poor",K513&lt;=670,"fair",K513&lt;=740,"Good",K513&lt;=800,"Very Good",K513&gt;=800,"Excellent")</f>
        <v>Poor</v>
      </c>
      <c r="M513">
        <v>2</v>
      </c>
      <c r="N513" t="str">
        <f t="shared" si="29"/>
        <v>Yes</v>
      </c>
      <c r="O513">
        <v>0.32</v>
      </c>
      <c r="P513" t="str" cm="1">
        <f t="array" ref="P513">_xlfn.IFS(O513&lt;=0.3,"Low Risk",O513&lt;=0.4,"medium Risk",O513&lt;=0.5,"High Risk",O513&gt;0.5,"Very High Risk")</f>
        <v>medium Risk</v>
      </c>
      <c r="Q513">
        <v>3967</v>
      </c>
      <c r="R513">
        <v>6158</v>
      </c>
      <c r="S513" t="str">
        <f t="shared" si="30"/>
        <v>Yes</v>
      </c>
      <c r="T513">
        <v>27058</v>
      </c>
      <c r="U513" t="str" cm="1">
        <f t="array" ref="U513">_xlfn.IFS(T513&lt;5000,"Small",T513&lt;20000,"Medium",T513&lt;35000,"Large",T513&gt;35000,"Very Large")</f>
        <v>Large</v>
      </c>
      <c r="V513">
        <v>72</v>
      </c>
      <c r="W513">
        <f t="shared" si="31"/>
        <v>6</v>
      </c>
      <c r="X513" t="s">
        <v>31</v>
      </c>
      <c r="Y513" t="s">
        <v>32</v>
      </c>
      <c r="Z513" t="s">
        <v>39</v>
      </c>
      <c r="AA513" t="s">
        <v>34</v>
      </c>
      <c r="AB513" t="s">
        <v>43</v>
      </c>
      <c r="AC513" t="s">
        <v>36</v>
      </c>
    </row>
    <row r="514" spans="1:29" x14ac:dyDescent="0.25">
      <c r="A514">
        <v>542</v>
      </c>
      <c r="B514">
        <v>0</v>
      </c>
      <c r="C514">
        <v>525</v>
      </c>
      <c r="D514">
        <f t="shared" si="28"/>
        <v>525</v>
      </c>
      <c r="E514" t="s">
        <v>49</v>
      </c>
      <c r="F514">
        <v>33</v>
      </c>
      <c r="G514" t="str" cm="1">
        <f t="array" ref="G514">_xlfn.IFS(F514&lt;25,"18-24",F514&lt;35,"25-35",F514&lt;45,"35-44",F514&lt;55,"44-54",F514&gt;=55,"55+")</f>
        <v>25-35</v>
      </c>
      <c r="H514" t="s">
        <v>41</v>
      </c>
      <c r="I514">
        <v>2</v>
      </c>
      <c r="J514" t="str" cm="1">
        <f t="array" ref="J514">_xlfn.IFS(I514&lt;=0,"No Dependents",I514&lt;=1,"One",I514&lt;=2,"Two",I514&gt;=3,"Third")</f>
        <v>Two</v>
      </c>
      <c r="K514">
        <v>596</v>
      </c>
      <c r="L514" t="str" cm="1">
        <f t="array" ref="L514">_xlfn.IFS(K514&lt;=580,"Poor",K514&lt;=670,"fair",K514&lt;=740,"Good",K514&lt;=800,"Very Good",K514&gt;=800,"Excellent")</f>
        <v>fair</v>
      </c>
      <c r="M514">
        <v>1</v>
      </c>
      <c r="N514" t="str">
        <f t="shared" si="29"/>
        <v>Yes</v>
      </c>
      <c r="O514">
        <v>0.35</v>
      </c>
      <c r="P514" t="str" cm="1">
        <f t="array" ref="P514">_xlfn.IFS(O514&lt;=0.3,"Low Risk",O514&lt;=0.4,"medium Risk",O514&lt;=0.5,"High Risk",O514&gt;0.5,"Very High Risk")</f>
        <v>medium Risk</v>
      </c>
      <c r="Q514">
        <v>7423</v>
      </c>
      <c r="R514">
        <v>5806</v>
      </c>
      <c r="S514" t="str">
        <f t="shared" si="30"/>
        <v>Yes</v>
      </c>
      <c r="T514">
        <v>23745</v>
      </c>
      <c r="U514" t="str" cm="1">
        <f t="array" ref="U514">_xlfn.IFS(T514&lt;5000,"Small",T514&lt;20000,"Medium",T514&lt;35000,"Large",T514&gt;35000,"Very Large")</f>
        <v>Large</v>
      </c>
      <c r="V514">
        <v>60</v>
      </c>
      <c r="W514">
        <f t="shared" si="31"/>
        <v>5</v>
      </c>
      <c r="X514" t="s">
        <v>31</v>
      </c>
      <c r="Y514" t="s">
        <v>45</v>
      </c>
      <c r="Z514" t="s">
        <v>33</v>
      </c>
      <c r="AA514" t="s">
        <v>40</v>
      </c>
      <c r="AB514" t="s">
        <v>35</v>
      </c>
      <c r="AC514" t="s">
        <v>36</v>
      </c>
    </row>
    <row r="515" spans="1:29" x14ac:dyDescent="0.25">
      <c r="A515">
        <v>543</v>
      </c>
      <c r="B515">
        <v>12136</v>
      </c>
      <c r="C515">
        <v>6477</v>
      </c>
      <c r="D515">
        <f t="shared" ref="D515:D578" si="32">B515+C515</f>
        <v>18613</v>
      </c>
      <c r="E515" t="s">
        <v>49</v>
      </c>
      <c r="F515">
        <v>52</v>
      </c>
      <c r="G515" t="str" cm="1">
        <f t="array" ref="G515">_xlfn.IFS(F515&lt;25,"18-24",F515&lt;35,"25-35",F515&lt;45,"35-44",F515&lt;55,"44-54",F515&gt;=55,"55+")</f>
        <v>44-54</v>
      </c>
      <c r="H515" t="s">
        <v>30</v>
      </c>
      <c r="I515">
        <v>3</v>
      </c>
      <c r="J515" t="str" cm="1">
        <f t="array" ref="J515">_xlfn.IFS(I515&lt;=0,"No Dependents",I515&lt;=1,"One",I515&lt;=2,"Two",I515&gt;=3,"Third")</f>
        <v>Third</v>
      </c>
      <c r="K515">
        <v>672</v>
      </c>
      <c r="L515" t="str" cm="1">
        <f t="array" ref="L515">_xlfn.IFS(K515&lt;=580,"Poor",K515&lt;=670,"fair",K515&lt;=740,"Good",K515&lt;=800,"Very Good",K515&gt;=800,"Excellent")</f>
        <v>Good</v>
      </c>
      <c r="M515">
        <v>3</v>
      </c>
      <c r="N515" t="str">
        <f t="shared" ref="N515:N578" si="33">IF(M515&gt;0,"Yes","No")</f>
        <v>Yes</v>
      </c>
      <c r="O515">
        <v>0.51</v>
      </c>
      <c r="P515" t="str" cm="1">
        <f t="array" ref="P515">_xlfn.IFS(O515&lt;=0.3,"Low Risk",O515&lt;=0.4,"medium Risk",O515&lt;=0.5,"High Risk",O515&gt;0.5,"Very High Risk")</f>
        <v>Very High Risk</v>
      </c>
      <c r="Q515">
        <v>6450</v>
      </c>
      <c r="R515">
        <v>20738</v>
      </c>
      <c r="S515" t="str">
        <f t="shared" ref="S515:S578" si="34">IF(R515&gt;100,"Yes","No")</f>
        <v>Yes</v>
      </c>
      <c r="T515">
        <v>1615</v>
      </c>
      <c r="U515" t="str" cm="1">
        <f t="array" ref="U515">_xlfn.IFS(T515&lt;5000,"Small",T515&lt;20000,"Medium",T515&lt;35000,"Large",T515&gt;35000,"Very Large")</f>
        <v>Small</v>
      </c>
      <c r="V515">
        <v>36</v>
      </c>
      <c r="W515">
        <f t="shared" ref="W515:W578" si="35">V515/12</f>
        <v>3</v>
      </c>
      <c r="X515" t="s">
        <v>47</v>
      </c>
      <c r="Y515" t="s">
        <v>38</v>
      </c>
      <c r="Z515" t="s">
        <v>33</v>
      </c>
      <c r="AA515" t="s">
        <v>40</v>
      </c>
      <c r="AB515" t="s">
        <v>48</v>
      </c>
      <c r="AC515" t="s">
        <v>36</v>
      </c>
    </row>
    <row r="516" spans="1:29" x14ac:dyDescent="0.25">
      <c r="A516">
        <v>544</v>
      </c>
      <c r="B516">
        <v>0</v>
      </c>
      <c r="C516">
        <v>1</v>
      </c>
      <c r="D516">
        <f t="shared" si="32"/>
        <v>1</v>
      </c>
      <c r="E516" t="s">
        <v>29</v>
      </c>
      <c r="F516">
        <v>43</v>
      </c>
      <c r="G516" t="str" cm="1">
        <f t="array" ref="G516">_xlfn.IFS(F516&lt;25,"18-24",F516&lt;35,"25-35",F516&lt;45,"35-44",F516&lt;55,"44-54",F516&gt;=55,"55+")</f>
        <v>35-44</v>
      </c>
      <c r="H516" t="s">
        <v>30</v>
      </c>
      <c r="I516">
        <v>3</v>
      </c>
      <c r="J516" t="str" cm="1">
        <f t="array" ref="J516">_xlfn.IFS(I516&lt;=0,"No Dependents",I516&lt;=1,"One",I516&lt;=2,"Two",I516&gt;=3,"Third")</f>
        <v>Third</v>
      </c>
      <c r="K516">
        <v>608</v>
      </c>
      <c r="L516" t="str" cm="1">
        <f t="array" ref="L516">_xlfn.IFS(K516&lt;=580,"Poor",K516&lt;=670,"fair",K516&lt;=740,"Good",K516&lt;=800,"Very Good",K516&gt;=800,"Excellent")</f>
        <v>fair</v>
      </c>
      <c r="M516">
        <v>0</v>
      </c>
      <c r="N516" t="str">
        <f t="shared" si="33"/>
        <v>No</v>
      </c>
      <c r="O516">
        <v>0.28000000000000003</v>
      </c>
      <c r="P516" t="str" cm="1">
        <f t="array" ref="P516">_xlfn.IFS(O516&lt;=0.3,"Low Risk",O516&lt;=0.4,"medium Risk",O516&lt;=0.5,"High Risk",O516&gt;0.5,"Very High Risk")</f>
        <v>Low Risk</v>
      </c>
      <c r="Q516">
        <v>12213</v>
      </c>
      <c r="R516">
        <v>17106</v>
      </c>
      <c r="S516" t="str">
        <f t="shared" si="34"/>
        <v>Yes</v>
      </c>
      <c r="T516">
        <v>9062</v>
      </c>
      <c r="U516" t="str" cm="1">
        <f t="array" ref="U516">_xlfn.IFS(T516&lt;5000,"Small",T516&lt;20000,"Medium",T516&lt;35000,"Large",T516&gt;35000,"Very Large")</f>
        <v>Medium</v>
      </c>
      <c r="V516">
        <v>84</v>
      </c>
      <c r="W516">
        <f t="shared" si="35"/>
        <v>7</v>
      </c>
      <c r="X516" t="s">
        <v>31</v>
      </c>
      <c r="Y516" t="s">
        <v>38</v>
      </c>
      <c r="Z516" t="s">
        <v>39</v>
      </c>
      <c r="AA516" t="s">
        <v>40</v>
      </c>
      <c r="AB516" t="s">
        <v>35</v>
      </c>
      <c r="AC516" t="s">
        <v>36</v>
      </c>
    </row>
    <row r="517" spans="1:29" x14ac:dyDescent="0.25">
      <c r="A517">
        <v>545</v>
      </c>
      <c r="B517">
        <v>7124</v>
      </c>
      <c r="C517">
        <v>374</v>
      </c>
      <c r="D517">
        <f t="shared" si="32"/>
        <v>7498</v>
      </c>
      <c r="E517" t="s">
        <v>29</v>
      </c>
      <c r="F517">
        <v>37</v>
      </c>
      <c r="G517" t="str" cm="1">
        <f t="array" ref="G517">_xlfn.IFS(F517&lt;25,"18-24",F517&lt;35,"25-35",F517&lt;45,"35-44",F517&lt;55,"44-54",F517&gt;=55,"55+")</f>
        <v>35-44</v>
      </c>
      <c r="H517" t="s">
        <v>41</v>
      </c>
      <c r="I517">
        <v>3</v>
      </c>
      <c r="J517" t="str" cm="1">
        <f t="array" ref="J517">_xlfn.IFS(I517&lt;=0,"No Dependents",I517&lt;=1,"One",I517&lt;=2,"Two",I517&gt;=3,"Third")</f>
        <v>Third</v>
      </c>
      <c r="K517">
        <v>645</v>
      </c>
      <c r="L517" t="str" cm="1">
        <f t="array" ref="L517">_xlfn.IFS(K517&lt;=580,"Poor",K517&lt;=670,"fair",K517&lt;=740,"Good",K517&lt;=800,"Very Good",K517&gt;=800,"Excellent")</f>
        <v>fair</v>
      </c>
      <c r="M517">
        <v>4</v>
      </c>
      <c r="N517" t="str">
        <f t="shared" si="33"/>
        <v>Yes</v>
      </c>
      <c r="O517">
        <v>0.37</v>
      </c>
      <c r="P517" t="str" cm="1">
        <f t="array" ref="P517">_xlfn.IFS(O517&lt;=0.3,"Low Risk",O517&lt;=0.4,"medium Risk",O517&lt;=0.5,"High Risk",O517&gt;0.5,"Very High Risk")</f>
        <v>medium Risk</v>
      </c>
      <c r="Q517">
        <v>3215</v>
      </c>
      <c r="R517">
        <v>9474</v>
      </c>
      <c r="S517" t="str">
        <f t="shared" si="34"/>
        <v>Yes</v>
      </c>
      <c r="T517">
        <v>29214</v>
      </c>
      <c r="U517" t="str" cm="1">
        <f t="array" ref="U517">_xlfn.IFS(T517&lt;5000,"Small",T517&lt;20000,"Medium",T517&lt;35000,"Large",T517&gt;35000,"Very Large")</f>
        <v>Large</v>
      </c>
      <c r="V517">
        <v>48</v>
      </c>
      <c r="W517">
        <f t="shared" si="35"/>
        <v>4</v>
      </c>
      <c r="X517" t="s">
        <v>31</v>
      </c>
      <c r="Y517" t="s">
        <v>32</v>
      </c>
      <c r="Z517" t="s">
        <v>39</v>
      </c>
      <c r="AA517" t="s">
        <v>40</v>
      </c>
      <c r="AB517" t="s">
        <v>43</v>
      </c>
      <c r="AC517" t="s">
        <v>36</v>
      </c>
    </row>
    <row r="518" spans="1:29" x14ac:dyDescent="0.25">
      <c r="A518">
        <v>546</v>
      </c>
      <c r="B518">
        <v>3015</v>
      </c>
      <c r="C518">
        <v>4648</v>
      </c>
      <c r="D518">
        <f t="shared" si="32"/>
        <v>7663</v>
      </c>
      <c r="E518" t="s">
        <v>29</v>
      </c>
      <c r="F518">
        <v>41</v>
      </c>
      <c r="G518" t="str" cm="1">
        <f t="array" ref="G518">_xlfn.IFS(F518&lt;25,"18-24",F518&lt;35,"25-35",F518&lt;45,"35-44",F518&lt;55,"44-54",F518&gt;=55,"55+")</f>
        <v>35-44</v>
      </c>
      <c r="H518" t="s">
        <v>41</v>
      </c>
      <c r="I518">
        <v>3</v>
      </c>
      <c r="J518" t="str" cm="1">
        <f t="array" ref="J518">_xlfn.IFS(I518&lt;=0,"No Dependents",I518&lt;=1,"One",I518&lt;=2,"Two",I518&gt;=3,"Third")</f>
        <v>Third</v>
      </c>
      <c r="K518">
        <v>739</v>
      </c>
      <c r="L518" t="str" cm="1">
        <f t="array" ref="L518">_xlfn.IFS(K518&lt;=580,"Poor",K518&lt;=670,"fair",K518&lt;=740,"Good",K518&lt;=800,"Very Good",K518&gt;=800,"Excellent")</f>
        <v>Good</v>
      </c>
      <c r="M518">
        <v>0</v>
      </c>
      <c r="N518" t="str">
        <f t="shared" si="33"/>
        <v>No</v>
      </c>
      <c r="O518">
        <v>0.44</v>
      </c>
      <c r="P518" t="str" cm="1">
        <f t="array" ref="P518">_xlfn.IFS(O518&lt;=0.3,"Low Risk",O518&lt;=0.4,"medium Risk",O518&lt;=0.5,"High Risk",O518&gt;0.5,"Very High Risk")</f>
        <v>High Risk</v>
      </c>
      <c r="Q518">
        <v>390</v>
      </c>
      <c r="R518">
        <v>16997</v>
      </c>
      <c r="S518" t="str">
        <f t="shared" si="34"/>
        <v>Yes</v>
      </c>
      <c r="T518">
        <v>39745</v>
      </c>
      <c r="U518" t="str" cm="1">
        <f t="array" ref="U518">_xlfn.IFS(T518&lt;5000,"Small",T518&lt;20000,"Medium",T518&lt;35000,"Large",T518&gt;35000,"Very Large")</f>
        <v>Very Large</v>
      </c>
      <c r="V518">
        <v>36</v>
      </c>
      <c r="W518">
        <f t="shared" si="35"/>
        <v>3</v>
      </c>
      <c r="X518" t="s">
        <v>47</v>
      </c>
      <c r="Y518" t="s">
        <v>32</v>
      </c>
      <c r="Z518" t="s">
        <v>33</v>
      </c>
      <c r="AA518" t="s">
        <v>40</v>
      </c>
      <c r="AB518" t="s">
        <v>43</v>
      </c>
      <c r="AC518" t="s">
        <v>36</v>
      </c>
    </row>
    <row r="519" spans="1:29" x14ac:dyDescent="0.25">
      <c r="A519">
        <v>547</v>
      </c>
      <c r="B519">
        <v>0</v>
      </c>
      <c r="C519">
        <v>2365</v>
      </c>
      <c r="D519">
        <f t="shared" si="32"/>
        <v>2365</v>
      </c>
      <c r="E519" t="s">
        <v>52</v>
      </c>
      <c r="F519">
        <v>22</v>
      </c>
      <c r="G519" t="str" cm="1">
        <f t="array" ref="G519">_xlfn.IFS(F519&lt;25,"18-24",F519&lt;35,"25-35",F519&lt;45,"35-44",F519&lt;55,"44-54",F519&gt;=55,"55+")</f>
        <v>18-24</v>
      </c>
      <c r="H519" t="s">
        <v>30</v>
      </c>
      <c r="I519">
        <v>0</v>
      </c>
      <c r="J519" t="str" cm="1">
        <f t="array" ref="J519">_xlfn.IFS(I519&lt;=0,"No Dependents",I519&lt;=1,"One",I519&lt;=2,"Two",I519&gt;=3,"Third")</f>
        <v>No Dependents</v>
      </c>
      <c r="K519">
        <v>652</v>
      </c>
      <c r="L519" t="str" cm="1">
        <f t="array" ref="L519">_xlfn.IFS(K519&lt;=580,"Poor",K519&lt;=670,"fair",K519&lt;=740,"Good",K519&lt;=800,"Very Good",K519&gt;=800,"Excellent")</f>
        <v>fair</v>
      </c>
      <c r="M519">
        <v>1</v>
      </c>
      <c r="N519" t="str">
        <f t="shared" si="33"/>
        <v>Yes</v>
      </c>
      <c r="O519">
        <v>0.45</v>
      </c>
      <c r="P519" t="str" cm="1">
        <f t="array" ref="P519">_xlfn.IFS(O519&lt;=0.3,"Low Risk",O519&lt;=0.4,"medium Risk",O519&lt;=0.5,"High Risk",O519&gt;0.5,"Very High Risk")</f>
        <v>High Risk</v>
      </c>
      <c r="Q519">
        <v>19421</v>
      </c>
      <c r="R519">
        <v>32599</v>
      </c>
      <c r="S519" t="str">
        <f t="shared" si="34"/>
        <v>Yes</v>
      </c>
      <c r="T519">
        <v>11681</v>
      </c>
      <c r="U519" t="str" cm="1">
        <f t="array" ref="U519">_xlfn.IFS(T519&lt;5000,"Small",T519&lt;20000,"Medium",T519&lt;35000,"Large",T519&gt;35000,"Very Large")</f>
        <v>Medium</v>
      </c>
      <c r="V519">
        <v>48</v>
      </c>
      <c r="W519">
        <f t="shared" si="35"/>
        <v>4</v>
      </c>
      <c r="X519" t="s">
        <v>31</v>
      </c>
      <c r="Y519" t="s">
        <v>32</v>
      </c>
      <c r="Z519" t="s">
        <v>39</v>
      </c>
      <c r="AA519" t="s">
        <v>40</v>
      </c>
      <c r="AB519" t="s">
        <v>35</v>
      </c>
      <c r="AC519" t="s">
        <v>36</v>
      </c>
    </row>
    <row r="520" spans="1:29" x14ac:dyDescent="0.25">
      <c r="A520">
        <v>548</v>
      </c>
      <c r="B520">
        <v>10415</v>
      </c>
      <c r="C520">
        <v>1525</v>
      </c>
      <c r="D520">
        <f t="shared" si="32"/>
        <v>11940</v>
      </c>
      <c r="E520" t="s">
        <v>29</v>
      </c>
      <c r="F520">
        <v>57</v>
      </c>
      <c r="G520" t="str" cm="1">
        <f t="array" ref="G520">_xlfn.IFS(F520&lt;25,"18-24",F520&lt;35,"25-35",F520&lt;45,"35-44",F520&lt;55,"44-54",F520&gt;=55,"55+")</f>
        <v>55+</v>
      </c>
      <c r="H520" t="s">
        <v>30</v>
      </c>
      <c r="I520">
        <v>3</v>
      </c>
      <c r="J520" t="str" cm="1">
        <f t="array" ref="J520">_xlfn.IFS(I520&lt;=0,"No Dependents",I520&lt;=1,"One",I520&lt;=2,"Two",I520&gt;=3,"Third")</f>
        <v>Third</v>
      </c>
      <c r="K520">
        <v>673</v>
      </c>
      <c r="L520" t="str" cm="1">
        <f t="array" ref="L520">_xlfn.IFS(K520&lt;=580,"Poor",K520&lt;=670,"fair",K520&lt;=740,"Good",K520&lt;=800,"Very Good",K520&gt;=800,"Excellent")</f>
        <v>Good</v>
      </c>
      <c r="M520">
        <v>1</v>
      </c>
      <c r="N520" t="str">
        <f t="shared" si="33"/>
        <v>Yes</v>
      </c>
      <c r="O520">
        <v>0.57999999999999996</v>
      </c>
      <c r="P520" t="str" cm="1">
        <f t="array" ref="P520">_xlfn.IFS(O520&lt;=0.3,"Low Risk",O520&lt;=0.4,"medium Risk",O520&lt;=0.5,"High Risk",O520&gt;0.5,"Very High Risk")</f>
        <v>Very High Risk</v>
      </c>
      <c r="Q520">
        <v>232</v>
      </c>
      <c r="R520">
        <v>0</v>
      </c>
      <c r="S520" t="str">
        <f t="shared" si="34"/>
        <v>No</v>
      </c>
      <c r="T520">
        <v>7984</v>
      </c>
      <c r="U520" t="str" cm="1">
        <f t="array" ref="U520">_xlfn.IFS(T520&lt;5000,"Small",T520&lt;20000,"Medium",T520&lt;35000,"Large",T520&gt;35000,"Very Large")</f>
        <v>Medium</v>
      </c>
      <c r="V520">
        <v>12</v>
      </c>
      <c r="W520">
        <f t="shared" si="35"/>
        <v>1</v>
      </c>
      <c r="X520" t="s">
        <v>47</v>
      </c>
      <c r="Y520" t="s">
        <v>45</v>
      </c>
      <c r="Z520" t="s">
        <v>33</v>
      </c>
      <c r="AA520" t="s">
        <v>40</v>
      </c>
      <c r="AB520" t="s">
        <v>35</v>
      </c>
      <c r="AC520" t="s">
        <v>36</v>
      </c>
    </row>
    <row r="521" spans="1:29" x14ac:dyDescent="0.25">
      <c r="A521">
        <v>549</v>
      </c>
      <c r="B521">
        <v>15550</v>
      </c>
      <c r="C521">
        <v>1646</v>
      </c>
      <c r="D521">
        <f t="shared" si="32"/>
        <v>17196</v>
      </c>
      <c r="E521" t="s">
        <v>29</v>
      </c>
      <c r="F521">
        <v>26</v>
      </c>
      <c r="G521" t="str" cm="1">
        <f t="array" ref="G521">_xlfn.IFS(F521&lt;25,"18-24",F521&lt;35,"25-35",F521&lt;45,"35-44",F521&lt;55,"44-54",F521&gt;=55,"55+")</f>
        <v>25-35</v>
      </c>
      <c r="H521" t="s">
        <v>41</v>
      </c>
      <c r="I521">
        <v>2</v>
      </c>
      <c r="J521" t="str" cm="1">
        <f t="array" ref="J521">_xlfn.IFS(I521&lt;=0,"No Dependents",I521&lt;=1,"One",I521&lt;=2,"Two",I521&gt;=3,"Third")</f>
        <v>Two</v>
      </c>
      <c r="K521">
        <v>635</v>
      </c>
      <c r="L521" t="str" cm="1">
        <f t="array" ref="L521">_xlfn.IFS(K521&lt;=580,"Poor",K521&lt;=670,"fair",K521&lt;=740,"Good",K521&lt;=800,"Very Good",K521&gt;=800,"Excellent")</f>
        <v>fair</v>
      </c>
      <c r="M521">
        <v>0</v>
      </c>
      <c r="N521" t="str">
        <f t="shared" si="33"/>
        <v>No</v>
      </c>
      <c r="O521">
        <v>0.37</v>
      </c>
      <c r="P521" t="str" cm="1">
        <f t="array" ref="P521">_xlfn.IFS(O521&lt;=0.3,"Low Risk",O521&lt;=0.4,"medium Risk",O521&lt;=0.5,"High Risk",O521&gt;0.5,"Very High Risk")</f>
        <v>medium Risk</v>
      </c>
      <c r="Q521">
        <v>19515</v>
      </c>
      <c r="R521">
        <v>10170</v>
      </c>
      <c r="S521" t="str">
        <f t="shared" si="34"/>
        <v>Yes</v>
      </c>
      <c r="T521">
        <v>28579</v>
      </c>
      <c r="U521" t="str" cm="1">
        <f t="array" ref="U521">_xlfn.IFS(T521&lt;5000,"Small",T521&lt;20000,"Medium",T521&lt;35000,"Large",T521&gt;35000,"Very Large")</f>
        <v>Large</v>
      </c>
      <c r="V521">
        <v>60</v>
      </c>
      <c r="W521">
        <f t="shared" si="35"/>
        <v>5</v>
      </c>
      <c r="X521" t="s">
        <v>42</v>
      </c>
      <c r="Y521" t="s">
        <v>38</v>
      </c>
      <c r="Z521" t="s">
        <v>39</v>
      </c>
      <c r="AA521" t="s">
        <v>40</v>
      </c>
      <c r="AB521" t="s">
        <v>48</v>
      </c>
      <c r="AC521" t="s">
        <v>36</v>
      </c>
    </row>
    <row r="522" spans="1:29" x14ac:dyDescent="0.25">
      <c r="A522">
        <v>550</v>
      </c>
      <c r="B522">
        <v>16512</v>
      </c>
      <c r="C522">
        <v>13</v>
      </c>
      <c r="D522">
        <f t="shared" si="32"/>
        <v>16525</v>
      </c>
      <c r="E522" t="s">
        <v>29</v>
      </c>
      <c r="F522">
        <v>38</v>
      </c>
      <c r="G522" t="str" cm="1">
        <f t="array" ref="G522">_xlfn.IFS(F522&lt;25,"18-24",F522&lt;35,"25-35",F522&lt;45,"35-44",F522&lt;55,"44-54",F522&gt;=55,"55+")</f>
        <v>35-44</v>
      </c>
      <c r="H522" t="s">
        <v>30</v>
      </c>
      <c r="I522">
        <v>1</v>
      </c>
      <c r="J522" t="str" cm="1">
        <f t="array" ref="J522">_xlfn.IFS(I522&lt;=0,"No Dependents",I522&lt;=1,"One",I522&lt;=2,"Two",I522&gt;=3,"Third")</f>
        <v>One</v>
      </c>
      <c r="K522">
        <v>695</v>
      </c>
      <c r="L522" t="str" cm="1">
        <f t="array" ref="L522">_xlfn.IFS(K522&lt;=580,"Poor",K522&lt;=670,"fair",K522&lt;=740,"Good",K522&lt;=800,"Very Good",K522&gt;=800,"Excellent")</f>
        <v>Good</v>
      </c>
      <c r="M522">
        <v>1</v>
      </c>
      <c r="N522" t="str">
        <f t="shared" si="33"/>
        <v>Yes</v>
      </c>
      <c r="O522">
        <v>0.3</v>
      </c>
      <c r="P522" t="str" cm="1">
        <f t="array" ref="P522">_xlfn.IFS(O522&lt;=0.3,"Low Risk",O522&lt;=0.4,"medium Risk",O522&lt;=0.5,"High Risk",O522&gt;0.5,"Very High Risk")</f>
        <v>Low Risk</v>
      </c>
      <c r="Q522">
        <v>7634</v>
      </c>
      <c r="R522">
        <v>0</v>
      </c>
      <c r="S522" t="str">
        <f t="shared" si="34"/>
        <v>No</v>
      </c>
      <c r="T522">
        <v>26274</v>
      </c>
      <c r="U522" t="str" cm="1">
        <f t="array" ref="U522">_xlfn.IFS(T522&lt;5000,"Small",T522&lt;20000,"Medium",T522&lt;35000,"Large",T522&gt;35000,"Very Large")</f>
        <v>Large</v>
      </c>
      <c r="V522">
        <v>48</v>
      </c>
      <c r="W522">
        <f t="shared" si="35"/>
        <v>4</v>
      </c>
      <c r="X522" t="s">
        <v>42</v>
      </c>
      <c r="Y522" t="s">
        <v>32</v>
      </c>
      <c r="Z522" t="s">
        <v>39</v>
      </c>
      <c r="AA522" t="s">
        <v>40</v>
      </c>
      <c r="AB522" t="s">
        <v>51</v>
      </c>
      <c r="AC522" t="s">
        <v>44</v>
      </c>
    </row>
    <row r="523" spans="1:29" x14ac:dyDescent="0.25">
      <c r="A523">
        <v>551</v>
      </c>
      <c r="B523">
        <v>6158</v>
      </c>
      <c r="C523">
        <v>4599</v>
      </c>
      <c r="D523">
        <f t="shared" si="32"/>
        <v>10757</v>
      </c>
      <c r="E523" t="s">
        <v>49</v>
      </c>
      <c r="F523">
        <v>50</v>
      </c>
      <c r="G523" t="str" cm="1">
        <f t="array" ref="G523">_xlfn.IFS(F523&lt;25,"18-24",F523&lt;35,"25-35",F523&lt;45,"35-44",F523&lt;55,"44-54",F523&gt;=55,"55+")</f>
        <v>44-54</v>
      </c>
      <c r="H523" t="s">
        <v>30</v>
      </c>
      <c r="I523">
        <v>2</v>
      </c>
      <c r="J523" t="str" cm="1">
        <f t="array" ref="J523">_xlfn.IFS(I523&lt;=0,"No Dependents",I523&lt;=1,"One",I523&lt;=2,"Two",I523&gt;=3,"Third")</f>
        <v>Two</v>
      </c>
      <c r="K523">
        <v>661</v>
      </c>
      <c r="L523" t="str" cm="1">
        <f t="array" ref="L523">_xlfn.IFS(K523&lt;=580,"Poor",K523&lt;=670,"fair",K523&lt;=740,"Good",K523&lt;=800,"Very Good",K523&gt;=800,"Excellent")</f>
        <v>fair</v>
      </c>
      <c r="M523">
        <v>3</v>
      </c>
      <c r="N523" t="str">
        <f t="shared" si="33"/>
        <v>Yes</v>
      </c>
      <c r="O523">
        <v>0.57999999999999996</v>
      </c>
      <c r="P523" t="str" cm="1">
        <f t="array" ref="P523">_xlfn.IFS(O523&lt;=0.3,"Low Risk",O523&lt;=0.4,"medium Risk",O523&lt;=0.5,"High Risk",O523&gt;0.5,"Very High Risk")</f>
        <v>Very High Risk</v>
      </c>
      <c r="Q523">
        <v>11498</v>
      </c>
      <c r="R523">
        <v>0</v>
      </c>
      <c r="S523" t="str">
        <f t="shared" si="34"/>
        <v>No</v>
      </c>
      <c r="T523">
        <v>38739</v>
      </c>
      <c r="U523" t="str" cm="1">
        <f t="array" ref="U523">_xlfn.IFS(T523&lt;5000,"Small",T523&lt;20000,"Medium",T523&lt;35000,"Large",T523&gt;35000,"Very Large")</f>
        <v>Very Large</v>
      </c>
      <c r="V523">
        <v>36</v>
      </c>
      <c r="W523">
        <f t="shared" si="35"/>
        <v>3</v>
      </c>
      <c r="X523" t="s">
        <v>47</v>
      </c>
      <c r="Y523" t="s">
        <v>32</v>
      </c>
      <c r="Z523" t="s">
        <v>39</v>
      </c>
      <c r="AA523" t="s">
        <v>34</v>
      </c>
      <c r="AB523" t="s">
        <v>35</v>
      </c>
      <c r="AC523" t="s">
        <v>36</v>
      </c>
    </row>
    <row r="524" spans="1:29" x14ac:dyDescent="0.25">
      <c r="A524">
        <v>552</v>
      </c>
      <c r="B524">
        <v>8970</v>
      </c>
      <c r="C524">
        <v>2278</v>
      </c>
      <c r="D524">
        <f t="shared" si="32"/>
        <v>11248</v>
      </c>
      <c r="E524" t="s">
        <v>29</v>
      </c>
      <c r="F524">
        <v>42</v>
      </c>
      <c r="G524" t="str" cm="1">
        <f t="array" ref="G524">_xlfn.IFS(F524&lt;25,"18-24",F524&lt;35,"25-35",F524&lt;45,"35-44",F524&lt;55,"44-54",F524&gt;=55,"55+")</f>
        <v>35-44</v>
      </c>
      <c r="H524" t="s">
        <v>30</v>
      </c>
      <c r="I524">
        <v>3</v>
      </c>
      <c r="J524" t="str" cm="1">
        <f t="array" ref="J524">_xlfn.IFS(I524&lt;=0,"No Dependents",I524&lt;=1,"One",I524&lt;=2,"Two",I524&gt;=3,"Third")</f>
        <v>Third</v>
      </c>
      <c r="K524">
        <v>723</v>
      </c>
      <c r="L524" t="str" cm="1">
        <f t="array" ref="L524">_xlfn.IFS(K524&lt;=580,"Poor",K524&lt;=670,"fair",K524&lt;=740,"Good",K524&lt;=800,"Very Good",K524&gt;=800,"Excellent")</f>
        <v>Good</v>
      </c>
      <c r="M524">
        <v>1</v>
      </c>
      <c r="N524" t="str">
        <f t="shared" si="33"/>
        <v>Yes</v>
      </c>
      <c r="O524">
        <v>0.42</v>
      </c>
      <c r="P524" t="str" cm="1">
        <f t="array" ref="P524">_xlfn.IFS(O524&lt;=0.3,"Low Risk",O524&lt;=0.4,"medium Risk",O524&lt;=0.5,"High Risk",O524&gt;0.5,"Very High Risk")</f>
        <v>High Risk</v>
      </c>
      <c r="Q524">
        <v>10916</v>
      </c>
      <c r="R524">
        <v>0</v>
      </c>
      <c r="S524" t="str">
        <f t="shared" si="34"/>
        <v>No</v>
      </c>
      <c r="T524">
        <v>28399</v>
      </c>
      <c r="U524" t="str" cm="1">
        <f t="array" ref="U524">_xlfn.IFS(T524&lt;5000,"Small",T524&lt;20000,"Medium",T524&lt;35000,"Large",T524&gt;35000,"Very Large")</f>
        <v>Large</v>
      </c>
      <c r="V524">
        <v>60</v>
      </c>
      <c r="W524">
        <f t="shared" si="35"/>
        <v>5</v>
      </c>
      <c r="X524" t="s">
        <v>47</v>
      </c>
      <c r="Y524" t="s">
        <v>38</v>
      </c>
      <c r="Z524" t="s">
        <v>39</v>
      </c>
      <c r="AA524" t="s">
        <v>34</v>
      </c>
      <c r="AB524" t="s">
        <v>51</v>
      </c>
      <c r="AC524" t="s">
        <v>36</v>
      </c>
    </row>
    <row r="525" spans="1:29" x14ac:dyDescent="0.25">
      <c r="A525">
        <v>553</v>
      </c>
      <c r="B525">
        <v>8938</v>
      </c>
      <c r="C525">
        <v>3155</v>
      </c>
      <c r="D525">
        <f t="shared" si="32"/>
        <v>12093</v>
      </c>
      <c r="E525" t="s">
        <v>49</v>
      </c>
      <c r="F525">
        <v>53</v>
      </c>
      <c r="G525" t="str" cm="1">
        <f t="array" ref="G525">_xlfn.IFS(F525&lt;25,"18-24",F525&lt;35,"25-35",F525&lt;45,"35-44",F525&lt;55,"44-54",F525&gt;=55,"55+")</f>
        <v>44-54</v>
      </c>
      <c r="H525" t="s">
        <v>30</v>
      </c>
      <c r="I525">
        <v>0</v>
      </c>
      <c r="J525" t="str" cm="1">
        <f t="array" ref="J525">_xlfn.IFS(I525&lt;=0,"No Dependents",I525&lt;=1,"One",I525&lt;=2,"Two",I525&gt;=3,"Third")</f>
        <v>No Dependents</v>
      </c>
      <c r="K525">
        <v>709</v>
      </c>
      <c r="L525" t="str" cm="1">
        <f t="array" ref="L525">_xlfn.IFS(K525&lt;=580,"Poor",K525&lt;=670,"fair",K525&lt;=740,"Good",K525&lt;=800,"Very Good",K525&gt;=800,"Excellent")</f>
        <v>Good</v>
      </c>
      <c r="M525">
        <v>4</v>
      </c>
      <c r="N525" t="str">
        <f t="shared" si="33"/>
        <v>Yes</v>
      </c>
      <c r="O525">
        <v>0.25</v>
      </c>
      <c r="P525" t="str" cm="1">
        <f t="array" ref="P525">_xlfn.IFS(O525&lt;=0.3,"Low Risk",O525&lt;=0.4,"medium Risk",O525&lt;=0.5,"High Risk",O525&gt;0.5,"Very High Risk")</f>
        <v>Low Risk</v>
      </c>
      <c r="Q525">
        <v>233</v>
      </c>
      <c r="R525">
        <v>25792</v>
      </c>
      <c r="S525" t="str">
        <f t="shared" si="34"/>
        <v>Yes</v>
      </c>
      <c r="T525">
        <v>32481</v>
      </c>
      <c r="U525" t="str" cm="1">
        <f t="array" ref="U525">_xlfn.IFS(T525&lt;5000,"Small",T525&lt;20000,"Medium",T525&lt;35000,"Large",T525&gt;35000,"Very Large")</f>
        <v>Large</v>
      </c>
      <c r="V525">
        <v>84</v>
      </c>
      <c r="W525">
        <f t="shared" si="35"/>
        <v>7</v>
      </c>
      <c r="X525" t="s">
        <v>31</v>
      </c>
      <c r="Y525" t="s">
        <v>45</v>
      </c>
      <c r="Z525" t="s">
        <v>39</v>
      </c>
      <c r="AA525" t="s">
        <v>40</v>
      </c>
      <c r="AB525" t="s">
        <v>35</v>
      </c>
      <c r="AC525" t="s">
        <v>36</v>
      </c>
    </row>
    <row r="526" spans="1:29" x14ac:dyDescent="0.25">
      <c r="A526">
        <v>554</v>
      </c>
      <c r="B526">
        <v>15772</v>
      </c>
      <c r="C526">
        <v>8321</v>
      </c>
      <c r="D526">
        <f t="shared" si="32"/>
        <v>24093</v>
      </c>
      <c r="E526" t="s">
        <v>46</v>
      </c>
      <c r="F526">
        <v>50</v>
      </c>
      <c r="G526" t="str" cm="1">
        <f t="array" ref="G526">_xlfn.IFS(F526&lt;25,"18-24",F526&lt;35,"25-35",F526&lt;45,"35-44",F526&lt;55,"44-54",F526&gt;=55,"55+")</f>
        <v>44-54</v>
      </c>
      <c r="H526" t="s">
        <v>41</v>
      </c>
      <c r="I526">
        <v>3</v>
      </c>
      <c r="J526" t="str" cm="1">
        <f t="array" ref="J526">_xlfn.IFS(I526&lt;=0,"No Dependents",I526&lt;=1,"One",I526&lt;=2,"Two",I526&gt;=3,"Third")</f>
        <v>Third</v>
      </c>
      <c r="K526">
        <v>550</v>
      </c>
      <c r="L526" t="str" cm="1">
        <f t="array" ref="L526">_xlfn.IFS(K526&lt;=580,"Poor",K526&lt;=670,"fair",K526&lt;=740,"Good",K526&lt;=800,"Very Good",K526&gt;=800,"Excellent")</f>
        <v>Poor</v>
      </c>
      <c r="M526">
        <v>3</v>
      </c>
      <c r="N526" t="str">
        <f t="shared" si="33"/>
        <v>Yes</v>
      </c>
      <c r="O526">
        <v>0.16</v>
      </c>
      <c r="P526" t="str" cm="1">
        <f t="array" ref="P526">_xlfn.IFS(O526&lt;=0.3,"Low Risk",O526&lt;=0.4,"medium Risk",O526&lt;=0.5,"High Risk",O526&gt;0.5,"Very High Risk")</f>
        <v>Low Risk</v>
      </c>
      <c r="Q526">
        <v>1391</v>
      </c>
      <c r="R526">
        <v>30216</v>
      </c>
      <c r="S526" t="str">
        <f t="shared" si="34"/>
        <v>Yes</v>
      </c>
      <c r="T526">
        <v>1944</v>
      </c>
      <c r="U526" t="str" cm="1">
        <f t="array" ref="U526">_xlfn.IFS(T526&lt;5000,"Small",T526&lt;20000,"Medium",T526&lt;35000,"Large",T526&gt;35000,"Very Large")</f>
        <v>Small</v>
      </c>
      <c r="V526">
        <v>60</v>
      </c>
      <c r="W526">
        <f t="shared" si="35"/>
        <v>5</v>
      </c>
      <c r="X526" t="s">
        <v>47</v>
      </c>
      <c r="Y526" t="s">
        <v>38</v>
      </c>
      <c r="Z526" t="s">
        <v>39</v>
      </c>
      <c r="AA526" t="s">
        <v>34</v>
      </c>
      <c r="AB526" t="s">
        <v>42</v>
      </c>
      <c r="AC526" t="s">
        <v>36</v>
      </c>
    </row>
    <row r="527" spans="1:29" x14ac:dyDescent="0.25">
      <c r="A527">
        <v>555</v>
      </c>
      <c r="B527">
        <v>12344</v>
      </c>
      <c r="C527">
        <v>3814</v>
      </c>
      <c r="D527">
        <f t="shared" si="32"/>
        <v>16158</v>
      </c>
      <c r="E527" t="s">
        <v>49</v>
      </c>
      <c r="F527">
        <v>37</v>
      </c>
      <c r="G527" t="str" cm="1">
        <f t="array" ref="G527">_xlfn.IFS(F527&lt;25,"18-24",F527&lt;35,"25-35",F527&lt;45,"35-44",F527&lt;55,"44-54",F527&gt;=55,"55+")</f>
        <v>35-44</v>
      </c>
      <c r="H527" t="s">
        <v>41</v>
      </c>
      <c r="I527">
        <v>1</v>
      </c>
      <c r="J527" t="str" cm="1">
        <f t="array" ref="J527">_xlfn.IFS(I527&lt;=0,"No Dependents",I527&lt;=1,"One",I527&lt;=2,"Two",I527&gt;=3,"Third")</f>
        <v>One</v>
      </c>
      <c r="K527">
        <v>769</v>
      </c>
      <c r="L527" t="str" cm="1">
        <f t="array" ref="L527">_xlfn.IFS(K527&lt;=580,"Poor",K527&lt;=670,"fair",K527&lt;=740,"Good",K527&lt;=800,"Very Good",K527&gt;=800,"Excellent")</f>
        <v>Very Good</v>
      </c>
      <c r="M527">
        <v>2</v>
      </c>
      <c r="N527" t="str">
        <f t="shared" si="33"/>
        <v>Yes</v>
      </c>
      <c r="O527">
        <v>0.52</v>
      </c>
      <c r="P527" t="str" cm="1">
        <f t="array" ref="P527">_xlfn.IFS(O527&lt;=0.3,"Low Risk",O527&lt;=0.4,"medium Risk",O527&lt;=0.5,"High Risk",O527&gt;0.5,"Very High Risk")</f>
        <v>Very High Risk</v>
      </c>
      <c r="Q527">
        <v>11084</v>
      </c>
      <c r="R527">
        <v>7232</v>
      </c>
      <c r="S527" t="str">
        <f t="shared" si="34"/>
        <v>Yes</v>
      </c>
      <c r="T527">
        <v>29457</v>
      </c>
      <c r="U527" t="str" cm="1">
        <f t="array" ref="U527">_xlfn.IFS(T527&lt;5000,"Small",T527&lt;20000,"Medium",T527&lt;35000,"Large",T527&gt;35000,"Very Large")</f>
        <v>Large</v>
      </c>
      <c r="V527">
        <v>48</v>
      </c>
      <c r="W527">
        <f t="shared" si="35"/>
        <v>4</v>
      </c>
      <c r="X527" t="s">
        <v>37</v>
      </c>
      <c r="Y527" t="s">
        <v>32</v>
      </c>
      <c r="Z527" t="s">
        <v>33</v>
      </c>
      <c r="AA527" t="s">
        <v>34</v>
      </c>
      <c r="AB527" t="s">
        <v>35</v>
      </c>
      <c r="AC527" t="s">
        <v>36</v>
      </c>
    </row>
    <row r="528" spans="1:29" x14ac:dyDescent="0.25">
      <c r="A528">
        <v>556</v>
      </c>
      <c r="B528">
        <v>9266</v>
      </c>
      <c r="C528">
        <v>3216</v>
      </c>
      <c r="D528">
        <f t="shared" si="32"/>
        <v>12482</v>
      </c>
      <c r="E528" t="s">
        <v>46</v>
      </c>
      <c r="F528">
        <v>52</v>
      </c>
      <c r="G528" t="str" cm="1">
        <f t="array" ref="G528">_xlfn.IFS(F528&lt;25,"18-24",F528&lt;35,"25-35",F528&lt;45,"35-44",F528&lt;55,"44-54",F528&gt;=55,"55+")</f>
        <v>44-54</v>
      </c>
      <c r="H528" t="s">
        <v>30</v>
      </c>
      <c r="I528">
        <v>0</v>
      </c>
      <c r="J528" t="str" cm="1">
        <f t="array" ref="J528">_xlfn.IFS(I528&lt;=0,"No Dependents",I528&lt;=1,"One",I528&lt;=2,"Two",I528&gt;=3,"Third")</f>
        <v>No Dependents</v>
      </c>
      <c r="K528">
        <v>567</v>
      </c>
      <c r="L528" t="str" cm="1">
        <f t="array" ref="L528">_xlfn.IFS(K528&lt;=580,"Poor",K528&lt;=670,"fair",K528&lt;=740,"Good",K528&lt;=800,"Very Good",K528&gt;=800,"Excellent")</f>
        <v>Poor</v>
      </c>
      <c r="M528">
        <v>1</v>
      </c>
      <c r="N528" t="str">
        <f t="shared" si="33"/>
        <v>Yes</v>
      </c>
      <c r="O528">
        <v>0.28000000000000003</v>
      </c>
      <c r="P528" t="str" cm="1">
        <f t="array" ref="P528">_xlfn.IFS(O528&lt;=0.3,"Low Risk",O528&lt;=0.4,"medium Risk",O528&lt;=0.5,"High Risk",O528&gt;0.5,"Very High Risk")</f>
        <v>Low Risk</v>
      </c>
      <c r="Q528">
        <v>9447</v>
      </c>
      <c r="R528">
        <v>12674</v>
      </c>
      <c r="S528" t="str">
        <f t="shared" si="34"/>
        <v>Yes</v>
      </c>
      <c r="T528">
        <v>10114</v>
      </c>
      <c r="U528" t="str" cm="1">
        <f t="array" ref="U528">_xlfn.IFS(T528&lt;5000,"Small",T528&lt;20000,"Medium",T528&lt;35000,"Large",T528&gt;35000,"Very Large")</f>
        <v>Medium</v>
      </c>
      <c r="V528">
        <v>48</v>
      </c>
      <c r="W528">
        <f t="shared" si="35"/>
        <v>4</v>
      </c>
      <c r="X528" t="s">
        <v>37</v>
      </c>
      <c r="Y528" t="s">
        <v>32</v>
      </c>
      <c r="Z528" t="s">
        <v>39</v>
      </c>
      <c r="AA528" t="s">
        <v>34</v>
      </c>
      <c r="AB528" t="s">
        <v>51</v>
      </c>
      <c r="AC528" t="s">
        <v>36</v>
      </c>
    </row>
    <row r="529" spans="1:29" x14ac:dyDescent="0.25">
      <c r="A529">
        <v>557</v>
      </c>
      <c r="B529">
        <v>10702</v>
      </c>
      <c r="C529">
        <v>8219</v>
      </c>
      <c r="D529">
        <f t="shared" si="32"/>
        <v>18921</v>
      </c>
      <c r="E529" t="s">
        <v>29</v>
      </c>
      <c r="F529">
        <v>34</v>
      </c>
      <c r="G529" t="str" cm="1">
        <f t="array" ref="G529">_xlfn.IFS(F529&lt;25,"18-24",F529&lt;35,"25-35",F529&lt;45,"35-44",F529&lt;55,"44-54",F529&gt;=55,"55+")</f>
        <v>25-35</v>
      </c>
      <c r="H529" t="s">
        <v>30</v>
      </c>
      <c r="I529">
        <v>1</v>
      </c>
      <c r="J529" t="str" cm="1">
        <f t="array" ref="J529">_xlfn.IFS(I529&lt;=0,"No Dependents",I529&lt;=1,"One",I529&lt;=2,"Two",I529&gt;=3,"Third")</f>
        <v>One</v>
      </c>
      <c r="K529">
        <v>716</v>
      </c>
      <c r="L529" t="str" cm="1">
        <f t="array" ref="L529">_xlfn.IFS(K529&lt;=580,"Poor",K529&lt;=670,"fair",K529&lt;=740,"Good",K529&lt;=800,"Very Good",K529&gt;=800,"Excellent")</f>
        <v>Good</v>
      </c>
      <c r="M529">
        <v>1</v>
      </c>
      <c r="N529" t="str">
        <f t="shared" si="33"/>
        <v>Yes</v>
      </c>
      <c r="O529">
        <v>0.43</v>
      </c>
      <c r="P529" t="str" cm="1">
        <f t="array" ref="P529">_xlfn.IFS(O529&lt;=0.3,"Low Risk",O529&lt;=0.4,"medium Risk",O529&lt;=0.5,"High Risk",O529&gt;0.5,"Very High Risk")</f>
        <v>High Risk</v>
      </c>
      <c r="Q529">
        <v>14184</v>
      </c>
      <c r="R529">
        <v>16052</v>
      </c>
      <c r="S529" t="str">
        <f t="shared" si="34"/>
        <v>Yes</v>
      </c>
      <c r="T529">
        <v>19130</v>
      </c>
      <c r="U529" t="str" cm="1">
        <f t="array" ref="U529">_xlfn.IFS(T529&lt;5000,"Small",T529&lt;20000,"Medium",T529&lt;35000,"Large",T529&gt;35000,"Very Large")</f>
        <v>Medium</v>
      </c>
      <c r="V529">
        <v>24</v>
      </c>
      <c r="W529">
        <f t="shared" si="35"/>
        <v>2</v>
      </c>
      <c r="X529" t="s">
        <v>50</v>
      </c>
      <c r="Y529" t="s">
        <v>32</v>
      </c>
      <c r="Z529" t="s">
        <v>33</v>
      </c>
      <c r="AA529" t="s">
        <v>40</v>
      </c>
      <c r="AB529" t="s">
        <v>35</v>
      </c>
      <c r="AC529" t="s">
        <v>36</v>
      </c>
    </row>
    <row r="530" spans="1:29" x14ac:dyDescent="0.25">
      <c r="A530">
        <v>558</v>
      </c>
      <c r="B530">
        <v>2384</v>
      </c>
      <c r="C530">
        <v>2113</v>
      </c>
      <c r="D530">
        <f t="shared" si="32"/>
        <v>4497</v>
      </c>
      <c r="E530" t="s">
        <v>46</v>
      </c>
      <c r="F530">
        <v>40</v>
      </c>
      <c r="G530" t="str" cm="1">
        <f t="array" ref="G530">_xlfn.IFS(F530&lt;25,"18-24",F530&lt;35,"25-35",F530&lt;45,"35-44",F530&lt;55,"44-54",F530&gt;=55,"55+")</f>
        <v>35-44</v>
      </c>
      <c r="H530" t="s">
        <v>30</v>
      </c>
      <c r="I530">
        <v>1</v>
      </c>
      <c r="J530" t="str" cm="1">
        <f t="array" ref="J530">_xlfn.IFS(I530&lt;=0,"No Dependents",I530&lt;=1,"One",I530&lt;=2,"Two",I530&gt;=3,"Third")</f>
        <v>One</v>
      </c>
      <c r="K530">
        <v>726</v>
      </c>
      <c r="L530" t="str" cm="1">
        <f t="array" ref="L530">_xlfn.IFS(K530&lt;=580,"Poor",K530&lt;=670,"fair",K530&lt;=740,"Good",K530&lt;=800,"Very Good",K530&gt;=800,"Excellent")</f>
        <v>Good</v>
      </c>
      <c r="M530">
        <v>4</v>
      </c>
      <c r="N530" t="str">
        <f t="shared" si="33"/>
        <v>Yes</v>
      </c>
      <c r="O530">
        <v>0.34</v>
      </c>
      <c r="P530" t="str" cm="1">
        <f t="array" ref="P530">_xlfn.IFS(O530&lt;=0.3,"Low Risk",O530&lt;=0.4,"medium Risk",O530&lt;=0.5,"High Risk",O530&gt;0.5,"Very High Risk")</f>
        <v>medium Risk</v>
      </c>
      <c r="Q530">
        <v>11882</v>
      </c>
      <c r="R530">
        <v>48542</v>
      </c>
      <c r="S530" t="str">
        <f t="shared" si="34"/>
        <v>Yes</v>
      </c>
      <c r="T530">
        <v>13312</v>
      </c>
      <c r="U530" t="str" cm="1">
        <f t="array" ref="U530">_xlfn.IFS(T530&lt;5000,"Small",T530&lt;20000,"Medium",T530&lt;35000,"Large",T530&gt;35000,"Very Large")</f>
        <v>Medium</v>
      </c>
      <c r="V530">
        <v>24</v>
      </c>
      <c r="W530">
        <f t="shared" si="35"/>
        <v>2</v>
      </c>
      <c r="X530" t="s">
        <v>47</v>
      </c>
      <c r="Y530" t="s">
        <v>32</v>
      </c>
      <c r="Z530" t="s">
        <v>39</v>
      </c>
      <c r="AA530" t="s">
        <v>34</v>
      </c>
      <c r="AB530" t="s">
        <v>43</v>
      </c>
      <c r="AC530" t="s">
        <v>36</v>
      </c>
    </row>
    <row r="531" spans="1:29" x14ac:dyDescent="0.25">
      <c r="A531">
        <v>559</v>
      </c>
      <c r="B531">
        <v>2404</v>
      </c>
      <c r="C531">
        <v>9444</v>
      </c>
      <c r="D531">
        <f t="shared" si="32"/>
        <v>11848</v>
      </c>
      <c r="E531" t="s">
        <v>29</v>
      </c>
      <c r="F531">
        <v>56</v>
      </c>
      <c r="G531" t="str" cm="1">
        <f t="array" ref="G531">_xlfn.IFS(F531&lt;25,"18-24",F531&lt;35,"25-35",F531&lt;45,"35-44",F531&lt;55,"44-54",F531&gt;=55,"55+")</f>
        <v>55+</v>
      </c>
      <c r="H531" t="s">
        <v>30</v>
      </c>
      <c r="I531">
        <v>1</v>
      </c>
      <c r="J531" t="str" cm="1">
        <f t="array" ref="J531">_xlfn.IFS(I531&lt;=0,"No Dependents",I531&lt;=1,"One",I531&lt;=2,"Two",I531&gt;=3,"Third")</f>
        <v>One</v>
      </c>
      <c r="K531">
        <v>770</v>
      </c>
      <c r="L531" t="str" cm="1">
        <f t="array" ref="L531">_xlfn.IFS(K531&lt;=580,"Poor",K531&lt;=670,"fair",K531&lt;=740,"Good",K531&lt;=800,"Very Good",K531&gt;=800,"Excellent")</f>
        <v>Very Good</v>
      </c>
      <c r="M531">
        <v>0</v>
      </c>
      <c r="N531" t="str">
        <f t="shared" si="33"/>
        <v>No</v>
      </c>
      <c r="O531">
        <v>0.2</v>
      </c>
      <c r="P531" t="str" cm="1">
        <f t="array" ref="P531">_xlfn.IFS(O531&lt;=0.3,"Low Risk",O531&lt;=0.4,"medium Risk",O531&lt;=0.5,"High Risk",O531&gt;0.5,"Very High Risk")</f>
        <v>Low Risk</v>
      </c>
      <c r="Q531">
        <v>14838</v>
      </c>
      <c r="R531">
        <v>5913</v>
      </c>
      <c r="S531" t="str">
        <f t="shared" si="34"/>
        <v>Yes</v>
      </c>
      <c r="T531">
        <v>33596</v>
      </c>
      <c r="U531" t="str" cm="1">
        <f t="array" ref="U531">_xlfn.IFS(T531&lt;5000,"Small",T531&lt;20000,"Medium",T531&lt;35000,"Large",T531&gt;35000,"Very Large")</f>
        <v>Large</v>
      </c>
      <c r="V531">
        <v>60</v>
      </c>
      <c r="W531">
        <f t="shared" si="35"/>
        <v>5</v>
      </c>
      <c r="X531" t="s">
        <v>31</v>
      </c>
      <c r="Y531" t="s">
        <v>32</v>
      </c>
      <c r="Z531" t="s">
        <v>33</v>
      </c>
      <c r="AA531" t="s">
        <v>40</v>
      </c>
      <c r="AB531" t="s">
        <v>51</v>
      </c>
      <c r="AC531" t="s">
        <v>36</v>
      </c>
    </row>
    <row r="532" spans="1:29" x14ac:dyDescent="0.25">
      <c r="A532">
        <v>560</v>
      </c>
      <c r="B532">
        <v>10175</v>
      </c>
      <c r="C532">
        <v>4356</v>
      </c>
      <c r="D532">
        <f t="shared" si="32"/>
        <v>14531</v>
      </c>
      <c r="E532" t="s">
        <v>29</v>
      </c>
      <c r="F532">
        <v>54</v>
      </c>
      <c r="G532" t="str" cm="1">
        <f t="array" ref="G532">_xlfn.IFS(F532&lt;25,"18-24",F532&lt;35,"25-35",F532&lt;45,"35-44",F532&lt;55,"44-54",F532&gt;=55,"55+")</f>
        <v>44-54</v>
      </c>
      <c r="H532" t="s">
        <v>30</v>
      </c>
      <c r="I532">
        <v>0</v>
      </c>
      <c r="J532" t="str" cm="1">
        <f t="array" ref="J532">_xlfn.IFS(I532&lt;=0,"No Dependents",I532&lt;=1,"One",I532&lt;=2,"Two",I532&gt;=3,"Third")</f>
        <v>No Dependents</v>
      </c>
      <c r="K532">
        <v>631</v>
      </c>
      <c r="L532" t="str" cm="1">
        <f t="array" ref="L532">_xlfn.IFS(K532&lt;=580,"Poor",K532&lt;=670,"fair",K532&lt;=740,"Good",K532&lt;=800,"Very Good",K532&gt;=800,"Excellent")</f>
        <v>fair</v>
      </c>
      <c r="M532">
        <v>0</v>
      </c>
      <c r="N532" t="str">
        <f t="shared" si="33"/>
        <v>No</v>
      </c>
      <c r="O532">
        <v>0.4</v>
      </c>
      <c r="P532" t="str" cm="1">
        <f t="array" ref="P532">_xlfn.IFS(O532&lt;=0.3,"Low Risk",O532&lt;=0.4,"medium Risk",O532&lt;=0.5,"High Risk",O532&gt;0.5,"Very High Risk")</f>
        <v>medium Risk</v>
      </c>
      <c r="Q532">
        <v>17273</v>
      </c>
      <c r="R532">
        <v>46870</v>
      </c>
      <c r="S532" t="str">
        <f t="shared" si="34"/>
        <v>Yes</v>
      </c>
      <c r="T532">
        <v>39551</v>
      </c>
      <c r="U532" t="str" cm="1">
        <f t="array" ref="U532">_xlfn.IFS(T532&lt;5000,"Small",T532&lt;20000,"Medium",T532&lt;35000,"Large",T532&gt;35000,"Very Large")</f>
        <v>Very Large</v>
      </c>
      <c r="V532">
        <v>72</v>
      </c>
      <c r="W532">
        <f t="shared" si="35"/>
        <v>6</v>
      </c>
      <c r="X532" t="s">
        <v>31</v>
      </c>
      <c r="Y532" t="s">
        <v>32</v>
      </c>
      <c r="Z532" t="s">
        <v>39</v>
      </c>
      <c r="AA532" t="s">
        <v>34</v>
      </c>
      <c r="AB532" t="s">
        <v>35</v>
      </c>
      <c r="AC532" t="s">
        <v>36</v>
      </c>
    </row>
    <row r="533" spans="1:29" x14ac:dyDescent="0.25">
      <c r="A533">
        <v>561</v>
      </c>
      <c r="B533">
        <v>17158</v>
      </c>
      <c r="C533">
        <v>5543</v>
      </c>
      <c r="D533">
        <f t="shared" si="32"/>
        <v>22701</v>
      </c>
      <c r="E533" t="s">
        <v>48</v>
      </c>
      <c r="F533">
        <v>29</v>
      </c>
      <c r="G533" t="str" cm="1">
        <f t="array" ref="G533">_xlfn.IFS(F533&lt;25,"18-24",F533&lt;35,"25-35",F533&lt;45,"35-44",F533&lt;55,"44-54",F533&gt;=55,"55+")</f>
        <v>25-35</v>
      </c>
      <c r="H533" t="s">
        <v>41</v>
      </c>
      <c r="I533">
        <v>3</v>
      </c>
      <c r="J533" t="str" cm="1">
        <f t="array" ref="J533">_xlfn.IFS(I533&lt;=0,"No Dependents",I533&lt;=1,"One",I533&lt;=2,"Two",I533&gt;=3,"Third")</f>
        <v>Third</v>
      </c>
      <c r="K533">
        <v>721</v>
      </c>
      <c r="L533" t="str" cm="1">
        <f t="array" ref="L533">_xlfn.IFS(K533&lt;=580,"Poor",K533&lt;=670,"fair",K533&lt;=740,"Good",K533&lt;=800,"Very Good",K533&gt;=800,"Excellent")</f>
        <v>Good</v>
      </c>
      <c r="M533">
        <v>0</v>
      </c>
      <c r="N533" t="str">
        <f t="shared" si="33"/>
        <v>No</v>
      </c>
      <c r="O533">
        <v>0.13</v>
      </c>
      <c r="P533" t="str" cm="1">
        <f t="array" ref="P533">_xlfn.IFS(O533&lt;=0.3,"Low Risk",O533&lt;=0.4,"medium Risk",O533&lt;=0.5,"High Risk",O533&gt;0.5,"Very High Risk")</f>
        <v>Low Risk</v>
      </c>
      <c r="Q533">
        <v>7902</v>
      </c>
      <c r="R533">
        <v>48157</v>
      </c>
      <c r="S533" t="str">
        <f t="shared" si="34"/>
        <v>Yes</v>
      </c>
      <c r="T533">
        <v>10751</v>
      </c>
      <c r="U533" t="str" cm="1">
        <f t="array" ref="U533">_xlfn.IFS(T533&lt;5000,"Small",T533&lt;20000,"Medium",T533&lt;35000,"Large",T533&gt;35000,"Very Large")</f>
        <v>Medium</v>
      </c>
      <c r="V533">
        <v>72</v>
      </c>
      <c r="W533">
        <f t="shared" si="35"/>
        <v>6</v>
      </c>
      <c r="X533" t="s">
        <v>42</v>
      </c>
      <c r="Y533" t="s">
        <v>32</v>
      </c>
      <c r="Z533" t="s">
        <v>39</v>
      </c>
      <c r="AA533" t="s">
        <v>40</v>
      </c>
      <c r="AB533" t="s">
        <v>43</v>
      </c>
      <c r="AC533" t="s">
        <v>44</v>
      </c>
    </row>
    <row r="534" spans="1:29" x14ac:dyDescent="0.25">
      <c r="A534">
        <v>562</v>
      </c>
      <c r="B534">
        <v>0</v>
      </c>
      <c r="C534">
        <v>4555</v>
      </c>
      <c r="D534">
        <f t="shared" si="32"/>
        <v>4555</v>
      </c>
      <c r="E534" t="s">
        <v>29</v>
      </c>
      <c r="F534">
        <v>48</v>
      </c>
      <c r="G534" t="str" cm="1">
        <f t="array" ref="G534">_xlfn.IFS(F534&lt;25,"18-24",F534&lt;35,"25-35",F534&lt;45,"35-44",F534&lt;55,"44-54",F534&gt;=55,"55+")</f>
        <v>44-54</v>
      </c>
      <c r="H534" t="s">
        <v>30</v>
      </c>
      <c r="I534">
        <v>1</v>
      </c>
      <c r="J534" t="str" cm="1">
        <f t="array" ref="J534">_xlfn.IFS(I534&lt;=0,"No Dependents",I534&lt;=1,"One",I534&lt;=2,"Two",I534&gt;=3,"Third")</f>
        <v>One</v>
      </c>
      <c r="K534">
        <v>621</v>
      </c>
      <c r="L534" t="str" cm="1">
        <f t="array" ref="L534">_xlfn.IFS(K534&lt;=580,"Poor",K534&lt;=670,"fair",K534&lt;=740,"Good",K534&lt;=800,"Very Good",K534&gt;=800,"Excellent")</f>
        <v>fair</v>
      </c>
      <c r="M534">
        <v>0</v>
      </c>
      <c r="N534" t="str">
        <f t="shared" si="33"/>
        <v>No</v>
      </c>
      <c r="O534">
        <v>0.31</v>
      </c>
      <c r="P534" t="str" cm="1">
        <f t="array" ref="P534">_xlfn.IFS(O534&lt;=0.3,"Low Risk",O534&lt;=0.4,"medium Risk",O534&lt;=0.5,"High Risk",O534&gt;0.5,"Very High Risk")</f>
        <v>medium Risk</v>
      </c>
      <c r="Q534">
        <v>12879</v>
      </c>
      <c r="R534">
        <v>27913</v>
      </c>
      <c r="S534" t="str">
        <f t="shared" si="34"/>
        <v>Yes</v>
      </c>
      <c r="T534">
        <v>7907</v>
      </c>
      <c r="U534" t="str" cm="1">
        <f t="array" ref="U534">_xlfn.IFS(T534&lt;5000,"Small",T534&lt;20000,"Medium",T534&lt;35000,"Large",T534&gt;35000,"Very Large")</f>
        <v>Medium</v>
      </c>
      <c r="V534">
        <v>24</v>
      </c>
      <c r="W534">
        <f t="shared" si="35"/>
        <v>2</v>
      </c>
      <c r="X534" t="s">
        <v>50</v>
      </c>
      <c r="Y534" t="s">
        <v>38</v>
      </c>
      <c r="Z534" t="s">
        <v>39</v>
      </c>
      <c r="AA534" t="s">
        <v>34</v>
      </c>
      <c r="AB534" t="s">
        <v>35</v>
      </c>
      <c r="AC534" t="s">
        <v>36</v>
      </c>
    </row>
    <row r="535" spans="1:29" x14ac:dyDescent="0.25">
      <c r="A535">
        <v>563</v>
      </c>
      <c r="B535">
        <v>11860</v>
      </c>
      <c r="C535">
        <v>7062</v>
      </c>
      <c r="D535">
        <f t="shared" si="32"/>
        <v>18922</v>
      </c>
      <c r="E535" t="s">
        <v>29</v>
      </c>
      <c r="F535">
        <v>31</v>
      </c>
      <c r="G535" t="str" cm="1">
        <f t="array" ref="G535">_xlfn.IFS(F535&lt;25,"18-24",F535&lt;35,"25-35",F535&lt;45,"35-44",F535&lt;55,"44-54",F535&gt;=55,"55+")</f>
        <v>25-35</v>
      </c>
      <c r="H535" t="s">
        <v>30</v>
      </c>
      <c r="I535">
        <v>2</v>
      </c>
      <c r="J535" t="str" cm="1">
        <f t="array" ref="J535">_xlfn.IFS(I535&lt;=0,"No Dependents",I535&lt;=1,"One",I535&lt;=2,"Two",I535&gt;=3,"Third")</f>
        <v>Two</v>
      </c>
      <c r="K535">
        <v>603</v>
      </c>
      <c r="L535" t="str" cm="1">
        <f t="array" ref="L535">_xlfn.IFS(K535&lt;=580,"Poor",K535&lt;=670,"fair",K535&lt;=740,"Good",K535&lt;=800,"Very Good",K535&gt;=800,"Excellent")</f>
        <v>fair</v>
      </c>
      <c r="M535">
        <v>4</v>
      </c>
      <c r="N535" t="str">
        <f t="shared" si="33"/>
        <v>Yes</v>
      </c>
      <c r="O535">
        <v>0.37</v>
      </c>
      <c r="P535" t="str" cm="1">
        <f t="array" ref="P535">_xlfn.IFS(O535&lt;=0.3,"Low Risk",O535&lt;=0.4,"medium Risk",O535&lt;=0.5,"High Risk",O535&gt;0.5,"Very High Risk")</f>
        <v>medium Risk</v>
      </c>
      <c r="Q535">
        <v>17129</v>
      </c>
      <c r="R535">
        <v>10567</v>
      </c>
      <c r="S535" t="str">
        <f t="shared" si="34"/>
        <v>Yes</v>
      </c>
      <c r="T535">
        <v>29114</v>
      </c>
      <c r="U535" t="str" cm="1">
        <f t="array" ref="U535">_xlfn.IFS(T535&lt;5000,"Small",T535&lt;20000,"Medium",T535&lt;35000,"Large",T535&gt;35000,"Very Large")</f>
        <v>Large</v>
      </c>
      <c r="V535">
        <v>36</v>
      </c>
      <c r="W535">
        <f t="shared" si="35"/>
        <v>3</v>
      </c>
      <c r="X535" t="s">
        <v>31</v>
      </c>
      <c r="Y535" t="s">
        <v>32</v>
      </c>
      <c r="Z535" t="s">
        <v>39</v>
      </c>
      <c r="AA535" t="s">
        <v>40</v>
      </c>
      <c r="AB535" t="s">
        <v>42</v>
      </c>
      <c r="AC535" t="s">
        <v>36</v>
      </c>
    </row>
    <row r="536" spans="1:29" x14ac:dyDescent="0.25">
      <c r="A536">
        <v>565</v>
      </c>
      <c r="B536">
        <v>17106</v>
      </c>
      <c r="C536">
        <v>6430</v>
      </c>
      <c r="D536">
        <f t="shared" si="32"/>
        <v>23536</v>
      </c>
      <c r="E536" t="s">
        <v>49</v>
      </c>
      <c r="F536">
        <v>59</v>
      </c>
      <c r="G536" t="str" cm="1">
        <f t="array" ref="G536">_xlfn.IFS(F536&lt;25,"18-24",F536&lt;35,"25-35",F536&lt;45,"35-44",F536&lt;55,"44-54",F536&gt;=55,"55+")</f>
        <v>55+</v>
      </c>
      <c r="H536" t="s">
        <v>30</v>
      </c>
      <c r="I536">
        <v>2</v>
      </c>
      <c r="J536" t="str" cm="1">
        <f t="array" ref="J536">_xlfn.IFS(I536&lt;=0,"No Dependents",I536&lt;=1,"One",I536&lt;=2,"Two",I536&gt;=3,"Third")</f>
        <v>Two</v>
      </c>
      <c r="K536">
        <v>711</v>
      </c>
      <c r="L536" t="str" cm="1">
        <f t="array" ref="L536">_xlfn.IFS(K536&lt;=580,"Poor",K536&lt;=670,"fair",K536&lt;=740,"Good",K536&lt;=800,"Very Good",K536&gt;=800,"Excellent")</f>
        <v>Good</v>
      </c>
      <c r="M536">
        <v>0</v>
      </c>
      <c r="N536" t="str">
        <f t="shared" si="33"/>
        <v>No</v>
      </c>
      <c r="O536">
        <v>0.47</v>
      </c>
      <c r="P536" t="str" cm="1">
        <f t="array" ref="P536">_xlfn.IFS(O536&lt;=0.3,"Low Risk",O536&lt;=0.4,"medium Risk",O536&lt;=0.5,"High Risk",O536&gt;0.5,"Very High Risk")</f>
        <v>High Risk</v>
      </c>
      <c r="Q536">
        <v>0</v>
      </c>
      <c r="R536">
        <v>9432</v>
      </c>
      <c r="S536" t="str">
        <f t="shared" si="34"/>
        <v>Yes</v>
      </c>
      <c r="T536">
        <v>20310</v>
      </c>
      <c r="U536" t="str" cm="1">
        <f t="array" ref="U536">_xlfn.IFS(T536&lt;5000,"Small",T536&lt;20000,"Medium",T536&lt;35000,"Large",T536&gt;35000,"Very Large")</f>
        <v>Large</v>
      </c>
      <c r="V536">
        <v>60</v>
      </c>
      <c r="W536">
        <f t="shared" si="35"/>
        <v>5</v>
      </c>
      <c r="X536" t="s">
        <v>31</v>
      </c>
      <c r="Y536" t="s">
        <v>32</v>
      </c>
      <c r="Z536" t="s">
        <v>39</v>
      </c>
      <c r="AA536" t="s">
        <v>40</v>
      </c>
      <c r="AB536" t="s">
        <v>43</v>
      </c>
      <c r="AC536" t="s">
        <v>36</v>
      </c>
    </row>
    <row r="537" spans="1:29" x14ac:dyDescent="0.25">
      <c r="A537">
        <v>566</v>
      </c>
      <c r="B537">
        <v>19844</v>
      </c>
      <c r="C537">
        <v>3466</v>
      </c>
      <c r="D537">
        <f t="shared" si="32"/>
        <v>23310</v>
      </c>
      <c r="E537" t="s">
        <v>46</v>
      </c>
      <c r="F537">
        <v>39</v>
      </c>
      <c r="G537" t="str" cm="1">
        <f t="array" ref="G537">_xlfn.IFS(F537&lt;25,"18-24",F537&lt;35,"25-35",F537&lt;45,"35-44",F537&lt;55,"44-54",F537&gt;=55,"55+")</f>
        <v>35-44</v>
      </c>
      <c r="H537" t="s">
        <v>30</v>
      </c>
      <c r="I537">
        <v>0</v>
      </c>
      <c r="J537" t="str" cm="1">
        <f t="array" ref="J537">_xlfn.IFS(I537&lt;=0,"No Dependents",I537&lt;=1,"One",I537&lt;=2,"Two",I537&gt;=3,"Third")</f>
        <v>No Dependents</v>
      </c>
      <c r="K537">
        <v>620</v>
      </c>
      <c r="L537" t="str" cm="1">
        <f t="array" ref="L537">_xlfn.IFS(K537&lt;=580,"Poor",K537&lt;=670,"fair",K537&lt;=740,"Good",K537&lt;=800,"Very Good",K537&gt;=800,"Excellent")</f>
        <v>fair</v>
      </c>
      <c r="M537">
        <v>2</v>
      </c>
      <c r="N537" t="str">
        <f t="shared" si="33"/>
        <v>Yes</v>
      </c>
      <c r="O537">
        <v>0.51</v>
      </c>
      <c r="P537" t="str" cm="1">
        <f t="array" ref="P537">_xlfn.IFS(O537&lt;=0.3,"Low Risk",O537&lt;=0.4,"medium Risk",O537&lt;=0.5,"High Risk",O537&gt;0.5,"Very High Risk")</f>
        <v>Very High Risk</v>
      </c>
      <c r="Q537">
        <v>731</v>
      </c>
      <c r="R537">
        <v>319</v>
      </c>
      <c r="S537" t="str">
        <f t="shared" si="34"/>
        <v>Yes</v>
      </c>
      <c r="T537">
        <v>0</v>
      </c>
      <c r="U537" t="str" cm="1">
        <f t="array" ref="U537">_xlfn.IFS(T537&lt;5000,"Small",T537&lt;20000,"Medium",T537&lt;35000,"Large",T537&gt;35000,"Very Large")</f>
        <v>Small</v>
      </c>
      <c r="V537">
        <v>12</v>
      </c>
      <c r="W537">
        <f t="shared" si="35"/>
        <v>1</v>
      </c>
      <c r="X537" t="s">
        <v>42</v>
      </c>
      <c r="Y537" t="s">
        <v>38</v>
      </c>
      <c r="Z537" t="s">
        <v>39</v>
      </c>
      <c r="AA537" t="s">
        <v>40</v>
      </c>
      <c r="AB537" t="s">
        <v>48</v>
      </c>
      <c r="AC537" t="s">
        <v>36</v>
      </c>
    </row>
    <row r="538" spans="1:29" x14ac:dyDescent="0.25">
      <c r="A538">
        <v>567</v>
      </c>
      <c r="B538">
        <v>5636</v>
      </c>
      <c r="C538">
        <v>0</v>
      </c>
      <c r="D538">
        <f t="shared" si="32"/>
        <v>5636</v>
      </c>
      <c r="E538" t="s">
        <v>29</v>
      </c>
      <c r="F538">
        <v>35</v>
      </c>
      <c r="G538" t="str" cm="1">
        <f t="array" ref="G538">_xlfn.IFS(F538&lt;25,"18-24",F538&lt;35,"25-35",F538&lt;45,"35-44",F538&lt;55,"44-54",F538&gt;=55,"55+")</f>
        <v>35-44</v>
      </c>
      <c r="H538" t="s">
        <v>30</v>
      </c>
      <c r="I538">
        <v>2</v>
      </c>
      <c r="J538" t="str" cm="1">
        <f t="array" ref="J538">_xlfn.IFS(I538&lt;=0,"No Dependents",I538&lt;=1,"One",I538&lt;=2,"Two",I538&gt;=3,"Third")</f>
        <v>Two</v>
      </c>
      <c r="K538">
        <v>713</v>
      </c>
      <c r="L538" t="str" cm="1">
        <f t="array" ref="L538">_xlfn.IFS(K538&lt;=580,"Poor",K538&lt;=670,"fair",K538&lt;=740,"Good",K538&lt;=800,"Very Good",K538&gt;=800,"Excellent")</f>
        <v>Good</v>
      </c>
      <c r="M538">
        <v>0</v>
      </c>
      <c r="N538" t="str">
        <f t="shared" si="33"/>
        <v>No</v>
      </c>
      <c r="O538">
        <v>0.49</v>
      </c>
      <c r="P538" t="str" cm="1">
        <f t="array" ref="P538">_xlfn.IFS(O538&lt;=0.3,"Low Risk",O538&lt;=0.4,"medium Risk",O538&lt;=0.5,"High Risk",O538&gt;0.5,"Very High Risk")</f>
        <v>High Risk</v>
      </c>
      <c r="Q538">
        <v>799</v>
      </c>
      <c r="R538">
        <v>24469</v>
      </c>
      <c r="S538" t="str">
        <f t="shared" si="34"/>
        <v>Yes</v>
      </c>
      <c r="T538">
        <v>19996</v>
      </c>
      <c r="U538" t="str" cm="1">
        <f t="array" ref="U538">_xlfn.IFS(T538&lt;5000,"Small",T538&lt;20000,"Medium",T538&lt;35000,"Large",T538&gt;35000,"Very Large")</f>
        <v>Medium</v>
      </c>
      <c r="V538">
        <v>24</v>
      </c>
      <c r="W538">
        <f t="shared" si="35"/>
        <v>2</v>
      </c>
      <c r="X538" t="s">
        <v>37</v>
      </c>
      <c r="Y538" t="s">
        <v>32</v>
      </c>
      <c r="Z538" t="s">
        <v>33</v>
      </c>
      <c r="AA538" t="s">
        <v>40</v>
      </c>
      <c r="AB538" t="s">
        <v>35</v>
      </c>
      <c r="AC538" t="s">
        <v>36</v>
      </c>
    </row>
    <row r="539" spans="1:29" x14ac:dyDescent="0.25">
      <c r="A539">
        <v>568</v>
      </c>
      <c r="B539">
        <v>12916</v>
      </c>
      <c r="C539">
        <v>629</v>
      </c>
      <c r="D539">
        <f t="shared" si="32"/>
        <v>13545</v>
      </c>
      <c r="E539" t="s">
        <v>52</v>
      </c>
      <c r="F539">
        <v>48</v>
      </c>
      <c r="G539" t="str" cm="1">
        <f t="array" ref="G539">_xlfn.IFS(F539&lt;25,"18-24",F539&lt;35,"25-35",F539&lt;45,"35-44",F539&lt;55,"44-54",F539&gt;=55,"55+")</f>
        <v>44-54</v>
      </c>
      <c r="H539" t="s">
        <v>41</v>
      </c>
      <c r="I539">
        <v>3</v>
      </c>
      <c r="J539" t="str" cm="1">
        <f t="array" ref="J539">_xlfn.IFS(I539&lt;=0,"No Dependents",I539&lt;=1,"One",I539&lt;=2,"Two",I539&gt;=3,"Third")</f>
        <v>Third</v>
      </c>
      <c r="K539">
        <v>695</v>
      </c>
      <c r="L539" t="str" cm="1">
        <f t="array" ref="L539">_xlfn.IFS(K539&lt;=580,"Poor",K539&lt;=670,"fair",K539&lt;=740,"Good",K539&lt;=800,"Very Good",K539&gt;=800,"Excellent")</f>
        <v>Good</v>
      </c>
      <c r="M539">
        <v>1</v>
      </c>
      <c r="N539" t="str">
        <f t="shared" si="33"/>
        <v>Yes</v>
      </c>
      <c r="O539">
        <v>0.12</v>
      </c>
      <c r="P539" t="str" cm="1">
        <f t="array" ref="P539">_xlfn.IFS(O539&lt;=0.3,"Low Risk",O539&lt;=0.4,"medium Risk",O539&lt;=0.5,"High Risk",O539&gt;0.5,"Very High Risk")</f>
        <v>Low Risk</v>
      </c>
      <c r="Q539">
        <v>7025</v>
      </c>
      <c r="R539">
        <v>45454</v>
      </c>
      <c r="S539" t="str">
        <f t="shared" si="34"/>
        <v>Yes</v>
      </c>
      <c r="T539">
        <v>7047</v>
      </c>
      <c r="U539" t="str" cm="1">
        <f t="array" ref="U539">_xlfn.IFS(T539&lt;5000,"Small",T539&lt;20000,"Medium",T539&lt;35000,"Large",T539&gt;35000,"Very Large")</f>
        <v>Medium</v>
      </c>
      <c r="V539">
        <v>48</v>
      </c>
      <c r="W539">
        <f t="shared" si="35"/>
        <v>4</v>
      </c>
      <c r="X539" t="s">
        <v>37</v>
      </c>
      <c r="Y539" t="s">
        <v>45</v>
      </c>
      <c r="Z539" t="s">
        <v>39</v>
      </c>
      <c r="AA539" t="s">
        <v>40</v>
      </c>
      <c r="AB539" t="s">
        <v>35</v>
      </c>
      <c r="AC539" t="s">
        <v>44</v>
      </c>
    </row>
    <row r="540" spans="1:29" x14ac:dyDescent="0.25">
      <c r="A540">
        <v>570</v>
      </c>
      <c r="B540">
        <v>0</v>
      </c>
      <c r="C540">
        <v>5724</v>
      </c>
      <c r="D540">
        <f t="shared" si="32"/>
        <v>5724</v>
      </c>
      <c r="E540" t="s">
        <v>52</v>
      </c>
      <c r="F540">
        <v>28</v>
      </c>
      <c r="G540" t="str" cm="1">
        <f t="array" ref="G540">_xlfn.IFS(F540&lt;25,"18-24",F540&lt;35,"25-35",F540&lt;45,"35-44",F540&lt;55,"44-54",F540&gt;=55,"55+")</f>
        <v>25-35</v>
      </c>
      <c r="H540" t="s">
        <v>30</v>
      </c>
      <c r="I540">
        <v>3</v>
      </c>
      <c r="J540" t="str" cm="1">
        <f t="array" ref="J540">_xlfn.IFS(I540&lt;=0,"No Dependents",I540&lt;=1,"One",I540&lt;=2,"Two",I540&gt;=3,"Third")</f>
        <v>Third</v>
      </c>
      <c r="K540">
        <v>736</v>
      </c>
      <c r="L540" t="str" cm="1">
        <f t="array" ref="L540">_xlfn.IFS(K540&lt;=580,"Poor",K540&lt;=670,"fair",K540&lt;=740,"Good",K540&lt;=800,"Very Good",K540&gt;=800,"Excellent")</f>
        <v>Good</v>
      </c>
      <c r="M540">
        <v>3</v>
      </c>
      <c r="N540" t="str">
        <f t="shared" si="33"/>
        <v>Yes</v>
      </c>
      <c r="O540">
        <v>0.37</v>
      </c>
      <c r="P540" t="str" cm="1">
        <f t="array" ref="P540">_xlfn.IFS(O540&lt;=0.3,"Low Risk",O540&lt;=0.4,"medium Risk",O540&lt;=0.5,"High Risk",O540&gt;0.5,"Very High Risk")</f>
        <v>medium Risk</v>
      </c>
      <c r="Q540">
        <v>7624</v>
      </c>
      <c r="R540">
        <v>0</v>
      </c>
      <c r="S540" t="str">
        <f t="shared" si="34"/>
        <v>No</v>
      </c>
      <c r="T540">
        <v>17347</v>
      </c>
      <c r="U540" t="str" cm="1">
        <f t="array" ref="U540">_xlfn.IFS(T540&lt;5000,"Small",T540&lt;20000,"Medium",T540&lt;35000,"Large",T540&gt;35000,"Very Large")</f>
        <v>Medium</v>
      </c>
      <c r="V540">
        <v>60</v>
      </c>
      <c r="W540">
        <f t="shared" si="35"/>
        <v>5</v>
      </c>
      <c r="X540" t="s">
        <v>50</v>
      </c>
      <c r="Y540" t="s">
        <v>32</v>
      </c>
      <c r="Z540" t="s">
        <v>39</v>
      </c>
      <c r="AA540" t="s">
        <v>40</v>
      </c>
      <c r="AB540" t="s">
        <v>51</v>
      </c>
      <c r="AC540" t="s">
        <v>44</v>
      </c>
    </row>
    <row r="541" spans="1:29" x14ac:dyDescent="0.25">
      <c r="A541">
        <v>571</v>
      </c>
      <c r="B541">
        <v>17444</v>
      </c>
      <c r="C541">
        <v>5897</v>
      </c>
      <c r="D541">
        <f t="shared" si="32"/>
        <v>23341</v>
      </c>
      <c r="E541" t="s">
        <v>48</v>
      </c>
      <c r="F541">
        <v>29</v>
      </c>
      <c r="G541" t="str" cm="1">
        <f t="array" ref="G541">_xlfn.IFS(F541&lt;25,"18-24",F541&lt;35,"25-35",F541&lt;45,"35-44",F541&lt;55,"44-54",F541&gt;=55,"55+")</f>
        <v>25-35</v>
      </c>
      <c r="H541" t="s">
        <v>41</v>
      </c>
      <c r="I541">
        <v>2</v>
      </c>
      <c r="J541" t="str" cm="1">
        <f t="array" ref="J541">_xlfn.IFS(I541&lt;=0,"No Dependents",I541&lt;=1,"One",I541&lt;=2,"Two",I541&gt;=3,"Third")</f>
        <v>Two</v>
      </c>
      <c r="K541">
        <v>686</v>
      </c>
      <c r="L541" t="str" cm="1">
        <f t="array" ref="L541">_xlfn.IFS(K541&lt;=580,"Poor",K541&lt;=670,"fair",K541&lt;=740,"Good",K541&lt;=800,"Very Good",K541&gt;=800,"Excellent")</f>
        <v>Good</v>
      </c>
      <c r="M541">
        <v>2</v>
      </c>
      <c r="N541" t="str">
        <f t="shared" si="33"/>
        <v>Yes</v>
      </c>
      <c r="O541">
        <v>0.56999999999999995</v>
      </c>
      <c r="P541" t="str" cm="1">
        <f t="array" ref="P541">_xlfn.IFS(O541&lt;=0.3,"Low Risk",O541&lt;=0.4,"medium Risk",O541&lt;=0.5,"High Risk",O541&gt;0.5,"Very High Risk")</f>
        <v>Very High Risk</v>
      </c>
      <c r="Q541">
        <v>14961</v>
      </c>
      <c r="R541">
        <v>4791</v>
      </c>
      <c r="S541" t="str">
        <f t="shared" si="34"/>
        <v>Yes</v>
      </c>
      <c r="T541">
        <v>37527</v>
      </c>
      <c r="U541" t="str" cm="1">
        <f t="array" ref="U541">_xlfn.IFS(T541&lt;5000,"Small",T541&lt;20000,"Medium",T541&lt;35000,"Large",T541&gt;35000,"Very Large")</f>
        <v>Very Large</v>
      </c>
      <c r="V541">
        <v>24</v>
      </c>
      <c r="W541">
        <f t="shared" si="35"/>
        <v>2</v>
      </c>
      <c r="X541" t="s">
        <v>47</v>
      </c>
      <c r="Y541" t="s">
        <v>45</v>
      </c>
      <c r="Z541" t="s">
        <v>33</v>
      </c>
      <c r="AA541" t="s">
        <v>34</v>
      </c>
      <c r="AB541" t="s">
        <v>48</v>
      </c>
      <c r="AC541" t="s">
        <v>36</v>
      </c>
    </row>
    <row r="542" spans="1:29" x14ac:dyDescent="0.25">
      <c r="A542">
        <v>572</v>
      </c>
      <c r="B542">
        <v>7997</v>
      </c>
      <c r="C542">
        <v>3432</v>
      </c>
      <c r="D542">
        <f t="shared" si="32"/>
        <v>11429</v>
      </c>
      <c r="E542" t="s">
        <v>49</v>
      </c>
      <c r="F542">
        <v>53</v>
      </c>
      <c r="G542" t="str" cm="1">
        <f t="array" ref="G542">_xlfn.IFS(F542&lt;25,"18-24",F542&lt;35,"25-35",F542&lt;45,"35-44",F542&lt;55,"44-54",F542&gt;=55,"55+")</f>
        <v>44-54</v>
      </c>
      <c r="H542" t="s">
        <v>41</v>
      </c>
      <c r="I542">
        <v>1</v>
      </c>
      <c r="J542" t="str" cm="1">
        <f t="array" ref="J542">_xlfn.IFS(I542&lt;=0,"No Dependents",I542&lt;=1,"One",I542&lt;=2,"Two",I542&gt;=3,"Third")</f>
        <v>One</v>
      </c>
      <c r="K542">
        <v>750</v>
      </c>
      <c r="L542" t="str" cm="1">
        <f t="array" ref="L542">_xlfn.IFS(K542&lt;=580,"Poor",K542&lt;=670,"fair",K542&lt;=740,"Good",K542&lt;=800,"Very Good",K542&gt;=800,"Excellent")</f>
        <v>Very Good</v>
      </c>
      <c r="M542">
        <v>4</v>
      </c>
      <c r="N542" t="str">
        <f t="shared" si="33"/>
        <v>Yes</v>
      </c>
      <c r="O542">
        <v>0.52</v>
      </c>
      <c r="P542" t="str" cm="1">
        <f t="array" ref="P542">_xlfn.IFS(O542&lt;=0.3,"Low Risk",O542&lt;=0.4,"medium Risk",O542&lt;=0.5,"High Risk",O542&gt;0.5,"Very High Risk")</f>
        <v>Very High Risk</v>
      </c>
      <c r="Q542">
        <v>0</v>
      </c>
      <c r="R542">
        <v>31736</v>
      </c>
      <c r="S542" t="str">
        <f t="shared" si="34"/>
        <v>Yes</v>
      </c>
      <c r="T542">
        <v>25102</v>
      </c>
      <c r="U542" t="str" cm="1">
        <f t="array" ref="U542">_xlfn.IFS(T542&lt;5000,"Small",T542&lt;20000,"Medium",T542&lt;35000,"Large",T542&gt;35000,"Very Large")</f>
        <v>Large</v>
      </c>
      <c r="V542">
        <v>36</v>
      </c>
      <c r="W542">
        <f t="shared" si="35"/>
        <v>3</v>
      </c>
      <c r="X542" t="s">
        <v>50</v>
      </c>
      <c r="Y542" t="s">
        <v>32</v>
      </c>
      <c r="Z542" t="s">
        <v>39</v>
      </c>
      <c r="AA542" t="s">
        <v>40</v>
      </c>
      <c r="AB542" t="s">
        <v>35</v>
      </c>
      <c r="AC542" t="s">
        <v>36</v>
      </c>
    </row>
    <row r="543" spans="1:29" x14ac:dyDescent="0.25">
      <c r="A543">
        <v>573</v>
      </c>
      <c r="B543">
        <v>4048</v>
      </c>
      <c r="C543">
        <v>0</v>
      </c>
      <c r="D543">
        <f t="shared" si="32"/>
        <v>4048</v>
      </c>
      <c r="E543" t="s">
        <v>52</v>
      </c>
      <c r="F543">
        <v>53</v>
      </c>
      <c r="G543" t="str" cm="1">
        <f t="array" ref="G543">_xlfn.IFS(F543&lt;25,"18-24",F543&lt;35,"25-35",F543&lt;45,"35-44",F543&lt;55,"44-54",F543&gt;=55,"55+")</f>
        <v>44-54</v>
      </c>
      <c r="H543" t="s">
        <v>30</v>
      </c>
      <c r="I543">
        <v>0</v>
      </c>
      <c r="J543" t="str" cm="1">
        <f t="array" ref="J543">_xlfn.IFS(I543&lt;=0,"No Dependents",I543&lt;=1,"One",I543&lt;=2,"Two",I543&gt;=3,"Third")</f>
        <v>No Dependents</v>
      </c>
      <c r="K543">
        <v>787</v>
      </c>
      <c r="L543" t="str" cm="1">
        <f t="array" ref="L543">_xlfn.IFS(K543&lt;=580,"Poor",K543&lt;=670,"fair",K543&lt;=740,"Good",K543&lt;=800,"Very Good",K543&gt;=800,"Excellent")</f>
        <v>Very Good</v>
      </c>
      <c r="M543">
        <v>4</v>
      </c>
      <c r="N543" t="str">
        <f t="shared" si="33"/>
        <v>Yes</v>
      </c>
      <c r="O543">
        <v>0.52</v>
      </c>
      <c r="P543" t="str" cm="1">
        <f t="array" ref="P543">_xlfn.IFS(O543&lt;=0.3,"Low Risk",O543&lt;=0.4,"medium Risk",O543&lt;=0.5,"High Risk",O543&gt;0.5,"Very High Risk")</f>
        <v>Very High Risk</v>
      </c>
      <c r="Q543">
        <v>8232</v>
      </c>
      <c r="R543">
        <v>329</v>
      </c>
      <c r="S543" t="str">
        <f t="shared" si="34"/>
        <v>Yes</v>
      </c>
      <c r="T543">
        <v>5263</v>
      </c>
      <c r="U543" t="str" cm="1">
        <f t="array" ref="U543">_xlfn.IFS(T543&lt;5000,"Small",T543&lt;20000,"Medium",T543&lt;35000,"Large",T543&gt;35000,"Very Large")</f>
        <v>Medium</v>
      </c>
      <c r="V543">
        <v>84</v>
      </c>
      <c r="W543">
        <f t="shared" si="35"/>
        <v>7</v>
      </c>
      <c r="X543" t="s">
        <v>50</v>
      </c>
      <c r="Y543" t="s">
        <v>32</v>
      </c>
      <c r="Z543" t="s">
        <v>33</v>
      </c>
      <c r="AA543" t="s">
        <v>40</v>
      </c>
      <c r="AB543" t="s">
        <v>35</v>
      </c>
      <c r="AC543" t="s">
        <v>36</v>
      </c>
    </row>
    <row r="544" spans="1:29" x14ac:dyDescent="0.25">
      <c r="A544">
        <v>574</v>
      </c>
      <c r="B544">
        <v>14338</v>
      </c>
      <c r="C544">
        <v>6276</v>
      </c>
      <c r="D544">
        <f t="shared" si="32"/>
        <v>20614</v>
      </c>
      <c r="E544" t="s">
        <v>52</v>
      </c>
      <c r="F544">
        <v>39</v>
      </c>
      <c r="G544" t="str" cm="1">
        <f t="array" ref="G544">_xlfn.IFS(F544&lt;25,"18-24",F544&lt;35,"25-35",F544&lt;45,"35-44",F544&lt;55,"44-54",F544&gt;=55,"55+")</f>
        <v>35-44</v>
      </c>
      <c r="H544" t="s">
        <v>41</v>
      </c>
      <c r="I544">
        <v>2</v>
      </c>
      <c r="J544" t="str" cm="1">
        <f t="array" ref="J544">_xlfn.IFS(I544&lt;=0,"No Dependents",I544&lt;=1,"One",I544&lt;=2,"Two",I544&gt;=3,"Third")</f>
        <v>Two</v>
      </c>
      <c r="K544">
        <v>550</v>
      </c>
      <c r="L544" t="str" cm="1">
        <f t="array" ref="L544">_xlfn.IFS(K544&lt;=580,"Poor",K544&lt;=670,"fair",K544&lt;=740,"Good",K544&lt;=800,"Very Good",K544&gt;=800,"Excellent")</f>
        <v>Poor</v>
      </c>
      <c r="M544">
        <v>1</v>
      </c>
      <c r="N544" t="str">
        <f t="shared" si="33"/>
        <v>Yes</v>
      </c>
      <c r="O544">
        <v>0.25</v>
      </c>
      <c r="P544" t="str" cm="1">
        <f t="array" ref="P544">_xlfn.IFS(O544&lt;=0.3,"Low Risk",O544&lt;=0.4,"medium Risk",O544&lt;=0.5,"High Risk",O544&gt;0.5,"Very High Risk")</f>
        <v>Low Risk</v>
      </c>
      <c r="Q544">
        <v>3367</v>
      </c>
      <c r="R544">
        <v>8851</v>
      </c>
      <c r="S544" t="str">
        <f t="shared" si="34"/>
        <v>Yes</v>
      </c>
      <c r="T544">
        <v>2902</v>
      </c>
      <c r="U544" t="str" cm="1">
        <f t="array" ref="U544">_xlfn.IFS(T544&lt;5000,"Small",T544&lt;20000,"Medium",T544&lt;35000,"Large",T544&gt;35000,"Very Large")</f>
        <v>Small</v>
      </c>
      <c r="V544">
        <v>60</v>
      </c>
      <c r="W544">
        <f t="shared" si="35"/>
        <v>5</v>
      </c>
      <c r="X544" t="s">
        <v>47</v>
      </c>
      <c r="Y544" t="s">
        <v>38</v>
      </c>
      <c r="Z544" t="s">
        <v>39</v>
      </c>
      <c r="AA544" t="s">
        <v>34</v>
      </c>
      <c r="AB544" t="s">
        <v>51</v>
      </c>
      <c r="AC544" t="s">
        <v>44</v>
      </c>
    </row>
    <row r="545" spans="1:29" x14ac:dyDescent="0.25">
      <c r="A545">
        <v>575</v>
      </c>
      <c r="B545">
        <v>19100</v>
      </c>
      <c r="C545">
        <v>5895</v>
      </c>
      <c r="D545">
        <f t="shared" si="32"/>
        <v>24995</v>
      </c>
      <c r="E545" t="s">
        <v>49</v>
      </c>
      <c r="F545">
        <v>23</v>
      </c>
      <c r="G545" t="str" cm="1">
        <f t="array" ref="G545">_xlfn.IFS(F545&lt;25,"18-24",F545&lt;35,"25-35",F545&lt;45,"35-44",F545&lt;55,"44-54",F545&gt;=55,"55+")</f>
        <v>18-24</v>
      </c>
      <c r="H545" t="s">
        <v>30</v>
      </c>
      <c r="I545">
        <v>1</v>
      </c>
      <c r="J545" t="str" cm="1">
        <f t="array" ref="J545">_xlfn.IFS(I545&lt;=0,"No Dependents",I545&lt;=1,"One",I545&lt;=2,"Two",I545&gt;=3,"Third")</f>
        <v>One</v>
      </c>
      <c r="K545">
        <v>728</v>
      </c>
      <c r="L545" t="str" cm="1">
        <f t="array" ref="L545">_xlfn.IFS(K545&lt;=580,"Poor",K545&lt;=670,"fair",K545&lt;=740,"Good",K545&lt;=800,"Very Good",K545&gt;=800,"Excellent")</f>
        <v>Good</v>
      </c>
      <c r="M545">
        <v>0</v>
      </c>
      <c r="N545" t="str">
        <f t="shared" si="33"/>
        <v>No</v>
      </c>
      <c r="O545">
        <v>0.31</v>
      </c>
      <c r="P545" t="str" cm="1">
        <f t="array" ref="P545">_xlfn.IFS(O545&lt;=0.3,"Low Risk",O545&lt;=0.4,"medium Risk",O545&lt;=0.5,"High Risk",O545&gt;0.5,"Very High Risk")</f>
        <v>medium Risk</v>
      </c>
      <c r="Q545">
        <v>13262</v>
      </c>
      <c r="R545">
        <v>44078</v>
      </c>
      <c r="S545" t="str">
        <f t="shared" si="34"/>
        <v>Yes</v>
      </c>
      <c r="T545">
        <v>31823</v>
      </c>
      <c r="U545" t="str" cm="1">
        <f t="array" ref="U545">_xlfn.IFS(T545&lt;5000,"Small",T545&lt;20000,"Medium",T545&lt;35000,"Large",T545&gt;35000,"Very Large")</f>
        <v>Large</v>
      </c>
      <c r="V545">
        <v>60</v>
      </c>
      <c r="W545">
        <f t="shared" si="35"/>
        <v>5</v>
      </c>
      <c r="X545" t="s">
        <v>37</v>
      </c>
      <c r="Y545" t="s">
        <v>38</v>
      </c>
      <c r="Z545" t="s">
        <v>39</v>
      </c>
      <c r="AA545" t="s">
        <v>40</v>
      </c>
      <c r="AB545" t="s">
        <v>51</v>
      </c>
      <c r="AC545" t="s">
        <v>44</v>
      </c>
    </row>
    <row r="546" spans="1:29" x14ac:dyDescent="0.25">
      <c r="A546">
        <v>576</v>
      </c>
      <c r="B546">
        <v>6544</v>
      </c>
      <c r="C546">
        <v>7115</v>
      </c>
      <c r="D546">
        <f t="shared" si="32"/>
        <v>13659</v>
      </c>
      <c r="E546" t="s">
        <v>49</v>
      </c>
      <c r="F546">
        <v>30</v>
      </c>
      <c r="G546" t="str" cm="1">
        <f t="array" ref="G546">_xlfn.IFS(F546&lt;25,"18-24",F546&lt;35,"25-35",F546&lt;45,"35-44",F546&lt;55,"44-54",F546&gt;=55,"55+")</f>
        <v>25-35</v>
      </c>
      <c r="H546" t="s">
        <v>30</v>
      </c>
      <c r="I546">
        <v>0</v>
      </c>
      <c r="J546" t="str" cm="1">
        <f t="array" ref="J546">_xlfn.IFS(I546&lt;=0,"No Dependents",I546&lt;=1,"One",I546&lt;=2,"Two",I546&gt;=3,"Third")</f>
        <v>No Dependents</v>
      </c>
      <c r="K546">
        <v>584</v>
      </c>
      <c r="L546" t="str" cm="1">
        <f t="array" ref="L546">_xlfn.IFS(K546&lt;=580,"Poor",K546&lt;=670,"fair",K546&lt;=740,"Good",K546&lt;=800,"Very Good",K546&gt;=800,"Excellent")</f>
        <v>fair</v>
      </c>
      <c r="M546">
        <v>1</v>
      </c>
      <c r="N546" t="str">
        <f t="shared" si="33"/>
        <v>Yes</v>
      </c>
      <c r="O546">
        <v>0.34</v>
      </c>
      <c r="P546" t="str" cm="1">
        <f t="array" ref="P546">_xlfn.IFS(O546&lt;=0.3,"Low Risk",O546&lt;=0.4,"medium Risk",O546&lt;=0.5,"High Risk",O546&gt;0.5,"Very High Risk")</f>
        <v>medium Risk</v>
      </c>
      <c r="Q546">
        <v>5229</v>
      </c>
      <c r="R546">
        <v>23126</v>
      </c>
      <c r="S546" t="str">
        <f t="shared" si="34"/>
        <v>Yes</v>
      </c>
      <c r="T546">
        <v>31540</v>
      </c>
      <c r="U546" t="str" cm="1">
        <f t="array" ref="U546">_xlfn.IFS(T546&lt;5000,"Small",T546&lt;20000,"Medium",T546&lt;35000,"Large",T546&gt;35000,"Very Large")</f>
        <v>Large</v>
      </c>
      <c r="V546">
        <v>72</v>
      </c>
      <c r="W546">
        <f t="shared" si="35"/>
        <v>6</v>
      </c>
      <c r="X546" t="s">
        <v>37</v>
      </c>
      <c r="Y546" t="s">
        <v>32</v>
      </c>
      <c r="Z546" t="s">
        <v>39</v>
      </c>
      <c r="AA546" t="s">
        <v>40</v>
      </c>
      <c r="AB546" t="s">
        <v>42</v>
      </c>
      <c r="AC546" t="s">
        <v>36</v>
      </c>
    </row>
    <row r="547" spans="1:29" x14ac:dyDescent="0.25">
      <c r="A547">
        <v>577</v>
      </c>
      <c r="B547">
        <v>6976</v>
      </c>
      <c r="C547">
        <v>0</v>
      </c>
      <c r="D547">
        <f t="shared" si="32"/>
        <v>6976</v>
      </c>
      <c r="E547" t="s">
        <v>29</v>
      </c>
      <c r="F547">
        <v>21</v>
      </c>
      <c r="G547" t="str" cm="1">
        <f t="array" ref="G547">_xlfn.IFS(F547&lt;25,"18-24",F547&lt;35,"25-35",F547&lt;45,"35-44",F547&lt;55,"44-54",F547&gt;=55,"55+")</f>
        <v>18-24</v>
      </c>
      <c r="H547" t="s">
        <v>30</v>
      </c>
      <c r="I547">
        <v>0</v>
      </c>
      <c r="J547" t="str" cm="1">
        <f t="array" ref="J547">_xlfn.IFS(I547&lt;=0,"No Dependents",I547&lt;=1,"One",I547&lt;=2,"Two",I547&gt;=3,"Third")</f>
        <v>No Dependents</v>
      </c>
      <c r="K547">
        <v>631</v>
      </c>
      <c r="L547" t="str" cm="1">
        <f t="array" ref="L547">_xlfn.IFS(K547&lt;=580,"Poor",K547&lt;=670,"fair",K547&lt;=740,"Good",K547&lt;=800,"Very Good",K547&gt;=800,"Excellent")</f>
        <v>fair</v>
      </c>
      <c r="M547">
        <v>0</v>
      </c>
      <c r="N547" t="str">
        <f t="shared" si="33"/>
        <v>No</v>
      </c>
      <c r="O547">
        <v>0.18</v>
      </c>
      <c r="P547" t="str" cm="1">
        <f t="array" ref="P547">_xlfn.IFS(O547&lt;=0.3,"Low Risk",O547&lt;=0.4,"medium Risk",O547&lt;=0.5,"High Risk",O547&gt;0.5,"Very High Risk")</f>
        <v>Low Risk</v>
      </c>
      <c r="Q547">
        <v>18799</v>
      </c>
      <c r="R547">
        <v>21300</v>
      </c>
      <c r="S547" t="str">
        <f t="shared" si="34"/>
        <v>Yes</v>
      </c>
      <c r="T547">
        <v>36335</v>
      </c>
      <c r="U547" t="str" cm="1">
        <f t="array" ref="U547">_xlfn.IFS(T547&lt;5000,"Small",T547&lt;20000,"Medium",T547&lt;35000,"Large",T547&gt;35000,"Very Large")</f>
        <v>Very Large</v>
      </c>
      <c r="V547">
        <v>48</v>
      </c>
      <c r="W547">
        <f t="shared" si="35"/>
        <v>4</v>
      </c>
      <c r="X547" t="s">
        <v>47</v>
      </c>
      <c r="Y547" t="s">
        <v>32</v>
      </c>
      <c r="Z547" t="s">
        <v>39</v>
      </c>
      <c r="AA547" t="s">
        <v>40</v>
      </c>
      <c r="AB547" t="s">
        <v>35</v>
      </c>
      <c r="AC547" t="s">
        <v>36</v>
      </c>
    </row>
    <row r="548" spans="1:29" x14ac:dyDescent="0.25">
      <c r="A548">
        <v>578</v>
      </c>
      <c r="B548">
        <v>14775</v>
      </c>
      <c r="C548">
        <v>575</v>
      </c>
      <c r="D548">
        <f t="shared" si="32"/>
        <v>15350</v>
      </c>
      <c r="E548" t="s">
        <v>49</v>
      </c>
      <c r="F548">
        <v>49</v>
      </c>
      <c r="G548" t="str" cm="1">
        <f t="array" ref="G548">_xlfn.IFS(F548&lt;25,"18-24",F548&lt;35,"25-35",F548&lt;45,"35-44",F548&lt;55,"44-54",F548&gt;=55,"55+")</f>
        <v>44-54</v>
      </c>
      <c r="H548" t="s">
        <v>41</v>
      </c>
      <c r="I548">
        <v>3</v>
      </c>
      <c r="J548" t="str" cm="1">
        <f t="array" ref="J548">_xlfn.IFS(I548&lt;=0,"No Dependents",I548&lt;=1,"One",I548&lt;=2,"Two",I548&gt;=3,"Third")</f>
        <v>Third</v>
      </c>
      <c r="K548">
        <v>682</v>
      </c>
      <c r="L548" t="str" cm="1">
        <f t="array" ref="L548">_xlfn.IFS(K548&lt;=580,"Poor",K548&lt;=670,"fair",K548&lt;=740,"Good",K548&lt;=800,"Very Good",K548&gt;=800,"Excellent")</f>
        <v>Good</v>
      </c>
      <c r="M548">
        <v>0</v>
      </c>
      <c r="N548" t="str">
        <f t="shared" si="33"/>
        <v>No</v>
      </c>
      <c r="O548">
        <v>0.12</v>
      </c>
      <c r="P548" t="str" cm="1">
        <f t="array" ref="P548">_xlfn.IFS(O548&lt;=0.3,"Low Risk",O548&lt;=0.4,"medium Risk",O548&lt;=0.5,"High Risk",O548&gt;0.5,"Very High Risk")</f>
        <v>Low Risk</v>
      </c>
      <c r="Q548">
        <v>13747</v>
      </c>
      <c r="R548">
        <v>10164</v>
      </c>
      <c r="S548" t="str">
        <f t="shared" si="34"/>
        <v>Yes</v>
      </c>
      <c r="T548">
        <v>11190</v>
      </c>
      <c r="U548" t="str" cm="1">
        <f t="array" ref="U548">_xlfn.IFS(T548&lt;5000,"Small",T548&lt;20000,"Medium",T548&lt;35000,"Large",T548&gt;35000,"Very Large")</f>
        <v>Medium</v>
      </c>
      <c r="V548">
        <v>60</v>
      </c>
      <c r="W548">
        <f t="shared" si="35"/>
        <v>5</v>
      </c>
      <c r="X548" t="s">
        <v>42</v>
      </c>
      <c r="Y548" t="s">
        <v>32</v>
      </c>
      <c r="Z548" t="s">
        <v>39</v>
      </c>
      <c r="AA548" t="s">
        <v>34</v>
      </c>
      <c r="AB548" t="s">
        <v>35</v>
      </c>
      <c r="AC548" t="s">
        <v>44</v>
      </c>
    </row>
    <row r="549" spans="1:29" x14ac:dyDescent="0.25">
      <c r="A549">
        <v>579</v>
      </c>
      <c r="B549">
        <v>12015</v>
      </c>
      <c r="C549">
        <v>7029</v>
      </c>
      <c r="D549">
        <f t="shared" si="32"/>
        <v>19044</v>
      </c>
      <c r="E549" t="s">
        <v>29</v>
      </c>
      <c r="F549">
        <v>54</v>
      </c>
      <c r="G549" t="str" cm="1">
        <f t="array" ref="G549">_xlfn.IFS(F549&lt;25,"18-24",F549&lt;35,"25-35",F549&lt;45,"35-44",F549&lt;55,"44-54",F549&gt;=55,"55+")</f>
        <v>44-54</v>
      </c>
      <c r="H549" t="s">
        <v>41</v>
      </c>
      <c r="I549">
        <v>2</v>
      </c>
      <c r="J549" t="str" cm="1">
        <f t="array" ref="J549">_xlfn.IFS(I549&lt;=0,"No Dependents",I549&lt;=1,"One",I549&lt;=2,"Two",I549&gt;=3,"Third")</f>
        <v>Two</v>
      </c>
      <c r="K549">
        <v>691</v>
      </c>
      <c r="L549" t="str" cm="1">
        <f t="array" ref="L549">_xlfn.IFS(K549&lt;=580,"Poor",K549&lt;=670,"fair",K549&lt;=740,"Good",K549&lt;=800,"Very Good",K549&gt;=800,"Excellent")</f>
        <v>Good</v>
      </c>
      <c r="M549">
        <v>4</v>
      </c>
      <c r="N549" t="str">
        <f t="shared" si="33"/>
        <v>Yes</v>
      </c>
      <c r="O549">
        <v>0.56999999999999995</v>
      </c>
      <c r="P549" t="str" cm="1">
        <f t="array" ref="P549">_xlfn.IFS(O549&lt;=0.3,"Low Risk",O549&lt;=0.4,"medium Risk",O549&lt;=0.5,"High Risk",O549&gt;0.5,"Very High Risk")</f>
        <v>Very High Risk</v>
      </c>
      <c r="Q549">
        <v>19333</v>
      </c>
      <c r="R549">
        <v>24509</v>
      </c>
      <c r="S549" t="str">
        <f t="shared" si="34"/>
        <v>Yes</v>
      </c>
      <c r="T549">
        <v>28690</v>
      </c>
      <c r="U549" t="str" cm="1">
        <f t="array" ref="U549">_xlfn.IFS(T549&lt;5000,"Small",T549&lt;20000,"Medium",T549&lt;35000,"Large",T549&gt;35000,"Very Large")</f>
        <v>Large</v>
      </c>
      <c r="V549">
        <v>48</v>
      </c>
      <c r="W549">
        <f t="shared" si="35"/>
        <v>4</v>
      </c>
      <c r="X549" t="s">
        <v>50</v>
      </c>
      <c r="Y549" t="s">
        <v>32</v>
      </c>
      <c r="Z549" t="s">
        <v>39</v>
      </c>
      <c r="AA549" t="s">
        <v>40</v>
      </c>
      <c r="AB549" t="s">
        <v>35</v>
      </c>
      <c r="AC549" t="s">
        <v>36</v>
      </c>
    </row>
    <row r="550" spans="1:29" x14ac:dyDescent="0.25">
      <c r="A550">
        <v>580</v>
      </c>
      <c r="B550">
        <v>5419</v>
      </c>
      <c r="C550">
        <v>0</v>
      </c>
      <c r="D550">
        <f t="shared" si="32"/>
        <v>5419</v>
      </c>
      <c r="E550" t="s">
        <v>46</v>
      </c>
      <c r="F550">
        <v>33</v>
      </c>
      <c r="G550" t="str" cm="1">
        <f t="array" ref="G550">_xlfn.IFS(F550&lt;25,"18-24",F550&lt;35,"25-35",F550&lt;45,"35-44",F550&lt;55,"44-54",F550&gt;=55,"55+")</f>
        <v>25-35</v>
      </c>
      <c r="H550" t="s">
        <v>30</v>
      </c>
      <c r="I550">
        <v>0</v>
      </c>
      <c r="J550" t="str" cm="1">
        <f t="array" ref="J550">_xlfn.IFS(I550&lt;=0,"No Dependents",I550&lt;=1,"One",I550&lt;=2,"Two",I550&gt;=3,"Third")</f>
        <v>No Dependents</v>
      </c>
      <c r="K550">
        <v>769</v>
      </c>
      <c r="L550" t="str" cm="1">
        <f t="array" ref="L550">_xlfn.IFS(K550&lt;=580,"Poor",K550&lt;=670,"fair",K550&lt;=740,"Good",K550&lt;=800,"Very Good",K550&gt;=800,"Excellent")</f>
        <v>Very Good</v>
      </c>
      <c r="M550">
        <v>0</v>
      </c>
      <c r="N550" t="str">
        <f t="shared" si="33"/>
        <v>No</v>
      </c>
      <c r="O550">
        <v>0.22</v>
      </c>
      <c r="P550" t="str" cm="1">
        <f t="array" ref="P550">_xlfn.IFS(O550&lt;=0.3,"Low Risk",O550&lt;=0.4,"medium Risk",O550&lt;=0.5,"High Risk",O550&gt;0.5,"Very High Risk")</f>
        <v>Low Risk</v>
      </c>
      <c r="Q550">
        <v>4261</v>
      </c>
      <c r="R550">
        <v>5703</v>
      </c>
      <c r="S550" t="str">
        <f t="shared" si="34"/>
        <v>Yes</v>
      </c>
      <c r="T550">
        <v>3994</v>
      </c>
      <c r="U550" t="str" cm="1">
        <f t="array" ref="U550">_xlfn.IFS(T550&lt;5000,"Small",T550&lt;20000,"Medium",T550&lt;35000,"Large",T550&gt;35000,"Very Large")</f>
        <v>Small</v>
      </c>
      <c r="V550">
        <v>24</v>
      </c>
      <c r="W550">
        <f t="shared" si="35"/>
        <v>2</v>
      </c>
      <c r="X550" t="s">
        <v>31</v>
      </c>
      <c r="Y550" t="s">
        <v>38</v>
      </c>
      <c r="Z550" t="s">
        <v>39</v>
      </c>
      <c r="AA550" t="s">
        <v>40</v>
      </c>
      <c r="AB550" t="s">
        <v>48</v>
      </c>
      <c r="AC550" t="s">
        <v>44</v>
      </c>
    </row>
    <row r="551" spans="1:29" x14ac:dyDescent="0.25">
      <c r="A551">
        <v>581</v>
      </c>
      <c r="B551">
        <v>16430</v>
      </c>
      <c r="C551">
        <v>9499</v>
      </c>
      <c r="D551">
        <f t="shared" si="32"/>
        <v>25929</v>
      </c>
      <c r="E551" t="s">
        <v>49</v>
      </c>
      <c r="F551">
        <v>21</v>
      </c>
      <c r="G551" t="str" cm="1">
        <f t="array" ref="G551">_xlfn.IFS(F551&lt;25,"18-24",F551&lt;35,"25-35",F551&lt;45,"35-44",F551&lt;55,"44-54",F551&gt;=55,"55+")</f>
        <v>18-24</v>
      </c>
      <c r="H551" t="s">
        <v>30</v>
      </c>
      <c r="I551">
        <v>1</v>
      </c>
      <c r="J551" t="str" cm="1">
        <f t="array" ref="J551">_xlfn.IFS(I551&lt;=0,"No Dependents",I551&lt;=1,"One",I551&lt;=2,"Two",I551&gt;=3,"Third")</f>
        <v>One</v>
      </c>
      <c r="K551">
        <v>707</v>
      </c>
      <c r="L551" t="str" cm="1">
        <f t="array" ref="L551">_xlfn.IFS(K551&lt;=580,"Poor",K551&lt;=670,"fair",K551&lt;=740,"Good",K551&lt;=800,"Very Good",K551&gt;=800,"Excellent")</f>
        <v>Good</v>
      </c>
      <c r="M551">
        <v>0</v>
      </c>
      <c r="N551" t="str">
        <f t="shared" si="33"/>
        <v>No</v>
      </c>
      <c r="O551">
        <v>0.22</v>
      </c>
      <c r="P551" t="str" cm="1">
        <f t="array" ref="P551">_xlfn.IFS(O551&lt;=0.3,"Low Risk",O551&lt;=0.4,"medium Risk",O551&lt;=0.5,"High Risk",O551&gt;0.5,"Very High Risk")</f>
        <v>Low Risk</v>
      </c>
      <c r="Q551">
        <v>3466</v>
      </c>
      <c r="R551">
        <v>27109</v>
      </c>
      <c r="S551" t="str">
        <f t="shared" si="34"/>
        <v>Yes</v>
      </c>
      <c r="T551">
        <v>38997</v>
      </c>
      <c r="U551" t="str" cm="1">
        <f t="array" ref="U551">_xlfn.IFS(T551&lt;5000,"Small",T551&lt;20000,"Medium",T551&lt;35000,"Large",T551&gt;35000,"Very Large")</f>
        <v>Very Large</v>
      </c>
      <c r="V551">
        <v>36</v>
      </c>
      <c r="W551">
        <f t="shared" si="35"/>
        <v>3</v>
      </c>
      <c r="X551" t="s">
        <v>37</v>
      </c>
      <c r="Y551" t="s">
        <v>45</v>
      </c>
      <c r="Z551" t="s">
        <v>33</v>
      </c>
      <c r="AA551" t="s">
        <v>34</v>
      </c>
      <c r="AB551" t="s">
        <v>35</v>
      </c>
      <c r="AC551" t="s">
        <v>44</v>
      </c>
    </row>
    <row r="552" spans="1:29" x14ac:dyDescent="0.25">
      <c r="A552">
        <v>582</v>
      </c>
      <c r="B552">
        <v>9239</v>
      </c>
      <c r="C552">
        <v>3192</v>
      </c>
      <c r="D552">
        <f t="shared" si="32"/>
        <v>12431</v>
      </c>
      <c r="E552" t="s">
        <v>46</v>
      </c>
      <c r="F552">
        <v>40</v>
      </c>
      <c r="G552" t="str" cm="1">
        <f t="array" ref="G552">_xlfn.IFS(F552&lt;25,"18-24",F552&lt;35,"25-35",F552&lt;45,"35-44",F552&lt;55,"44-54",F552&gt;=55,"55+")</f>
        <v>35-44</v>
      </c>
      <c r="H552" t="s">
        <v>41</v>
      </c>
      <c r="I552">
        <v>0</v>
      </c>
      <c r="J552" t="str" cm="1">
        <f t="array" ref="J552">_xlfn.IFS(I552&lt;=0,"No Dependents",I552&lt;=1,"One",I552&lt;=2,"Two",I552&gt;=3,"Third")</f>
        <v>No Dependents</v>
      </c>
      <c r="K552">
        <v>553</v>
      </c>
      <c r="L552" t="str" cm="1">
        <f t="array" ref="L552">_xlfn.IFS(K552&lt;=580,"Poor",K552&lt;=670,"fair",K552&lt;=740,"Good",K552&lt;=800,"Very Good",K552&gt;=800,"Excellent")</f>
        <v>Poor</v>
      </c>
      <c r="M552">
        <v>2</v>
      </c>
      <c r="N552" t="str">
        <f t="shared" si="33"/>
        <v>Yes</v>
      </c>
      <c r="O552">
        <v>0.14000000000000001</v>
      </c>
      <c r="P552" t="str" cm="1">
        <f t="array" ref="P552">_xlfn.IFS(O552&lt;=0.3,"Low Risk",O552&lt;=0.4,"medium Risk",O552&lt;=0.5,"High Risk",O552&gt;0.5,"Very High Risk")</f>
        <v>Low Risk</v>
      </c>
      <c r="Q552">
        <v>13785</v>
      </c>
      <c r="R552">
        <v>43417</v>
      </c>
      <c r="S552" t="str">
        <f t="shared" si="34"/>
        <v>Yes</v>
      </c>
      <c r="T552">
        <v>3010</v>
      </c>
      <c r="U552" t="str" cm="1">
        <f t="array" ref="U552">_xlfn.IFS(T552&lt;5000,"Small",T552&lt;20000,"Medium",T552&lt;35000,"Large",T552&gt;35000,"Very Large")</f>
        <v>Small</v>
      </c>
      <c r="V552">
        <v>84</v>
      </c>
      <c r="W552">
        <f t="shared" si="35"/>
        <v>7</v>
      </c>
      <c r="X552" t="s">
        <v>31</v>
      </c>
      <c r="Y552" t="s">
        <v>32</v>
      </c>
      <c r="Z552" t="s">
        <v>39</v>
      </c>
      <c r="AA552" t="s">
        <v>40</v>
      </c>
      <c r="AB552" t="s">
        <v>43</v>
      </c>
      <c r="AC552" t="s">
        <v>36</v>
      </c>
    </row>
    <row r="553" spans="1:29" x14ac:dyDescent="0.25">
      <c r="A553">
        <v>583</v>
      </c>
      <c r="B553">
        <v>16489</v>
      </c>
      <c r="C553">
        <v>3178</v>
      </c>
      <c r="D553">
        <f t="shared" si="32"/>
        <v>19667</v>
      </c>
      <c r="E553" t="s">
        <v>29</v>
      </c>
      <c r="F553">
        <v>49</v>
      </c>
      <c r="G553" t="str" cm="1">
        <f t="array" ref="G553">_xlfn.IFS(F553&lt;25,"18-24",F553&lt;35,"25-35",F553&lt;45,"35-44",F553&lt;55,"44-54",F553&gt;=55,"55+")</f>
        <v>44-54</v>
      </c>
      <c r="H553" t="s">
        <v>30</v>
      </c>
      <c r="I553">
        <v>0</v>
      </c>
      <c r="J553" t="str" cm="1">
        <f t="array" ref="J553">_xlfn.IFS(I553&lt;=0,"No Dependents",I553&lt;=1,"One",I553&lt;=2,"Two",I553&gt;=3,"Third")</f>
        <v>No Dependents</v>
      </c>
      <c r="K553">
        <v>716</v>
      </c>
      <c r="L553" t="str" cm="1">
        <f t="array" ref="L553">_xlfn.IFS(K553&lt;=580,"Poor",K553&lt;=670,"fair",K553&lt;=740,"Good",K553&lt;=800,"Very Good",K553&gt;=800,"Excellent")</f>
        <v>Good</v>
      </c>
      <c r="M553">
        <v>2</v>
      </c>
      <c r="N553" t="str">
        <f t="shared" si="33"/>
        <v>Yes</v>
      </c>
      <c r="O553">
        <v>0.56000000000000005</v>
      </c>
      <c r="P553" t="str" cm="1">
        <f t="array" ref="P553">_xlfn.IFS(O553&lt;=0.3,"Low Risk",O553&lt;=0.4,"medium Risk",O553&lt;=0.5,"High Risk",O553&gt;0.5,"Very High Risk")</f>
        <v>Very High Risk</v>
      </c>
      <c r="Q553">
        <v>3088</v>
      </c>
      <c r="R553">
        <v>22554</v>
      </c>
      <c r="S553" t="str">
        <f t="shared" si="34"/>
        <v>Yes</v>
      </c>
      <c r="T553">
        <v>8377</v>
      </c>
      <c r="U553" t="str" cm="1">
        <f t="array" ref="U553">_xlfn.IFS(T553&lt;5000,"Small",T553&lt;20000,"Medium",T553&lt;35000,"Large",T553&gt;35000,"Very Large")</f>
        <v>Medium</v>
      </c>
      <c r="V553">
        <v>48</v>
      </c>
      <c r="W553">
        <f t="shared" si="35"/>
        <v>4</v>
      </c>
      <c r="X553" t="s">
        <v>47</v>
      </c>
      <c r="Y553" t="s">
        <v>38</v>
      </c>
      <c r="Z553" t="s">
        <v>33</v>
      </c>
      <c r="AA553" t="s">
        <v>34</v>
      </c>
      <c r="AB553" t="s">
        <v>35</v>
      </c>
      <c r="AC553" t="s">
        <v>36</v>
      </c>
    </row>
    <row r="554" spans="1:29" x14ac:dyDescent="0.25">
      <c r="A554">
        <v>584</v>
      </c>
      <c r="B554">
        <v>18633</v>
      </c>
      <c r="C554">
        <v>6052</v>
      </c>
      <c r="D554">
        <f t="shared" si="32"/>
        <v>24685</v>
      </c>
      <c r="E554" t="s">
        <v>46</v>
      </c>
      <c r="F554">
        <v>33</v>
      </c>
      <c r="G554" t="str" cm="1">
        <f t="array" ref="G554">_xlfn.IFS(F554&lt;25,"18-24",F554&lt;35,"25-35",F554&lt;45,"35-44",F554&lt;55,"44-54",F554&gt;=55,"55+")</f>
        <v>25-35</v>
      </c>
      <c r="H554" t="s">
        <v>30</v>
      </c>
      <c r="I554">
        <v>3</v>
      </c>
      <c r="J554" t="str" cm="1">
        <f t="array" ref="J554">_xlfn.IFS(I554&lt;=0,"No Dependents",I554&lt;=1,"One",I554&lt;=2,"Two",I554&gt;=3,"Third")</f>
        <v>Third</v>
      </c>
      <c r="K554">
        <v>761</v>
      </c>
      <c r="L554" t="str" cm="1">
        <f t="array" ref="L554">_xlfn.IFS(K554&lt;=580,"Poor",K554&lt;=670,"fair",K554&lt;=740,"Good",K554&lt;=800,"Very Good",K554&gt;=800,"Excellent")</f>
        <v>Very Good</v>
      </c>
      <c r="M554">
        <v>4</v>
      </c>
      <c r="N554" t="str">
        <f t="shared" si="33"/>
        <v>Yes</v>
      </c>
      <c r="O554">
        <v>0.39</v>
      </c>
      <c r="P554" t="str" cm="1">
        <f t="array" ref="P554">_xlfn.IFS(O554&lt;=0.3,"Low Risk",O554&lt;=0.4,"medium Risk",O554&lt;=0.5,"High Risk",O554&gt;0.5,"Very High Risk")</f>
        <v>medium Risk</v>
      </c>
      <c r="Q554">
        <v>13015</v>
      </c>
      <c r="R554">
        <v>27676</v>
      </c>
      <c r="S554" t="str">
        <f t="shared" si="34"/>
        <v>Yes</v>
      </c>
      <c r="T554">
        <v>14036</v>
      </c>
      <c r="U554" t="str" cm="1">
        <f t="array" ref="U554">_xlfn.IFS(T554&lt;5000,"Small",T554&lt;20000,"Medium",T554&lt;35000,"Large",T554&gt;35000,"Very Large")</f>
        <v>Medium</v>
      </c>
      <c r="V554">
        <v>36</v>
      </c>
      <c r="W554">
        <f t="shared" si="35"/>
        <v>3</v>
      </c>
      <c r="X554" t="s">
        <v>31</v>
      </c>
      <c r="Y554" t="s">
        <v>45</v>
      </c>
      <c r="Z554" t="s">
        <v>39</v>
      </c>
      <c r="AA554" t="s">
        <v>40</v>
      </c>
      <c r="AB554" t="s">
        <v>35</v>
      </c>
      <c r="AC554" t="s">
        <v>44</v>
      </c>
    </row>
    <row r="555" spans="1:29" x14ac:dyDescent="0.25">
      <c r="A555">
        <v>585</v>
      </c>
      <c r="B555">
        <v>12357</v>
      </c>
      <c r="C555">
        <v>2734</v>
      </c>
      <c r="D555">
        <f t="shared" si="32"/>
        <v>15091</v>
      </c>
      <c r="E555" t="s">
        <v>46</v>
      </c>
      <c r="F555">
        <v>49</v>
      </c>
      <c r="G555" t="str" cm="1">
        <f t="array" ref="G555">_xlfn.IFS(F555&lt;25,"18-24",F555&lt;35,"25-35",F555&lt;45,"35-44",F555&lt;55,"44-54",F555&gt;=55,"55+")</f>
        <v>44-54</v>
      </c>
      <c r="H555" t="s">
        <v>41</v>
      </c>
      <c r="I555">
        <v>3</v>
      </c>
      <c r="J555" t="str" cm="1">
        <f t="array" ref="J555">_xlfn.IFS(I555&lt;=0,"No Dependents",I555&lt;=1,"One",I555&lt;=2,"Two",I555&gt;=3,"Third")</f>
        <v>Third</v>
      </c>
      <c r="K555">
        <v>741</v>
      </c>
      <c r="L555" t="str" cm="1">
        <f t="array" ref="L555">_xlfn.IFS(K555&lt;=580,"Poor",K555&lt;=670,"fair",K555&lt;=740,"Good",K555&lt;=800,"Very Good",K555&gt;=800,"Excellent")</f>
        <v>Very Good</v>
      </c>
      <c r="M555">
        <v>1</v>
      </c>
      <c r="N555" t="str">
        <f t="shared" si="33"/>
        <v>Yes</v>
      </c>
      <c r="O555">
        <v>0.35</v>
      </c>
      <c r="P555" t="str" cm="1">
        <f t="array" ref="P555">_xlfn.IFS(O555&lt;=0.3,"Low Risk",O555&lt;=0.4,"medium Risk",O555&lt;=0.5,"High Risk",O555&gt;0.5,"Very High Risk")</f>
        <v>medium Risk</v>
      </c>
      <c r="Q555">
        <v>1115</v>
      </c>
      <c r="R555">
        <v>23804</v>
      </c>
      <c r="S555" t="str">
        <f t="shared" si="34"/>
        <v>Yes</v>
      </c>
      <c r="T555">
        <v>27467</v>
      </c>
      <c r="U555" t="str" cm="1">
        <f t="array" ref="U555">_xlfn.IFS(T555&lt;5000,"Small",T555&lt;20000,"Medium",T555&lt;35000,"Large",T555&gt;35000,"Very Large")</f>
        <v>Large</v>
      </c>
      <c r="V555">
        <v>60</v>
      </c>
      <c r="W555">
        <f t="shared" si="35"/>
        <v>5</v>
      </c>
      <c r="X555" t="s">
        <v>31</v>
      </c>
      <c r="Y555" t="s">
        <v>45</v>
      </c>
      <c r="Z555" t="s">
        <v>39</v>
      </c>
      <c r="AA555" t="s">
        <v>40</v>
      </c>
      <c r="AB555" t="s">
        <v>35</v>
      </c>
      <c r="AC555" t="s">
        <v>36</v>
      </c>
    </row>
    <row r="556" spans="1:29" x14ac:dyDescent="0.25">
      <c r="A556">
        <v>586</v>
      </c>
      <c r="B556">
        <v>19154</v>
      </c>
      <c r="C556">
        <v>6116</v>
      </c>
      <c r="D556">
        <f t="shared" si="32"/>
        <v>25270</v>
      </c>
      <c r="E556" t="s">
        <v>48</v>
      </c>
      <c r="F556">
        <v>59</v>
      </c>
      <c r="G556" t="str" cm="1">
        <f t="array" ref="G556">_xlfn.IFS(F556&lt;25,"18-24",F556&lt;35,"25-35",F556&lt;45,"35-44",F556&lt;55,"44-54",F556&gt;=55,"55+")</f>
        <v>55+</v>
      </c>
      <c r="H556" t="s">
        <v>41</v>
      </c>
      <c r="I556">
        <v>1</v>
      </c>
      <c r="J556" t="str" cm="1">
        <f t="array" ref="J556">_xlfn.IFS(I556&lt;=0,"No Dependents",I556&lt;=1,"One",I556&lt;=2,"Two",I556&gt;=3,"Third")</f>
        <v>One</v>
      </c>
      <c r="K556">
        <v>702</v>
      </c>
      <c r="L556" t="str" cm="1">
        <f t="array" ref="L556">_xlfn.IFS(K556&lt;=580,"Poor",K556&lt;=670,"fair",K556&lt;=740,"Good",K556&lt;=800,"Very Good",K556&gt;=800,"Excellent")</f>
        <v>Good</v>
      </c>
      <c r="M556">
        <v>3</v>
      </c>
      <c r="N556" t="str">
        <f t="shared" si="33"/>
        <v>Yes</v>
      </c>
      <c r="O556">
        <v>0.56000000000000005</v>
      </c>
      <c r="P556" t="str" cm="1">
        <f t="array" ref="P556">_xlfn.IFS(O556&lt;=0.3,"Low Risk",O556&lt;=0.4,"medium Risk",O556&lt;=0.5,"High Risk",O556&gt;0.5,"Very High Risk")</f>
        <v>Very High Risk</v>
      </c>
      <c r="Q556">
        <v>4578</v>
      </c>
      <c r="R556">
        <v>45440</v>
      </c>
      <c r="S556" t="str">
        <f t="shared" si="34"/>
        <v>Yes</v>
      </c>
      <c r="T556">
        <v>1048</v>
      </c>
      <c r="U556" t="str" cm="1">
        <f t="array" ref="U556">_xlfn.IFS(T556&lt;5000,"Small",T556&lt;20000,"Medium",T556&lt;35000,"Large",T556&gt;35000,"Very Large")</f>
        <v>Small</v>
      </c>
      <c r="V556">
        <v>60</v>
      </c>
      <c r="W556">
        <f t="shared" si="35"/>
        <v>5</v>
      </c>
      <c r="X556" t="s">
        <v>50</v>
      </c>
      <c r="Y556" t="s">
        <v>32</v>
      </c>
      <c r="Z556" t="s">
        <v>33</v>
      </c>
      <c r="AA556" t="s">
        <v>34</v>
      </c>
      <c r="AB556" t="s">
        <v>42</v>
      </c>
      <c r="AC556" t="s">
        <v>36</v>
      </c>
    </row>
    <row r="557" spans="1:29" x14ac:dyDescent="0.25">
      <c r="A557">
        <v>587</v>
      </c>
      <c r="B557">
        <v>6363</v>
      </c>
      <c r="C557">
        <v>0</v>
      </c>
      <c r="D557">
        <f t="shared" si="32"/>
        <v>6363</v>
      </c>
      <c r="E557" t="s">
        <v>29</v>
      </c>
      <c r="F557">
        <v>44</v>
      </c>
      <c r="G557" t="str" cm="1">
        <f t="array" ref="G557">_xlfn.IFS(F557&lt;25,"18-24",F557&lt;35,"25-35",F557&lt;45,"35-44",F557&lt;55,"44-54",F557&gt;=55,"55+")</f>
        <v>35-44</v>
      </c>
      <c r="H557" t="s">
        <v>41</v>
      </c>
      <c r="I557">
        <v>3</v>
      </c>
      <c r="J557" t="str" cm="1">
        <f t="array" ref="J557">_xlfn.IFS(I557&lt;=0,"No Dependents",I557&lt;=1,"One",I557&lt;=2,"Two",I557&gt;=3,"Third")</f>
        <v>Third</v>
      </c>
      <c r="K557">
        <v>705</v>
      </c>
      <c r="L557" t="str" cm="1">
        <f t="array" ref="L557">_xlfn.IFS(K557&lt;=580,"Poor",K557&lt;=670,"fair",K557&lt;=740,"Good",K557&lt;=800,"Very Good",K557&gt;=800,"Excellent")</f>
        <v>Good</v>
      </c>
      <c r="M557">
        <v>0</v>
      </c>
      <c r="N557" t="str">
        <f t="shared" si="33"/>
        <v>No</v>
      </c>
      <c r="O557">
        <v>0.27</v>
      </c>
      <c r="P557" t="str" cm="1">
        <f t="array" ref="P557">_xlfn.IFS(O557&lt;=0.3,"Low Risk",O557&lt;=0.4,"medium Risk",O557&lt;=0.5,"High Risk",O557&gt;0.5,"Very High Risk")</f>
        <v>Low Risk</v>
      </c>
      <c r="Q557">
        <v>2590</v>
      </c>
      <c r="R557">
        <v>36923</v>
      </c>
      <c r="S557" t="str">
        <f t="shared" si="34"/>
        <v>Yes</v>
      </c>
      <c r="T557">
        <v>0</v>
      </c>
      <c r="U557" t="str" cm="1">
        <f t="array" ref="U557">_xlfn.IFS(T557&lt;5000,"Small",T557&lt;20000,"Medium",T557&lt;35000,"Large",T557&gt;35000,"Very Large")</f>
        <v>Small</v>
      </c>
      <c r="V557">
        <v>24</v>
      </c>
      <c r="W557">
        <f t="shared" si="35"/>
        <v>2</v>
      </c>
      <c r="X557" t="s">
        <v>47</v>
      </c>
      <c r="Y557" t="s">
        <v>32</v>
      </c>
      <c r="Z557" t="s">
        <v>39</v>
      </c>
      <c r="AA557" t="s">
        <v>40</v>
      </c>
      <c r="AB557" t="s">
        <v>35</v>
      </c>
      <c r="AC557" t="s">
        <v>36</v>
      </c>
    </row>
    <row r="558" spans="1:29" x14ac:dyDescent="0.25">
      <c r="A558">
        <v>588</v>
      </c>
      <c r="B558">
        <v>12176</v>
      </c>
      <c r="C558">
        <v>9847</v>
      </c>
      <c r="D558">
        <f t="shared" si="32"/>
        <v>22023</v>
      </c>
      <c r="E558" t="s">
        <v>29</v>
      </c>
      <c r="F558">
        <v>46</v>
      </c>
      <c r="G558" t="str" cm="1">
        <f t="array" ref="G558">_xlfn.IFS(F558&lt;25,"18-24",F558&lt;35,"25-35",F558&lt;45,"35-44",F558&lt;55,"44-54",F558&gt;=55,"55+")</f>
        <v>44-54</v>
      </c>
      <c r="H558" t="s">
        <v>41</v>
      </c>
      <c r="I558">
        <v>0</v>
      </c>
      <c r="J558" t="str" cm="1">
        <f t="array" ref="J558">_xlfn.IFS(I558&lt;=0,"No Dependents",I558&lt;=1,"One",I558&lt;=2,"Two",I558&gt;=3,"Third")</f>
        <v>No Dependents</v>
      </c>
      <c r="K558">
        <v>753</v>
      </c>
      <c r="L558" t="str" cm="1">
        <f t="array" ref="L558">_xlfn.IFS(K558&lt;=580,"Poor",K558&lt;=670,"fair",K558&lt;=740,"Good",K558&lt;=800,"Very Good",K558&gt;=800,"Excellent")</f>
        <v>Very Good</v>
      </c>
      <c r="M558">
        <v>3</v>
      </c>
      <c r="N558" t="str">
        <f t="shared" si="33"/>
        <v>Yes</v>
      </c>
      <c r="O558">
        <v>0.41</v>
      </c>
      <c r="P558" t="str" cm="1">
        <f t="array" ref="P558">_xlfn.IFS(O558&lt;=0.3,"Low Risk",O558&lt;=0.4,"medium Risk",O558&lt;=0.5,"High Risk",O558&gt;0.5,"Very High Risk")</f>
        <v>High Risk</v>
      </c>
      <c r="Q558">
        <v>0</v>
      </c>
      <c r="R558">
        <v>29802</v>
      </c>
      <c r="S558" t="str">
        <f t="shared" si="34"/>
        <v>Yes</v>
      </c>
      <c r="T558">
        <v>17038</v>
      </c>
      <c r="U558" t="str" cm="1">
        <f t="array" ref="U558">_xlfn.IFS(T558&lt;5000,"Small",T558&lt;20000,"Medium",T558&lt;35000,"Large",T558&gt;35000,"Very Large")</f>
        <v>Medium</v>
      </c>
      <c r="V558">
        <v>72</v>
      </c>
      <c r="W558">
        <f t="shared" si="35"/>
        <v>6</v>
      </c>
      <c r="X558" t="s">
        <v>31</v>
      </c>
      <c r="Y558" t="s">
        <v>45</v>
      </c>
      <c r="Z558" t="s">
        <v>39</v>
      </c>
      <c r="AA558" t="s">
        <v>34</v>
      </c>
      <c r="AB558" t="s">
        <v>35</v>
      </c>
      <c r="AC558" t="s">
        <v>36</v>
      </c>
    </row>
    <row r="559" spans="1:29" x14ac:dyDescent="0.25">
      <c r="A559">
        <v>589</v>
      </c>
      <c r="B559">
        <v>19461</v>
      </c>
      <c r="C559">
        <v>9771</v>
      </c>
      <c r="D559">
        <f t="shared" si="32"/>
        <v>29232</v>
      </c>
      <c r="E559" t="s">
        <v>49</v>
      </c>
      <c r="F559">
        <v>37</v>
      </c>
      <c r="G559" t="str" cm="1">
        <f t="array" ref="G559">_xlfn.IFS(F559&lt;25,"18-24",F559&lt;35,"25-35",F559&lt;45,"35-44",F559&lt;55,"44-54",F559&gt;=55,"55+")</f>
        <v>35-44</v>
      </c>
      <c r="H559" t="s">
        <v>30</v>
      </c>
      <c r="I559">
        <v>0</v>
      </c>
      <c r="J559" t="str" cm="1">
        <f t="array" ref="J559">_xlfn.IFS(I559&lt;=0,"No Dependents",I559&lt;=1,"One",I559&lt;=2,"Two",I559&gt;=3,"Third")</f>
        <v>No Dependents</v>
      </c>
      <c r="K559">
        <v>743</v>
      </c>
      <c r="L559" t="str" cm="1">
        <f t="array" ref="L559">_xlfn.IFS(K559&lt;=580,"Poor",K559&lt;=670,"fair",K559&lt;=740,"Good",K559&lt;=800,"Very Good",K559&gt;=800,"Excellent")</f>
        <v>Very Good</v>
      </c>
      <c r="M559">
        <v>1</v>
      </c>
      <c r="N559" t="str">
        <f t="shared" si="33"/>
        <v>Yes</v>
      </c>
      <c r="O559">
        <v>0.35</v>
      </c>
      <c r="P559" t="str" cm="1">
        <f t="array" ref="P559">_xlfn.IFS(O559&lt;=0.3,"Low Risk",O559&lt;=0.4,"medium Risk",O559&lt;=0.5,"High Risk",O559&gt;0.5,"Very High Risk")</f>
        <v>medium Risk</v>
      </c>
      <c r="Q559">
        <v>3573</v>
      </c>
      <c r="R559">
        <v>24795</v>
      </c>
      <c r="S559" t="str">
        <f t="shared" si="34"/>
        <v>Yes</v>
      </c>
      <c r="T559">
        <v>33576</v>
      </c>
      <c r="U559" t="str" cm="1">
        <f t="array" ref="U559">_xlfn.IFS(T559&lt;5000,"Small",T559&lt;20000,"Medium",T559&lt;35000,"Large",T559&gt;35000,"Very Large")</f>
        <v>Large</v>
      </c>
      <c r="V559">
        <v>72</v>
      </c>
      <c r="W559">
        <f t="shared" si="35"/>
        <v>6</v>
      </c>
      <c r="X559" t="s">
        <v>37</v>
      </c>
      <c r="Y559" t="s">
        <v>32</v>
      </c>
      <c r="Z559" t="s">
        <v>39</v>
      </c>
      <c r="AA559" t="s">
        <v>34</v>
      </c>
      <c r="AB559" t="s">
        <v>35</v>
      </c>
      <c r="AC559" t="s">
        <v>44</v>
      </c>
    </row>
    <row r="560" spans="1:29" x14ac:dyDescent="0.25">
      <c r="A560">
        <v>590</v>
      </c>
      <c r="B560">
        <v>10427</v>
      </c>
      <c r="C560">
        <v>2203</v>
      </c>
      <c r="D560">
        <f t="shared" si="32"/>
        <v>12630</v>
      </c>
      <c r="E560" t="s">
        <v>29</v>
      </c>
      <c r="F560">
        <v>27</v>
      </c>
      <c r="G560" t="str" cm="1">
        <f t="array" ref="G560">_xlfn.IFS(F560&lt;25,"18-24",F560&lt;35,"25-35",F560&lt;45,"35-44",F560&lt;55,"44-54",F560&gt;=55,"55+")</f>
        <v>25-35</v>
      </c>
      <c r="H560" t="s">
        <v>41</v>
      </c>
      <c r="I560">
        <v>3</v>
      </c>
      <c r="J560" t="str" cm="1">
        <f t="array" ref="J560">_xlfn.IFS(I560&lt;=0,"No Dependents",I560&lt;=1,"One",I560&lt;=2,"Two",I560&gt;=3,"Third")</f>
        <v>Third</v>
      </c>
      <c r="K560">
        <v>784</v>
      </c>
      <c r="L560" t="str" cm="1">
        <f t="array" ref="L560">_xlfn.IFS(K560&lt;=580,"Poor",K560&lt;=670,"fair",K560&lt;=740,"Good",K560&lt;=800,"Very Good",K560&gt;=800,"Excellent")</f>
        <v>Very Good</v>
      </c>
      <c r="M560">
        <v>1</v>
      </c>
      <c r="N560" t="str">
        <f t="shared" si="33"/>
        <v>Yes</v>
      </c>
      <c r="O560">
        <v>0.19</v>
      </c>
      <c r="P560" t="str" cm="1">
        <f t="array" ref="P560">_xlfn.IFS(O560&lt;=0.3,"Low Risk",O560&lt;=0.4,"medium Risk",O560&lt;=0.5,"High Risk",O560&gt;0.5,"Very High Risk")</f>
        <v>Low Risk</v>
      </c>
      <c r="Q560">
        <v>0</v>
      </c>
      <c r="R560">
        <v>2611</v>
      </c>
      <c r="S560" t="str">
        <f t="shared" si="34"/>
        <v>Yes</v>
      </c>
      <c r="T560">
        <v>8878</v>
      </c>
      <c r="U560" t="str" cm="1">
        <f t="array" ref="U560">_xlfn.IFS(T560&lt;5000,"Small",T560&lt;20000,"Medium",T560&lt;35000,"Large",T560&gt;35000,"Very Large")</f>
        <v>Medium</v>
      </c>
      <c r="V560">
        <v>72</v>
      </c>
      <c r="W560">
        <f t="shared" si="35"/>
        <v>6</v>
      </c>
      <c r="X560" t="s">
        <v>47</v>
      </c>
      <c r="Y560" t="s">
        <v>32</v>
      </c>
      <c r="Z560" t="s">
        <v>39</v>
      </c>
      <c r="AA560" t="s">
        <v>40</v>
      </c>
      <c r="AB560" t="s">
        <v>51</v>
      </c>
      <c r="AC560" t="s">
        <v>44</v>
      </c>
    </row>
    <row r="561" spans="1:29" x14ac:dyDescent="0.25">
      <c r="A561">
        <v>591</v>
      </c>
      <c r="B561">
        <v>10580</v>
      </c>
      <c r="C561">
        <v>1390</v>
      </c>
      <c r="D561">
        <f t="shared" si="32"/>
        <v>11970</v>
      </c>
      <c r="E561" t="s">
        <v>46</v>
      </c>
      <c r="F561">
        <v>33</v>
      </c>
      <c r="G561" t="str" cm="1">
        <f t="array" ref="G561">_xlfn.IFS(F561&lt;25,"18-24",F561&lt;35,"25-35",F561&lt;45,"35-44",F561&lt;55,"44-54",F561&gt;=55,"55+")</f>
        <v>25-35</v>
      </c>
      <c r="H561" t="s">
        <v>41</v>
      </c>
      <c r="I561">
        <v>0</v>
      </c>
      <c r="J561" t="str" cm="1">
        <f t="array" ref="J561">_xlfn.IFS(I561&lt;=0,"No Dependents",I561&lt;=1,"One",I561&lt;=2,"Two",I561&gt;=3,"Third")</f>
        <v>No Dependents</v>
      </c>
      <c r="K561">
        <v>755</v>
      </c>
      <c r="L561" t="str" cm="1">
        <f t="array" ref="L561">_xlfn.IFS(K561&lt;=580,"Poor",K561&lt;=670,"fair",K561&lt;=740,"Good",K561&lt;=800,"Very Good",K561&gt;=800,"Excellent")</f>
        <v>Very Good</v>
      </c>
      <c r="M561">
        <v>4</v>
      </c>
      <c r="N561" t="str">
        <f t="shared" si="33"/>
        <v>Yes</v>
      </c>
      <c r="O561">
        <v>0.52</v>
      </c>
      <c r="P561" t="str" cm="1">
        <f t="array" ref="P561">_xlfn.IFS(O561&lt;=0.3,"Low Risk",O561&lt;=0.4,"medium Risk",O561&lt;=0.5,"High Risk",O561&gt;0.5,"Very High Risk")</f>
        <v>Very High Risk</v>
      </c>
      <c r="Q561">
        <v>10639</v>
      </c>
      <c r="R561">
        <v>0</v>
      </c>
      <c r="S561" t="str">
        <f t="shared" si="34"/>
        <v>No</v>
      </c>
      <c r="T561">
        <v>28609</v>
      </c>
      <c r="U561" t="str" cm="1">
        <f t="array" ref="U561">_xlfn.IFS(T561&lt;5000,"Small",T561&lt;20000,"Medium",T561&lt;35000,"Large",T561&gt;35000,"Very Large")</f>
        <v>Large</v>
      </c>
      <c r="V561">
        <v>48</v>
      </c>
      <c r="W561">
        <f t="shared" si="35"/>
        <v>4</v>
      </c>
      <c r="X561" t="s">
        <v>37</v>
      </c>
      <c r="Y561" t="s">
        <v>32</v>
      </c>
      <c r="Z561" t="s">
        <v>39</v>
      </c>
      <c r="AA561" t="s">
        <v>34</v>
      </c>
      <c r="AB561" t="s">
        <v>48</v>
      </c>
      <c r="AC561" t="s">
        <v>36</v>
      </c>
    </row>
    <row r="562" spans="1:29" x14ac:dyDescent="0.25">
      <c r="A562">
        <v>592</v>
      </c>
      <c r="B562">
        <v>6858</v>
      </c>
      <c r="C562">
        <v>1742</v>
      </c>
      <c r="D562">
        <f t="shared" si="32"/>
        <v>8600</v>
      </c>
      <c r="E562" t="s">
        <v>46</v>
      </c>
      <c r="F562">
        <v>25</v>
      </c>
      <c r="G562" t="str" cm="1">
        <f t="array" ref="G562">_xlfn.IFS(F562&lt;25,"18-24",F562&lt;35,"25-35",F562&lt;45,"35-44",F562&lt;55,"44-54",F562&gt;=55,"55+")</f>
        <v>25-35</v>
      </c>
      <c r="H562" t="s">
        <v>30</v>
      </c>
      <c r="I562">
        <v>0</v>
      </c>
      <c r="J562" t="str" cm="1">
        <f t="array" ref="J562">_xlfn.IFS(I562&lt;=0,"No Dependents",I562&lt;=1,"One",I562&lt;=2,"Two",I562&gt;=3,"Third")</f>
        <v>No Dependents</v>
      </c>
      <c r="K562">
        <v>699</v>
      </c>
      <c r="L562" t="str" cm="1">
        <f t="array" ref="L562">_xlfn.IFS(K562&lt;=580,"Poor",K562&lt;=670,"fair",K562&lt;=740,"Good",K562&lt;=800,"Very Good",K562&gt;=800,"Excellent")</f>
        <v>Good</v>
      </c>
      <c r="M562">
        <v>2</v>
      </c>
      <c r="N562" t="str">
        <f t="shared" si="33"/>
        <v>Yes</v>
      </c>
      <c r="O562">
        <v>0.48</v>
      </c>
      <c r="P562" t="str" cm="1">
        <f t="array" ref="P562">_xlfn.IFS(O562&lt;=0.3,"Low Risk",O562&lt;=0.4,"medium Risk",O562&lt;=0.5,"High Risk",O562&gt;0.5,"Very High Risk")</f>
        <v>High Risk</v>
      </c>
      <c r="Q562">
        <v>9422</v>
      </c>
      <c r="R562">
        <v>16479</v>
      </c>
      <c r="S562" t="str">
        <f t="shared" si="34"/>
        <v>Yes</v>
      </c>
      <c r="T562">
        <v>25070</v>
      </c>
      <c r="U562" t="str" cm="1">
        <f t="array" ref="U562">_xlfn.IFS(T562&lt;5000,"Small",T562&lt;20000,"Medium",T562&lt;35000,"Large",T562&gt;35000,"Very Large")</f>
        <v>Large</v>
      </c>
      <c r="V562">
        <v>72</v>
      </c>
      <c r="W562">
        <f t="shared" si="35"/>
        <v>6</v>
      </c>
      <c r="X562" t="s">
        <v>42</v>
      </c>
      <c r="Y562" t="s">
        <v>32</v>
      </c>
      <c r="Z562" t="s">
        <v>39</v>
      </c>
      <c r="AA562" t="s">
        <v>40</v>
      </c>
      <c r="AB562" t="s">
        <v>42</v>
      </c>
      <c r="AC562" t="s">
        <v>36</v>
      </c>
    </row>
    <row r="563" spans="1:29" x14ac:dyDescent="0.25">
      <c r="A563">
        <v>593</v>
      </c>
      <c r="B563">
        <v>12040</v>
      </c>
      <c r="C563">
        <v>1925</v>
      </c>
      <c r="D563">
        <f t="shared" si="32"/>
        <v>13965</v>
      </c>
      <c r="E563" t="s">
        <v>49</v>
      </c>
      <c r="F563">
        <v>46</v>
      </c>
      <c r="G563" t="str" cm="1">
        <f t="array" ref="G563">_xlfn.IFS(F563&lt;25,"18-24",F563&lt;35,"25-35",F563&lt;45,"35-44",F563&lt;55,"44-54",F563&gt;=55,"55+")</f>
        <v>44-54</v>
      </c>
      <c r="H563" t="s">
        <v>30</v>
      </c>
      <c r="I563">
        <v>1</v>
      </c>
      <c r="J563" t="str" cm="1">
        <f t="array" ref="J563">_xlfn.IFS(I563&lt;=0,"No Dependents",I563&lt;=1,"One",I563&lt;=2,"Two",I563&gt;=3,"Third")</f>
        <v>One</v>
      </c>
      <c r="K563">
        <v>708</v>
      </c>
      <c r="L563" t="str" cm="1">
        <f t="array" ref="L563">_xlfn.IFS(K563&lt;=580,"Poor",K563&lt;=670,"fair",K563&lt;=740,"Good",K563&lt;=800,"Very Good",K563&gt;=800,"Excellent")</f>
        <v>Good</v>
      </c>
      <c r="M563">
        <v>2</v>
      </c>
      <c r="N563" t="str">
        <f t="shared" si="33"/>
        <v>Yes</v>
      </c>
      <c r="O563">
        <v>0.28000000000000003</v>
      </c>
      <c r="P563" t="str" cm="1">
        <f t="array" ref="P563">_xlfn.IFS(O563&lt;=0.3,"Low Risk",O563&lt;=0.4,"medium Risk",O563&lt;=0.5,"High Risk",O563&gt;0.5,"Very High Risk")</f>
        <v>Low Risk</v>
      </c>
      <c r="Q563">
        <v>10858</v>
      </c>
      <c r="R563">
        <v>9180</v>
      </c>
      <c r="S563" t="str">
        <f t="shared" si="34"/>
        <v>Yes</v>
      </c>
      <c r="T563">
        <v>22996</v>
      </c>
      <c r="U563" t="str" cm="1">
        <f t="array" ref="U563">_xlfn.IFS(T563&lt;5000,"Small",T563&lt;20000,"Medium",T563&lt;35000,"Large",T563&gt;35000,"Very Large")</f>
        <v>Large</v>
      </c>
      <c r="V563">
        <v>36</v>
      </c>
      <c r="W563">
        <f t="shared" si="35"/>
        <v>3</v>
      </c>
      <c r="X563" t="s">
        <v>31</v>
      </c>
      <c r="Y563" t="s">
        <v>32</v>
      </c>
      <c r="Z563" t="s">
        <v>39</v>
      </c>
      <c r="AA563" t="s">
        <v>34</v>
      </c>
      <c r="AB563" t="s">
        <v>51</v>
      </c>
      <c r="AC563" t="s">
        <v>44</v>
      </c>
    </row>
    <row r="564" spans="1:29" x14ac:dyDescent="0.25">
      <c r="A564">
        <v>594</v>
      </c>
      <c r="B564">
        <v>17254</v>
      </c>
      <c r="C564">
        <v>619</v>
      </c>
      <c r="D564">
        <f t="shared" si="32"/>
        <v>17873</v>
      </c>
      <c r="E564" t="s">
        <v>46</v>
      </c>
      <c r="F564">
        <v>23</v>
      </c>
      <c r="G564" t="str" cm="1">
        <f t="array" ref="G564">_xlfn.IFS(F564&lt;25,"18-24",F564&lt;35,"25-35",F564&lt;45,"35-44",F564&lt;55,"44-54",F564&gt;=55,"55+")</f>
        <v>18-24</v>
      </c>
      <c r="H564" t="s">
        <v>30</v>
      </c>
      <c r="I564">
        <v>3</v>
      </c>
      <c r="J564" t="str" cm="1">
        <f t="array" ref="J564">_xlfn.IFS(I564&lt;=0,"No Dependents",I564&lt;=1,"One",I564&lt;=2,"Two",I564&gt;=3,"Third")</f>
        <v>Third</v>
      </c>
      <c r="K564">
        <v>572</v>
      </c>
      <c r="L564" t="str" cm="1">
        <f t="array" ref="L564">_xlfn.IFS(K564&lt;=580,"Poor",K564&lt;=670,"fair",K564&lt;=740,"Good",K564&lt;=800,"Very Good",K564&gt;=800,"Excellent")</f>
        <v>Poor</v>
      </c>
      <c r="M564">
        <v>1</v>
      </c>
      <c r="N564" t="str">
        <f t="shared" si="33"/>
        <v>Yes</v>
      </c>
      <c r="O564">
        <v>0.28999999999999998</v>
      </c>
      <c r="P564" t="str" cm="1">
        <f t="array" ref="P564">_xlfn.IFS(O564&lt;=0.3,"Low Risk",O564&lt;=0.4,"medium Risk",O564&lt;=0.5,"High Risk",O564&gt;0.5,"Very High Risk")</f>
        <v>Low Risk</v>
      </c>
      <c r="Q564">
        <v>4975</v>
      </c>
      <c r="R564">
        <v>9304</v>
      </c>
      <c r="S564" t="str">
        <f t="shared" si="34"/>
        <v>Yes</v>
      </c>
      <c r="T564">
        <v>19161</v>
      </c>
      <c r="U564" t="str" cm="1">
        <f t="array" ref="U564">_xlfn.IFS(T564&lt;5000,"Small",T564&lt;20000,"Medium",T564&lt;35000,"Large",T564&gt;35000,"Very Large")</f>
        <v>Medium</v>
      </c>
      <c r="V564">
        <v>84</v>
      </c>
      <c r="W564">
        <f t="shared" si="35"/>
        <v>7</v>
      </c>
      <c r="X564" t="s">
        <v>47</v>
      </c>
      <c r="Y564" t="s">
        <v>45</v>
      </c>
      <c r="Z564" t="s">
        <v>39</v>
      </c>
      <c r="AA564" t="s">
        <v>40</v>
      </c>
      <c r="AB564" t="s">
        <v>43</v>
      </c>
      <c r="AC564" t="s">
        <v>36</v>
      </c>
    </row>
    <row r="565" spans="1:29" x14ac:dyDescent="0.25">
      <c r="A565">
        <v>595</v>
      </c>
      <c r="B565">
        <v>13470</v>
      </c>
      <c r="C565">
        <v>1274</v>
      </c>
      <c r="D565">
        <f t="shared" si="32"/>
        <v>14744</v>
      </c>
      <c r="E565" t="s">
        <v>46</v>
      </c>
      <c r="F565">
        <v>27</v>
      </c>
      <c r="G565" t="str" cm="1">
        <f t="array" ref="G565">_xlfn.IFS(F565&lt;25,"18-24",F565&lt;35,"25-35",F565&lt;45,"35-44",F565&lt;55,"44-54",F565&gt;=55,"55+")</f>
        <v>25-35</v>
      </c>
      <c r="H565" t="s">
        <v>30</v>
      </c>
      <c r="I565">
        <v>0</v>
      </c>
      <c r="J565" t="str" cm="1">
        <f t="array" ref="J565">_xlfn.IFS(I565&lt;=0,"No Dependents",I565&lt;=1,"One",I565&lt;=2,"Two",I565&gt;=3,"Third")</f>
        <v>No Dependents</v>
      </c>
      <c r="K565">
        <v>597</v>
      </c>
      <c r="L565" t="str" cm="1">
        <f t="array" ref="L565">_xlfn.IFS(K565&lt;=580,"Poor",K565&lt;=670,"fair",K565&lt;=740,"Good",K565&lt;=800,"Very Good",K565&gt;=800,"Excellent")</f>
        <v>fair</v>
      </c>
      <c r="M565">
        <v>4</v>
      </c>
      <c r="N565" t="str">
        <f t="shared" si="33"/>
        <v>Yes</v>
      </c>
      <c r="O565">
        <v>0.37</v>
      </c>
      <c r="P565" t="str" cm="1">
        <f t="array" ref="P565">_xlfn.IFS(O565&lt;=0.3,"Low Risk",O565&lt;=0.4,"medium Risk",O565&lt;=0.5,"High Risk",O565&gt;0.5,"Very High Risk")</f>
        <v>medium Risk</v>
      </c>
      <c r="Q565">
        <v>4925</v>
      </c>
      <c r="R565">
        <v>14610</v>
      </c>
      <c r="S565" t="str">
        <f t="shared" si="34"/>
        <v>Yes</v>
      </c>
      <c r="T565">
        <v>3228</v>
      </c>
      <c r="U565" t="str" cm="1">
        <f t="array" ref="U565">_xlfn.IFS(T565&lt;5000,"Small",T565&lt;20000,"Medium",T565&lt;35000,"Large",T565&gt;35000,"Very Large")</f>
        <v>Small</v>
      </c>
      <c r="V565">
        <v>84</v>
      </c>
      <c r="W565">
        <f t="shared" si="35"/>
        <v>7</v>
      </c>
      <c r="X565" t="s">
        <v>37</v>
      </c>
      <c r="Y565" t="s">
        <v>32</v>
      </c>
      <c r="Z565" t="s">
        <v>39</v>
      </c>
      <c r="AA565" t="s">
        <v>40</v>
      </c>
      <c r="AB565" t="s">
        <v>42</v>
      </c>
      <c r="AC565" t="s">
        <v>36</v>
      </c>
    </row>
    <row r="566" spans="1:29" x14ac:dyDescent="0.25">
      <c r="A566">
        <v>596</v>
      </c>
      <c r="B566">
        <v>3252</v>
      </c>
      <c r="C566">
        <v>956</v>
      </c>
      <c r="D566">
        <f t="shared" si="32"/>
        <v>4208</v>
      </c>
      <c r="E566" t="s">
        <v>29</v>
      </c>
      <c r="F566">
        <v>59</v>
      </c>
      <c r="G566" t="str" cm="1">
        <f t="array" ref="G566">_xlfn.IFS(F566&lt;25,"18-24",F566&lt;35,"25-35",F566&lt;45,"35-44",F566&lt;55,"44-54",F566&gt;=55,"55+")</f>
        <v>55+</v>
      </c>
      <c r="H566" t="s">
        <v>41</v>
      </c>
      <c r="I566">
        <v>3</v>
      </c>
      <c r="J566" t="str" cm="1">
        <f t="array" ref="J566">_xlfn.IFS(I566&lt;=0,"No Dependents",I566&lt;=1,"One",I566&lt;=2,"Two",I566&gt;=3,"Third")</f>
        <v>Third</v>
      </c>
      <c r="K566">
        <v>697</v>
      </c>
      <c r="L566" t="str" cm="1">
        <f t="array" ref="L566">_xlfn.IFS(K566&lt;=580,"Poor",K566&lt;=670,"fair",K566&lt;=740,"Good",K566&lt;=800,"Very Good",K566&gt;=800,"Excellent")</f>
        <v>Good</v>
      </c>
      <c r="M566">
        <v>4</v>
      </c>
      <c r="N566" t="str">
        <f t="shared" si="33"/>
        <v>Yes</v>
      </c>
      <c r="O566">
        <v>0.1</v>
      </c>
      <c r="P566" t="str" cm="1">
        <f t="array" ref="P566">_xlfn.IFS(O566&lt;=0.3,"Low Risk",O566&lt;=0.4,"medium Risk",O566&lt;=0.5,"High Risk",O566&gt;0.5,"Very High Risk")</f>
        <v>Low Risk</v>
      </c>
      <c r="Q566">
        <v>10786</v>
      </c>
      <c r="R566">
        <v>8437</v>
      </c>
      <c r="S566" t="str">
        <f t="shared" si="34"/>
        <v>Yes</v>
      </c>
      <c r="T566">
        <v>27365</v>
      </c>
      <c r="U566" t="str" cm="1">
        <f t="array" ref="U566">_xlfn.IFS(T566&lt;5000,"Small",T566&lt;20000,"Medium",T566&lt;35000,"Large",T566&gt;35000,"Very Large")</f>
        <v>Large</v>
      </c>
      <c r="V566">
        <v>48</v>
      </c>
      <c r="W566">
        <f t="shared" si="35"/>
        <v>4</v>
      </c>
      <c r="X566" t="s">
        <v>31</v>
      </c>
      <c r="Y566" t="s">
        <v>32</v>
      </c>
      <c r="Z566" t="s">
        <v>39</v>
      </c>
      <c r="AA566" t="s">
        <v>40</v>
      </c>
      <c r="AB566" t="s">
        <v>48</v>
      </c>
      <c r="AC566" t="s">
        <v>36</v>
      </c>
    </row>
    <row r="567" spans="1:29" x14ac:dyDescent="0.25">
      <c r="A567">
        <v>597</v>
      </c>
      <c r="B567">
        <v>8996</v>
      </c>
      <c r="C567">
        <v>1939</v>
      </c>
      <c r="D567">
        <f t="shared" si="32"/>
        <v>10935</v>
      </c>
      <c r="E567" t="s">
        <v>29</v>
      </c>
      <c r="F567">
        <v>21</v>
      </c>
      <c r="G567" t="str" cm="1">
        <f t="array" ref="G567">_xlfn.IFS(F567&lt;25,"18-24",F567&lt;35,"25-35",F567&lt;45,"35-44",F567&lt;55,"44-54",F567&gt;=55,"55+")</f>
        <v>18-24</v>
      </c>
      <c r="H567" t="s">
        <v>41</v>
      </c>
      <c r="I567">
        <v>1</v>
      </c>
      <c r="J567" t="str" cm="1">
        <f t="array" ref="J567">_xlfn.IFS(I567&lt;=0,"No Dependents",I567&lt;=1,"One",I567&lt;=2,"Two",I567&gt;=3,"Third")</f>
        <v>One</v>
      </c>
      <c r="K567">
        <v>674</v>
      </c>
      <c r="L567" t="str" cm="1">
        <f t="array" ref="L567">_xlfn.IFS(K567&lt;=580,"Poor",K567&lt;=670,"fair",K567&lt;=740,"Good",K567&lt;=800,"Very Good",K567&gt;=800,"Excellent")</f>
        <v>Good</v>
      </c>
      <c r="M567">
        <v>0</v>
      </c>
      <c r="N567" t="str">
        <f t="shared" si="33"/>
        <v>No</v>
      </c>
      <c r="O567">
        <v>0.22</v>
      </c>
      <c r="P567" t="str" cm="1">
        <f t="array" ref="P567">_xlfn.IFS(O567&lt;=0.3,"Low Risk",O567&lt;=0.4,"medium Risk",O567&lt;=0.5,"High Risk",O567&gt;0.5,"Very High Risk")</f>
        <v>Low Risk</v>
      </c>
      <c r="Q567">
        <v>19814</v>
      </c>
      <c r="R567">
        <v>43118</v>
      </c>
      <c r="S567" t="str">
        <f t="shared" si="34"/>
        <v>Yes</v>
      </c>
      <c r="T567">
        <v>26188</v>
      </c>
      <c r="U567" t="str" cm="1">
        <f t="array" ref="U567">_xlfn.IFS(T567&lt;5000,"Small",T567&lt;20000,"Medium",T567&lt;35000,"Large",T567&gt;35000,"Very Large")</f>
        <v>Large</v>
      </c>
      <c r="V567">
        <v>24</v>
      </c>
      <c r="W567">
        <f t="shared" si="35"/>
        <v>2</v>
      </c>
      <c r="X567" t="s">
        <v>50</v>
      </c>
      <c r="Y567" t="s">
        <v>45</v>
      </c>
      <c r="Z567" t="s">
        <v>33</v>
      </c>
      <c r="AA567" t="s">
        <v>40</v>
      </c>
      <c r="AB567" t="s">
        <v>43</v>
      </c>
      <c r="AC567" t="s">
        <v>36</v>
      </c>
    </row>
    <row r="568" spans="1:29" x14ac:dyDescent="0.25">
      <c r="A568">
        <v>598</v>
      </c>
      <c r="B568">
        <v>14173</v>
      </c>
      <c r="C568">
        <v>3953</v>
      </c>
      <c r="D568">
        <f t="shared" si="32"/>
        <v>18126</v>
      </c>
      <c r="E568" t="s">
        <v>29</v>
      </c>
      <c r="F568">
        <v>37</v>
      </c>
      <c r="G568" t="str" cm="1">
        <f t="array" ref="G568">_xlfn.IFS(F568&lt;25,"18-24",F568&lt;35,"25-35",F568&lt;45,"35-44",F568&lt;55,"44-54",F568&gt;=55,"55+")</f>
        <v>35-44</v>
      </c>
      <c r="H568" t="s">
        <v>30</v>
      </c>
      <c r="I568">
        <v>3</v>
      </c>
      <c r="J568" t="str" cm="1">
        <f t="array" ref="J568">_xlfn.IFS(I568&lt;=0,"No Dependents",I568&lt;=1,"One",I568&lt;=2,"Two",I568&gt;=3,"Third")</f>
        <v>Third</v>
      </c>
      <c r="K568">
        <v>715</v>
      </c>
      <c r="L568" t="str" cm="1">
        <f t="array" ref="L568">_xlfn.IFS(K568&lt;=580,"Poor",K568&lt;=670,"fair",K568&lt;=740,"Good",K568&lt;=800,"Very Good",K568&gt;=800,"Excellent")</f>
        <v>Good</v>
      </c>
      <c r="M568">
        <v>2</v>
      </c>
      <c r="N568" t="str">
        <f t="shared" si="33"/>
        <v>Yes</v>
      </c>
      <c r="O568">
        <v>0.2</v>
      </c>
      <c r="P568" t="str" cm="1">
        <f t="array" ref="P568">_xlfn.IFS(O568&lt;=0.3,"Low Risk",O568&lt;=0.4,"medium Risk",O568&lt;=0.5,"High Risk",O568&gt;0.5,"Very High Risk")</f>
        <v>Low Risk</v>
      </c>
      <c r="Q568">
        <v>14716</v>
      </c>
      <c r="R568">
        <v>12521</v>
      </c>
      <c r="S568" t="str">
        <f t="shared" si="34"/>
        <v>Yes</v>
      </c>
      <c r="T568">
        <v>9888</v>
      </c>
      <c r="U568" t="str" cm="1">
        <f t="array" ref="U568">_xlfn.IFS(T568&lt;5000,"Small",T568&lt;20000,"Medium",T568&lt;35000,"Large",T568&gt;35000,"Very Large")</f>
        <v>Medium</v>
      </c>
      <c r="V568">
        <v>48</v>
      </c>
      <c r="W568">
        <f t="shared" si="35"/>
        <v>4</v>
      </c>
      <c r="X568" t="s">
        <v>37</v>
      </c>
      <c r="Y568" t="s">
        <v>32</v>
      </c>
      <c r="Z568" t="s">
        <v>39</v>
      </c>
      <c r="AA568" t="s">
        <v>40</v>
      </c>
      <c r="AB568" t="s">
        <v>35</v>
      </c>
      <c r="AC568" t="s">
        <v>44</v>
      </c>
    </row>
    <row r="569" spans="1:29" x14ac:dyDescent="0.25">
      <c r="A569">
        <v>599</v>
      </c>
      <c r="B569">
        <v>6673</v>
      </c>
      <c r="C569">
        <v>968</v>
      </c>
      <c r="D569">
        <f t="shared" si="32"/>
        <v>7641</v>
      </c>
      <c r="E569" t="s">
        <v>29</v>
      </c>
      <c r="F569">
        <v>45</v>
      </c>
      <c r="G569" t="str" cm="1">
        <f t="array" ref="G569">_xlfn.IFS(F569&lt;25,"18-24",F569&lt;35,"25-35",F569&lt;45,"35-44",F569&lt;55,"44-54",F569&gt;=55,"55+")</f>
        <v>44-54</v>
      </c>
      <c r="H569" t="s">
        <v>30</v>
      </c>
      <c r="I569">
        <v>0</v>
      </c>
      <c r="J569" t="str" cm="1">
        <f t="array" ref="J569">_xlfn.IFS(I569&lt;=0,"No Dependents",I569&lt;=1,"One",I569&lt;=2,"Two",I569&gt;=3,"Third")</f>
        <v>No Dependents</v>
      </c>
      <c r="K569">
        <v>550</v>
      </c>
      <c r="L569" t="str" cm="1">
        <f t="array" ref="L569">_xlfn.IFS(K569&lt;=580,"Poor",K569&lt;=670,"fair",K569&lt;=740,"Good",K569&lt;=800,"Very Good",K569&gt;=800,"Excellent")</f>
        <v>Poor</v>
      </c>
      <c r="M569">
        <v>1</v>
      </c>
      <c r="N569" t="str">
        <f t="shared" si="33"/>
        <v>Yes</v>
      </c>
      <c r="O569">
        <v>0.23</v>
      </c>
      <c r="P569" t="str" cm="1">
        <f t="array" ref="P569">_xlfn.IFS(O569&lt;=0.3,"Low Risk",O569&lt;=0.4,"medium Risk",O569&lt;=0.5,"High Risk",O569&gt;0.5,"Very High Risk")</f>
        <v>Low Risk</v>
      </c>
      <c r="Q569">
        <v>1995</v>
      </c>
      <c r="R569">
        <v>24028</v>
      </c>
      <c r="S569" t="str">
        <f t="shared" si="34"/>
        <v>Yes</v>
      </c>
      <c r="T569">
        <v>24130</v>
      </c>
      <c r="U569" t="str" cm="1">
        <f t="array" ref="U569">_xlfn.IFS(T569&lt;5000,"Small",T569&lt;20000,"Medium",T569&lt;35000,"Large",T569&gt;35000,"Very Large")</f>
        <v>Large</v>
      </c>
      <c r="V569">
        <v>84</v>
      </c>
      <c r="W569">
        <f t="shared" si="35"/>
        <v>7</v>
      </c>
      <c r="X569" t="s">
        <v>37</v>
      </c>
      <c r="Y569" t="s">
        <v>45</v>
      </c>
      <c r="Z569" t="s">
        <v>39</v>
      </c>
      <c r="AA569" t="s">
        <v>34</v>
      </c>
      <c r="AB569" t="s">
        <v>48</v>
      </c>
      <c r="AC569" t="s">
        <v>36</v>
      </c>
    </row>
    <row r="570" spans="1:29" x14ac:dyDescent="0.25">
      <c r="A570">
        <v>600</v>
      </c>
      <c r="B570">
        <v>17781</v>
      </c>
      <c r="C570">
        <v>9508</v>
      </c>
      <c r="D570">
        <f t="shared" si="32"/>
        <v>27289</v>
      </c>
      <c r="E570" t="s">
        <v>46</v>
      </c>
      <c r="F570">
        <v>23</v>
      </c>
      <c r="G570" t="str" cm="1">
        <f t="array" ref="G570">_xlfn.IFS(F570&lt;25,"18-24",F570&lt;35,"25-35",F570&lt;45,"35-44",F570&lt;55,"44-54",F570&gt;=55,"55+")</f>
        <v>18-24</v>
      </c>
      <c r="H570" t="s">
        <v>41</v>
      </c>
      <c r="I570">
        <v>3</v>
      </c>
      <c r="J570" t="str" cm="1">
        <f t="array" ref="J570">_xlfn.IFS(I570&lt;=0,"No Dependents",I570&lt;=1,"One",I570&lt;=2,"Two",I570&gt;=3,"Third")</f>
        <v>Third</v>
      </c>
      <c r="K570">
        <v>550</v>
      </c>
      <c r="L570" t="str" cm="1">
        <f t="array" ref="L570">_xlfn.IFS(K570&lt;=580,"Poor",K570&lt;=670,"fair",K570&lt;=740,"Good",K570&lt;=800,"Very Good",K570&gt;=800,"Excellent")</f>
        <v>Poor</v>
      </c>
      <c r="M570">
        <v>3</v>
      </c>
      <c r="N570" t="str">
        <f t="shared" si="33"/>
        <v>Yes</v>
      </c>
      <c r="O570">
        <v>0.5</v>
      </c>
      <c r="P570" t="str" cm="1">
        <f t="array" ref="P570">_xlfn.IFS(O570&lt;=0.3,"Low Risk",O570&lt;=0.4,"medium Risk",O570&lt;=0.5,"High Risk",O570&gt;0.5,"Very High Risk")</f>
        <v>High Risk</v>
      </c>
      <c r="Q570">
        <v>13844</v>
      </c>
      <c r="R570">
        <v>0</v>
      </c>
      <c r="S570" t="str">
        <f t="shared" si="34"/>
        <v>No</v>
      </c>
      <c r="T570">
        <v>19790</v>
      </c>
      <c r="U570" t="str" cm="1">
        <f t="array" ref="U570">_xlfn.IFS(T570&lt;5000,"Small",T570&lt;20000,"Medium",T570&lt;35000,"Large",T570&gt;35000,"Very Large")</f>
        <v>Medium</v>
      </c>
      <c r="V570">
        <v>36</v>
      </c>
      <c r="W570">
        <f t="shared" si="35"/>
        <v>3</v>
      </c>
      <c r="X570" t="s">
        <v>42</v>
      </c>
      <c r="Y570" t="s">
        <v>45</v>
      </c>
      <c r="Z570" t="s">
        <v>39</v>
      </c>
      <c r="AA570" t="s">
        <v>34</v>
      </c>
      <c r="AB570" t="s">
        <v>51</v>
      </c>
      <c r="AC570" t="s">
        <v>36</v>
      </c>
    </row>
    <row r="571" spans="1:29" x14ac:dyDescent="0.25">
      <c r="A571">
        <v>601</v>
      </c>
      <c r="B571">
        <v>15051</v>
      </c>
      <c r="C571">
        <v>9235</v>
      </c>
      <c r="D571">
        <f t="shared" si="32"/>
        <v>24286</v>
      </c>
      <c r="E571" t="s">
        <v>49</v>
      </c>
      <c r="F571">
        <v>35</v>
      </c>
      <c r="G571" t="str" cm="1">
        <f t="array" ref="G571">_xlfn.IFS(F571&lt;25,"18-24",F571&lt;35,"25-35",F571&lt;45,"35-44",F571&lt;55,"44-54",F571&gt;=55,"55+")</f>
        <v>35-44</v>
      </c>
      <c r="H571" t="s">
        <v>30</v>
      </c>
      <c r="I571">
        <v>0</v>
      </c>
      <c r="J571" t="str" cm="1">
        <f t="array" ref="J571">_xlfn.IFS(I571&lt;=0,"No Dependents",I571&lt;=1,"One",I571&lt;=2,"Two",I571&gt;=3,"Third")</f>
        <v>No Dependents</v>
      </c>
      <c r="K571">
        <v>756</v>
      </c>
      <c r="L571" t="str" cm="1">
        <f t="array" ref="L571">_xlfn.IFS(K571&lt;=580,"Poor",K571&lt;=670,"fair",K571&lt;=740,"Good",K571&lt;=800,"Very Good",K571&gt;=800,"Excellent")</f>
        <v>Very Good</v>
      </c>
      <c r="M571">
        <v>2</v>
      </c>
      <c r="N571" t="str">
        <f t="shared" si="33"/>
        <v>Yes</v>
      </c>
      <c r="O571">
        <v>0.24</v>
      </c>
      <c r="P571" t="str" cm="1">
        <f t="array" ref="P571">_xlfn.IFS(O571&lt;=0.3,"Low Risk",O571&lt;=0.4,"medium Risk",O571&lt;=0.5,"High Risk",O571&gt;0.5,"Very High Risk")</f>
        <v>Low Risk</v>
      </c>
      <c r="Q571">
        <v>3891</v>
      </c>
      <c r="R571">
        <v>27301</v>
      </c>
      <c r="S571" t="str">
        <f t="shared" si="34"/>
        <v>Yes</v>
      </c>
      <c r="T571">
        <v>25824</v>
      </c>
      <c r="U571" t="str" cm="1">
        <f t="array" ref="U571">_xlfn.IFS(T571&lt;5000,"Small",T571&lt;20000,"Medium",T571&lt;35000,"Large",T571&gt;35000,"Very Large")</f>
        <v>Large</v>
      </c>
      <c r="V571">
        <v>84</v>
      </c>
      <c r="W571">
        <f t="shared" si="35"/>
        <v>7</v>
      </c>
      <c r="X571" t="s">
        <v>50</v>
      </c>
      <c r="Y571" t="s">
        <v>32</v>
      </c>
      <c r="Z571" t="s">
        <v>39</v>
      </c>
      <c r="AA571" t="s">
        <v>40</v>
      </c>
      <c r="AB571" t="s">
        <v>35</v>
      </c>
      <c r="AC571" t="s">
        <v>44</v>
      </c>
    </row>
    <row r="572" spans="1:29" x14ac:dyDescent="0.25">
      <c r="A572">
        <v>602</v>
      </c>
      <c r="B572">
        <v>8881</v>
      </c>
      <c r="C572">
        <v>281</v>
      </c>
      <c r="D572">
        <f t="shared" si="32"/>
        <v>9162</v>
      </c>
      <c r="E572" t="s">
        <v>52</v>
      </c>
      <c r="F572">
        <v>49</v>
      </c>
      <c r="G572" t="str" cm="1">
        <f t="array" ref="G572">_xlfn.IFS(F572&lt;25,"18-24",F572&lt;35,"25-35",F572&lt;45,"35-44",F572&lt;55,"44-54",F572&gt;=55,"55+")</f>
        <v>44-54</v>
      </c>
      <c r="H572" t="s">
        <v>30</v>
      </c>
      <c r="I572">
        <v>0</v>
      </c>
      <c r="J572" t="str" cm="1">
        <f t="array" ref="J572">_xlfn.IFS(I572&lt;=0,"No Dependents",I572&lt;=1,"One",I572&lt;=2,"Two",I572&gt;=3,"Third")</f>
        <v>No Dependents</v>
      </c>
      <c r="K572">
        <v>637</v>
      </c>
      <c r="L572" t="str" cm="1">
        <f t="array" ref="L572">_xlfn.IFS(K572&lt;=580,"Poor",K572&lt;=670,"fair",K572&lt;=740,"Good",K572&lt;=800,"Very Good",K572&gt;=800,"Excellent")</f>
        <v>fair</v>
      </c>
      <c r="M572">
        <v>0</v>
      </c>
      <c r="N572" t="str">
        <f t="shared" si="33"/>
        <v>No</v>
      </c>
      <c r="O572">
        <v>0.2</v>
      </c>
      <c r="P572" t="str" cm="1">
        <f t="array" ref="P572">_xlfn.IFS(O572&lt;=0.3,"Low Risk",O572&lt;=0.4,"medium Risk",O572&lt;=0.5,"High Risk",O572&gt;0.5,"Very High Risk")</f>
        <v>Low Risk</v>
      </c>
      <c r="Q572">
        <v>15522</v>
      </c>
      <c r="R572">
        <v>38015</v>
      </c>
      <c r="S572" t="str">
        <f t="shared" si="34"/>
        <v>Yes</v>
      </c>
      <c r="T572">
        <v>34405</v>
      </c>
      <c r="U572" t="str" cm="1">
        <f t="array" ref="U572">_xlfn.IFS(T572&lt;5000,"Small",T572&lt;20000,"Medium",T572&lt;35000,"Large",T572&gt;35000,"Very Large")</f>
        <v>Large</v>
      </c>
      <c r="V572">
        <v>12</v>
      </c>
      <c r="W572">
        <f t="shared" si="35"/>
        <v>1</v>
      </c>
      <c r="X572" t="s">
        <v>42</v>
      </c>
      <c r="Y572" t="s">
        <v>45</v>
      </c>
      <c r="Z572" t="s">
        <v>39</v>
      </c>
      <c r="AA572" t="s">
        <v>40</v>
      </c>
      <c r="AB572" t="s">
        <v>48</v>
      </c>
      <c r="AC572" t="s">
        <v>36</v>
      </c>
    </row>
    <row r="573" spans="1:29" x14ac:dyDescent="0.25">
      <c r="A573">
        <v>603</v>
      </c>
      <c r="B573">
        <v>8949</v>
      </c>
      <c r="C573">
        <v>6262</v>
      </c>
      <c r="D573">
        <f t="shared" si="32"/>
        <v>15211</v>
      </c>
      <c r="E573" t="s">
        <v>49</v>
      </c>
      <c r="F573">
        <v>52</v>
      </c>
      <c r="G573" t="str" cm="1">
        <f t="array" ref="G573">_xlfn.IFS(F573&lt;25,"18-24",F573&lt;35,"25-35",F573&lt;45,"35-44",F573&lt;55,"44-54",F573&gt;=55,"55+")</f>
        <v>44-54</v>
      </c>
      <c r="H573" t="s">
        <v>30</v>
      </c>
      <c r="I573">
        <v>0</v>
      </c>
      <c r="J573" t="str" cm="1">
        <f t="array" ref="J573">_xlfn.IFS(I573&lt;=0,"No Dependents",I573&lt;=1,"One",I573&lt;=2,"Two",I573&gt;=3,"Third")</f>
        <v>No Dependents</v>
      </c>
      <c r="K573">
        <v>766</v>
      </c>
      <c r="L573" t="str" cm="1">
        <f t="array" ref="L573">_xlfn.IFS(K573&lt;=580,"Poor",K573&lt;=670,"fair",K573&lt;=740,"Good",K573&lt;=800,"Very Good",K573&gt;=800,"Excellent")</f>
        <v>Very Good</v>
      </c>
      <c r="M573">
        <v>4</v>
      </c>
      <c r="N573" t="str">
        <f t="shared" si="33"/>
        <v>Yes</v>
      </c>
      <c r="O573">
        <v>0.35</v>
      </c>
      <c r="P573" t="str" cm="1">
        <f t="array" ref="P573">_xlfn.IFS(O573&lt;=0.3,"Low Risk",O573&lt;=0.4,"medium Risk",O573&lt;=0.5,"High Risk",O573&gt;0.5,"Very High Risk")</f>
        <v>medium Risk</v>
      </c>
      <c r="Q573">
        <v>7145</v>
      </c>
      <c r="R573">
        <v>21740</v>
      </c>
      <c r="S573" t="str">
        <f t="shared" si="34"/>
        <v>Yes</v>
      </c>
      <c r="T573">
        <v>25474</v>
      </c>
      <c r="U573" t="str" cm="1">
        <f t="array" ref="U573">_xlfn.IFS(T573&lt;5000,"Small",T573&lt;20000,"Medium",T573&lt;35000,"Large",T573&gt;35000,"Very Large")</f>
        <v>Large</v>
      </c>
      <c r="V573">
        <v>24</v>
      </c>
      <c r="W573">
        <f t="shared" si="35"/>
        <v>2</v>
      </c>
      <c r="X573" t="s">
        <v>50</v>
      </c>
      <c r="Y573" t="s">
        <v>45</v>
      </c>
      <c r="Z573" t="s">
        <v>39</v>
      </c>
      <c r="AA573" t="s">
        <v>34</v>
      </c>
      <c r="AB573" t="s">
        <v>35</v>
      </c>
      <c r="AC573" t="s">
        <v>44</v>
      </c>
    </row>
    <row r="574" spans="1:29" x14ac:dyDescent="0.25">
      <c r="A574">
        <v>604</v>
      </c>
      <c r="B574">
        <v>11521</v>
      </c>
      <c r="C574">
        <v>1058</v>
      </c>
      <c r="D574">
        <f t="shared" si="32"/>
        <v>12579</v>
      </c>
      <c r="E574" t="s">
        <v>48</v>
      </c>
      <c r="F574">
        <v>46</v>
      </c>
      <c r="G574" t="str" cm="1">
        <f t="array" ref="G574">_xlfn.IFS(F574&lt;25,"18-24",F574&lt;35,"25-35",F574&lt;45,"35-44",F574&lt;55,"44-54",F574&gt;=55,"55+")</f>
        <v>44-54</v>
      </c>
      <c r="H574" t="s">
        <v>30</v>
      </c>
      <c r="I574">
        <v>1</v>
      </c>
      <c r="J574" t="str" cm="1">
        <f t="array" ref="J574">_xlfn.IFS(I574&lt;=0,"No Dependents",I574&lt;=1,"One",I574&lt;=2,"Two",I574&gt;=3,"Third")</f>
        <v>One</v>
      </c>
      <c r="K574">
        <v>550</v>
      </c>
      <c r="L574" t="str" cm="1">
        <f t="array" ref="L574">_xlfn.IFS(K574&lt;=580,"Poor",K574&lt;=670,"fair",K574&lt;=740,"Good",K574&lt;=800,"Very Good",K574&gt;=800,"Excellent")</f>
        <v>Poor</v>
      </c>
      <c r="M574">
        <v>1</v>
      </c>
      <c r="N574" t="str">
        <f t="shared" si="33"/>
        <v>Yes</v>
      </c>
      <c r="O574">
        <v>0.53</v>
      </c>
      <c r="P574" t="str" cm="1">
        <f t="array" ref="P574">_xlfn.IFS(O574&lt;=0.3,"Low Risk",O574&lt;=0.4,"medium Risk",O574&lt;=0.5,"High Risk",O574&gt;0.5,"Very High Risk")</f>
        <v>Very High Risk</v>
      </c>
      <c r="Q574">
        <v>8498</v>
      </c>
      <c r="R574">
        <v>36845</v>
      </c>
      <c r="S574" t="str">
        <f t="shared" si="34"/>
        <v>Yes</v>
      </c>
      <c r="T574">
        <v>18333</v>
      </c>
      <c r="U574" t="str" cm="1">
        <f t="array" ref="U574">_xlfn.IFS(T574&lt;5000,"Small",T574&lt;20000,"Medium",T574&lt;35000,"Large",T574&gt;35000,"Very Large")</f>
        <v>Medium</v>
      </c>
      <c r="V574">
        <v>24</v>
      </c>
      <c r="W574">
        <f t="shared" si="35"/>
        <v>2</v>
      </c>
      <c r="X574" t="s">
        <v>37</v>
      </c>
      <c r="Y574" t="s">
        <v>32</v>
      </c>
      <c r="Z574" t="s">
        <v>39</v>
      </c>
      <c r="AA574" t="s">
        <v>40</v>
      </c>
      <c r="AB574" t="s">
        <v>35</v>
      </c>
      <c r="AC574" t="s">
        <v>36</v>
      </c>
    </row>
    <row r="575" spans="1:29" x14ac:dyDescent="0.25">
      <c r="A575">
        <v>605</v>
      </c>
      <c r="B575">
        <v>10017</v>
      </c>
      <c r="C575">
        <v>4293</v>
      </c>
      <c r="D575">
        <f t="shared" si="32"/>
        <v>14310</v>
      </c>
      <c r="E575" t="s">
        <v>49</v>
      </c>
      <c r="F575">
        <v>40</v>
      </c>
      <c r="G575" t="str" cm="1">
        <f t="array" ref="G575">_xlfn.IFS(F575&lt;25,"18-24",F575&lt;35,"25-35",F575&lt;45,"35-44",F575&lt;55,"44-54",F575&gt;=55,"55+")</f>
        <v>35-44</v>
      </c>
      <c r="H575" t="s">
        <v>30</v>
      </c>
      <c r="I575">
        <v>3</v>
      </c>
      <c r="J575" t="str" cm="1">
        <f t="array" ref="J575">_xlfn.IFS(I575&lt;=0,"No Dependents",I575&lt;=1,"One",I575&lt;=2,"Two",I575&gt;=3,"Third")</f>
        <v>Third</v>
      </c>
      <c r="K575">
        <v>684</v>
      </c>
      <c r="L575" t="str" cm="1">
        <f t="array" ref="L575">_xlfn.IFS(K575&lt;=580,"Poor",K575&lt;=670,"fair",K575&lt;=740,"Good",K575&lt;=800,"Very Good",K575&gt;=800,"Excellent")</f>
        <v>Good</v>
      </c>
      <c r="M575">
        <v>2</v>
      </c>
      <c r="N575" t="str">
        <f t="shared" si="33"/>
        <v>Yes</v>
      </c>
      <c r="O575">
        <v>0.22</v>
      </c>
      <c r="P575" t="str" cm="1">
        <f t="array" ref="P575">_xlfn.IFS(O575&lt;=0.3,"Low Risk",O575&lt;=0.4,"medium Risk",O575&lt;=0.5,"High Risk",O575&gt;0.5,"Very High Risk")</f>
        <v>Low Risk</v>
      </c>
      <c r="Q575">
        <v>9554</v>
      </c>
      <c r="R575">
        <v>21282</v>
      </c>
      <c r="S575" t="str">
        <f t="shared" si="34"/>
        <v>Yes</v>
      </c>
      <c r="T575">
        <v>37355</v>
      </c>
      <c r="U575" t="str" cm="1">
        <f t="array" ref="U575">_xlfn.IFS(T575&lt;5000,"Small",T575&lt;20000,"Medium",T575&lt;35000,"Large",T575&gt;35000,"Very Large")</f>
        <v>Very Large</v>
      </c>
      <c r="V575">
        <v>12</v>
      </c>
      <c r="W575">
        <f t="shared" si="35"/>
        <v>1</v>
      </c>
      <c r="X575" t="s">
        <v>42</v>
      </c>
      <c r="Y575" t="s">
        <v>32</v>
      </c>
      <c r="Z575" t="s">
        <v>39</v>
      </c>
      <c r="AA575" t="s">
        <v>40</v>
      </c>
      <c r="AB575" t="s">
        <v>42</v>
      </c>
      <c r="AC575" t="s">
        <v>44</v>
      </c>
    </row>
    <row r="576" spans="1:29" x14ac:dyDescent="0.25">
      <c r="A576">
        <v>606</v>
      </c>
      <c r="B576">
        <v>8941</v>
      </c>
      <c r="C576">
        <v>5178</v>
      </c>
      <c r="D576">
        <f t="shared" si="32"/>
        <v>14119</v>
      </c>
      <c r="E576" t="s">
        <v>52</v>
      </c>
      <c r="F576">
        <v>45</v>
      </c>
      <c r="G576" t="str" cm="1">
        <f t="array" ref="G576">_xlfn.IFS(F576&lt;25,"18-24",F576&lt;35,"25-35",F576&lt;45,"35-44",F576&lt;55,"44-54",F576&gt;=55,"55+")</f>
        <v>44-54</v>
      </c>
      <c r="H576" t="s">
        <v>30</v>
      </c>
      <c r="I576">
        <v>1</v>
      </c>
      <c r="J576" t="str" cm="1">
        <f t="array" ref="J576">_xlfn.IFS(I576&lt;=0,"No Dependents",I576&lt;=1,"One",I576&lt;=2,"Two",I576&gt;=3,"Third")</f>
        <v>One</v>
      </c>
      <c r="K576">
        <v>734</v>
      </c>
      <c r="L576" t="str" cm="1">
        <f t="array" ref="L576">_xlfn.IFS(K576&lt;=580,"Poor",K576&lt;=670,"fair",K576&lt;=740,"Good",K576&lt;=800,"Very Good",K576&gt;=800,"Excellent")</f>
        <v>Good</v>
      </c>
      <c r="M576">
        <v>3</v>
      </c>
      <c r="N576" t="str">
        <f t="shared" si="33"/>
        <v>Yes</v>
      </c>
      <c r="O576">
        <v>0.14000000000000001</v>
      </c>
      <c r="P576" t="str" cm="1">
        <f t="array" ref="P576">_xlfn.IFS(O576&lt;=0.3,"Low Risk",O576&lt;=0.4,"medium Risk",O576&lt;=0.5,"High Risk",O576&gt;0.5,"Very High Risk")</f>
        <v>Low Risk</v>
      </c>
      <c r="Q576">
        <v>2102</v>
      </c>
      <c r="R576">
        <v>10858</v>
      </c>
      <c r="S576" t="str">
        <f t="shared" si="34"/>
        <v>Yes</v>
      </c>
      <c r="T576">
        <v>34879</v>
      </c>
      <c r="U576" t="str" cm="1">
        <f t="array" ref="U576">_xlfn.IFS(T576&lt;5000,"Small",T576&lt;20000,"Medium",T576&lt;35000,"Large",T576&gt;35000,"Very Large")</f>
        <v>Large</v>
      </c>
      <c r="V576">
        <v>48</v>
      </c>
      <c r="W576">
        <f t="shared" si="35"/>
        <v>4</v>
      </c>
      <c r="X576" t="s">
        <v>31</v>
      </c>
      <c r="Y576" t="s">
        <v>32</v>
      </c>
      <c r="Z576" t="s">
        <v>39</v>
      </c>
      <c r="AA576" t="s">
        <v>40</v>
      </c>
      <c r="AB576" t="s">
        <v>35</v>
      </c>
      <c r="AC576" t="s">
        <v>44</v>
      </c>
    </row>
    <row r="577" spans="1:29" x14ac:dyDescent="0.25">
      <c r="A577">
        <v>607</v>
      </c>
      <c r="B577">
        <v>12209</v>
      </c>
      <c r="C577">
        <v>6980</v>
      </c>
      <c r="D577">
        <f t="shared" si="32"/>
        <v>19189</v>
      </c>
      <c r="E577" t="s">
        <v>46</v>
      </c>
      <c r="F577">
        <v>48</v>
      </c>
      <c r="G577" t="str" cm="1">
        <f t="array" ref="G577">_xlfn.IFS(F577&lt;25,"18-24",F577&lt;35,"25-35",F577&lt;45,"35-44",F577&lt;55,"44-54",F577&gt;=55,"55+")</f>
        <v>44-54</v>
      </c>
      <c r="H577" t="s">
        <v>30</v>
      </c>
      <c r="I577">
        <v>3</v>
      </c>
      <c r="J577" t="str" cm="1">
        <f t="array" ref="J577">_xlfn.IFS(I577&lt;=0,"No Dependents",I577&lt;=1,"One",I577&lt;=2,"Two",I577&gt;=3,"Third")</f>
        <v>Third</v>
      </c>
      <c r="K577">
        <v>550</v>
      </c>
      <c r="L577" t="str" cm="1">
        <f t="array" ref="L577">_xlfn.IFS(K577&lt;=580,"Poor",K577&lt;=670,"fair",K577&lt;=740,"Good",K577&lt;=800,"Very Good",K577&gt;=800,"Excellent")</f>
        <v>Poor</v>
      </c>
      <c r="M577">
        <v>0</v>
      </c>
      <c r="N577" t="str">
        <f t="shared" si="33"/>
        <v>No</v>
      </c>
      <c r="O577">
        <v>0.28000000000000003</v>
      </c>
      <c r="P577" t="str" cm="1">
        <f t="array" ref="P577">_xlfn.IFS(O577&lt;=0.3,"Low Risk",O577&lt;=0.4,"medium Risk",O577&lt;=0.5,"High Risk",O577&gt;0.5,"Very High Risk")</f>
        <v>Low Risk</v>
      </c>
      <c r="Q577">
        <v>3030</v>
      </c>
      <c r="R577">
        <v>44159</v>
      </c>
      <c r="S577" t="str">
        <f t="shared" si="34"/>
        <v>Yes</v>
      </c>
      <c r="T577">
        <v>9367</v>
      </c>
      <c r="U577" t="str" cm="1">
        <f t="array" ref="U577">_xlfn.IFS(T577&lt;5000,"Small",T577&lt;20000,"Medium",T577&lt;35000,"Large",T577&gt;35000,"Very Large")</f>
        <v>Medium</v>
      </c>
      <c r="V577">
        <v>84</v>
      </c>
      <c r="W577">
        <f t="shared" si="35"/>
        <v>7</v>
      </c>
      <c r="X577" t="s">
        <v>50</v>
      </c>
      <c r="Y577" t="s">
        <v>32</v>
      </c>
      <c r="Z577" t="s">
        <v>33</v>
      </c>
      <c r="AA577" t="s">
        <v>40</v>
      </c>
      <c r="AB577" t="s">
        <v>42</v>
      </c>
      <c r="AC577" t="s">
        <v>36</v>
      </c>
    </row>
    <row r="578" spans="1:29" x14ac:dyDescent="0.25">
      <c r="A578">
        <v>608</v>
      </c>
      <c r="B578">
        <v>19715</v>
      </c>
      <c r="C578">
        <v>9200</v>
      </c>
      <c r="D578">
        <f t="shared" si="32"/>
        <v>28915</v>
      </c>
      <c r="E578" t="s">
        <v>29</v>
      </c>
      <c r="F578">
        <v>29</v>
      </c>
      <c r="G578" t="str" cm="1">
        <f t="array" ref="G578">_xlfn.IFS(F578&lt;25,"18-24",F578&lt;35,"25-35",F578&lt;45,"35-44",F578&lt;55,"44-54",F578&gt;=55,"55+")</f>
        <v>25-35</v>
      </c>
      <c r="H578" t="s">
        <v>30</v>
      </c>
      <c r="I578">
        <v>1</v>
      </c>
      <c r="J578" t="str" cm="1">
        <f t="array" ref="J578">_xlfn.IFS(I578&lt;=0,"No Dependents",I578&lt;=1,"One",I578&lt;=2,"Two",I578&gt;=3,"Third")</f>
        <v>One</v>
      </c>
      <c r="K578">
        <v>689</v>
      </c>
      <c r="L578" t="str" cm="1">
        <f t="array" ref="L578">_xlfn.IFS(K578&lt;=580,"Poor",K578&lt;=670,"fair",K578&lt;=740,"Good",K578&lt;=800,"Very Good",K578&gt;=800,"Excellent")</f>
        <v>Good</v>
      </c>
      <c r="M578">
        <v>0</v>
      </c>
      <c r="N578" t="str">
        <f t="shared" si="33"/>
        <v>No</v>
      </c>
      <c r="O578">
        <v>0.35</v>
      </c>
      <c r="P578" t="str" cm="1">
        <f t="array" ref="P578">_xlfn.IFS(O578&lt;=0.3,"Low Risk",O578&lt;=0.4,"medium Risk",O578&lt;=0.5,"High Risk",O578&gt;0.5,"Very High Risk")</f>
        <v>medium Risk</v>
      </c>
      <c r="Q578">
        <v>8524</v>
      </c>
      <c r="R578">
        <v>43714</v>
      </c>
      <c r="S578" t="str">
        <f t="shared" si="34"/>
        <v>Yes</v>
      </c>
      <c r="T578">
        <v>1722</v>
      </c>
      <c r="U578" t="str" cm="1">
        <f t="array" ref="U578">_xlfn.IFS(T578&lt;5000,"Small",T578&lt;20000,"Medium",T578&lt;35000,"Large",T578&gt;35000,"Very Large")</f>
        <v>Small</v>
      </c>
      <c r="V578">
        <v>84</v>
      </c>
      <c r="W578">
        <f t="shared" si="35"/>
        <v>7</v>
      </c>
      <c r="X578" t="s">
        <v>37</v>
      </c>
      <c r="Y578" t="s">
        <v>38</v>
      </c>
      <c r="Z578" t="s">
        <v>39</v>
      </c>
      <c r="AA578" t="s">
        <v>40</v>
      </c>
      <c r="AB578" t="s">
        <v>35</v>
      </c>
      <c r="AC578" t="s">
        <v>36</v>
      </c>
    </row>
    <row r="579" spans="1:29" x14ac:dyDescent="0.25">
      <c r="A579">
        <v>610</v>
      </c>
      <c r="B579">
        <v>6637</v>
      </c>
      <c r="C579">
        <v>9227</v>
      </c>
      <c r="D579">
        <f t="shared" ref="D579:D642" si="36">B579+C579</f>
        <v>15864</v>
      </c>
      <c r="E579" t="s">
        <v>29</v>
      </c>
      <c r="F579">
        <v>49</v>
      </c>
      <c r="G579" t="str" cm="1">
        <f t="array" ref="G579">_xlfn.IFS(F579&lt;25,"18-24",F579&lt;35,"25-35",F579&lt;45,"35-44",F579&lt;55,"44-54",F579&gt;=55,"55+")</f>
        <v>44-54</v>
      </c>
      <c r="H579" t="s">
        <v>30</v>
      </c>
      <c r="I579">
        <v>0</v>
      </c>
      <c r="J579" t="str" cm="1">
        <f t="array" ref="J579">_xlfn.IFS(I579&lt;=0,"No Dependents",I579&lt;=1,"One",I579&lt;=2,"Two",I579&gt;=3,"Third")</f>
        <v>No Dependents</v>
      </c>
      <c r="K579">
        <v>682</v>
      </c>
      <c r="L579" t="str" cm="1">
        <f t="array" ref="L579">_xlfn.IFS(K579&lt;=580,"Poor",K579&lt;=670,"fair",K579&lt;=740,"Good",K579&lt;=800,"Very Good",K579&gt;=800,"Excellent")</f>
        <v>Good</v>
      </c>
      <c r="M579">
        <v>3</v>
      </c>
      <c r="N579" t="str">
        <f t="shared" ref="N579:N642" si="37">IF(M579&gt;0,"Yes","No")</f>
        <v>Yes</v>
      </c>
      <c r="O579">
        <v>0.51</v>
      </c>
      <c r="P579" t="str" cm="1">
        <f t="array" ref="P579">_xlfn.IFS(O579&lt;=0.3,"Low Risk",O579&lt;=0.4,"medium Risk",O579&lt;=0.5,"High Risk",O579&gt;0.5,"Very High Risk")</f>
        <v>Very High Risk</v>
      </c>
      <c r="Q579">
        <v>16626</v>
      </c>
      <c r="R579">
        <v>34185</v>
      </c>
      <c r="S579" t="str">
        <f t="shared" ref="S579:S642" si="38">IF(R579&gt;100,"Yes","No")</f>
        <v>Yes</v>
      </c>
      <c r="T579">
        <v>38634</v>
      </c>
      <c r="U579" t="str" cm="1">
        <f t="array" ref="U579">_xlfn.IFS(T579&lt;5000,"Small",T579&lt;20000,"Medium",T579&lt;35000,"Large",T579&gt;35000,"Very Large")</f>
        <v>Very Large</v>
      </c>
      <c r="V579">
        <v>72</v>
      </c>
      <c r="W579">
        <f t="shared" ref="W579:W642" si="39">V579/12</f>
        <v>6</v>
      </c>
      <c r="X579" t="s">
        <v>50</v>
      </c>
      <c r="Y579" t="s">
        <v>32</v>
      </c>
      <c r="Z579" t="s">
        <v>39</v>
      </c>
      <c r="AA579" t="s">
        <v>34</v>
      </c>
      <c r="AB579" t="s">
        <v>35</v>
      </c>
      <c r="AC579" t="s">
        <v>36</v>
      </c>
    </row>
    <row r="580" spans="1:29" x14ac:dyDescent="0.25">
      <c r="A580">
        <v>611</v>
      </c>
      <c r="B580">
        <v>6854</v>
      </c>
      <c r="C580">
        <v>4585</v>
      </c>
      <c r="D580">
        <f t="shared" si="36"/>
        <v>11439</v>
      </c>
      <c r="E580" t="s">
        <v>48</v>
      </c>
      <c r="F580">
        <v>40</v>
      </c>
      <c r="G580" t="str" cm="1">
        <f t="array" ref="G580">_xlfn.IFS(F580&lt;25,"18-24",F580&lt;35,"25-35",F580&lt;45,"35-44",F580&lt;55,"44-54",F580&gt;=55,"55+")</f>
        <v>35-44</v>
      </c>
      <c r="H580" t="s">
        <v>41</v>
      </c>
      <c r="I580">
        <v>0</v>
      </c>
      <c r="J580" t="str" cm="1">
        <f t="array" ref="J580">_xlfn.IFS(I580&lt;=0,"No Dependents",I580&lt;=1,"One",I580&lt;=2,"Two",I580&gt;=3,"Third")</f>
        <v>No Dependents</v>
      </c>
      <c r="K580">
        <v>657</v>
      </c>
      <c r="L580" t="str" cm="1">
        <f t="array" ref="L580">_xlfn.IFS(K580&lt;=580,"Poor",K580&lt;=670,"fair",K580&lt;=740,"Good",K580&lt;=800,"Very Good",K580&gt;=800,"Excellent")</f>
        <v>fair</v>
      </c>
      <c r="M580">
        <v>0</v>
      </c>
      <c r="N580" t="str">
        <f t="shared" si="37"/>
        <v>No</v>
      </c>
      <c r="O580">
        <v>0.57999999999999996</v>
      </c>
      <c r="P580" t="str" cm="1">
        <f t="array" ref="P580">_xlfn.IFS(O580&lt;=0.3,"Low Risk",O580&lt;=0.4,"medium Risk",O580&lt;=0.5,"High Risk",O580&gt;0.5,"Very High Risk")</f>
        <v>Very High Risk</v>
      </c>
      <c r="Q580">
        <v>18268</v>
      </c>
      <c r="R580">
        <v>31194</v>
      </c>
      <c r="S580" t="str">
        <f t="shared" si="38"/>
        <v>Yes</v>
      </c>
      <c r="T580">
        <v>11139</v>
      </c>
      <c r="U580" t="str" cm="1">
        <f t="array" ref="U580">_xlfn.IFS(T580&lt;5000,"Small",T580&lt;20000,"Medium",T580&lt;35000,"Large",T580&gt;35000,"Very Large")</f>
        <v>Medium</v>
      </c>
      <c r="V580">
        <v>72</v>
      </c>
      <c r="W580">
        <f t="shared" si="39"/>
        <v>6</v>
      </c>
      <c r="X580" t="s">
        <v>50</v>
      </c>
      <c r="Y580" t="s">
        <v>32</v>
      </c>
      <c r="Z580" t="s">
        <v>39</v>
      </c>
      <c r="AA580" t="s">
        <v>40</v>
      </c>
      <c r="AB580" t="s">
        <v>43</v>
      </c>
      <c r="AC580" t="s">
        <v>36</v>
      </c>
    </row>
    <row r="581" spans="1:29" x14ac:dyDescent="0.25">
      <c r="A581">
        <v>612</v>
      </c>
      <c r="B581">
        <v>12320</v>
      </c>
      <c r="C581">
        <v>8467</v>
      </c>
      <c r="D581">
        <f t="shared" si="36"/>
        <v>20787</v>
      </c>
      <c r="E581" t="s">
        <v>49</v>
      </c>
      <c r="F581">
        <v>36</v>
      </c>
      <c r="G581" t="str" cm="1">
        <f t="array" ref="G581">_xlfn.IFS(F581&lt;25,"18-24",F581&lt;35,"25-35",F581&lt;45,"35-44",F581&lt;55,"44-54",F581&gt;=55,"55+")</f>
        <v>35-44</v>
      </c>
      <c r="H581" t="s">
        <v>41</v>
      </c>
      <c r="I581">
        <v>1</v>
      </c>
      <c r="J581" t="str" cm="1">
        <f t="array" ref="J581">_xlfn.IFS(I581&lt;=0,"No Dependents",I581&lt;=1,"One",I581&lt;=2,"Two",I581&gt;=3,"Third")</f>
        <v>One</v>
      </c>
      <c r="K581">
        <v>727</v>
      </c>
      <c r="L581" t="str" cm="1">
        <f t="array" ref="L581">_xlfn.IFS(K581&lt;=580,"Poor",K581&lt;=670,"fair",K581&lt;=740,"Good",K581&lt;=800,"Very Good",K581&gt;=800,"Excellent")</f>
        <v>Good</v>
      </c>
      <c r="M581">
        <v>1</v>
      </c>
      <c r="N581" t="str">
        <f t="shared" si="37"/>
        <v>Yes</v>
      </c>
      <c r="O581">
        <v>0.5</v>
      </c>
      <c r="P581" t="str" cm="1">
        <f t="array" ref="P581">_xlfn.IFS(O581&lt;=0.3,"Low Risk",O581&lt;=0.4,"medium Risk",O581&lt;=0.5,"High Risk",O581&gt;0.5,"Very High Risk")</f>
        <v>High Risk</v>
      </c>
      <c r="Q581">
        <v>14935</v>
      </c>
      <c r="R581">
        <v>25230</v>
      </c>
      <c r="S581" t="str">
        <f t="shared" si="38"/>
        <v>Yes</v>
      </c>
      <c r="T581">
        <v>3128</v>
      </c>
      <c r="U581" t="str" cm="1">
        <f t="array" ref="U581">_xlfn.IFS(T581&lt;5000,"Small",T581&lt;20000,"Medium",T581&lt;35000,"Large",T581&gt;35000,"Very Large")</f>
        <v>Small</v>
      </c>
      <c r="V581">
        <v>72</v>
      </c>
      <c r="W581">
        <f t="shared" si="39"/>
        <v>6</v>
      </c>
      <c r="X581" t="s">
        <v>31</v>
      </c>
      <c r="Y581" t="s">
        <v>32</v>
      </c>
      <c r="Z581" t="s">
        <v>39</v>
      </c>
      <c r="AA581" t="s">
        <v>34</v>
      </c>
      <c r="AB581" t="s">
        <v>35</v>
      </c>
      <c r="AC581" t="s">
        <v>36</v>
      </c>
    </row>
    <row r="582" spans="1:29" x14ac:dyDescent="0.25">
      <c r="A582">
        <v>613</v>
      </c>
      <c r="B582">
        <v>6892</v>
      </c>
      <c r="C582">
        <v>2740</v>
      </c>
      <c r="D582">
        <f t="shared" si="36"/>
        <v>9632</v>
      </c>
      <c r="E582" t="s">
        <v>29</v>
      </c>
      <c r="F582">
        <v>27</v>
      </c>
      <c r="G582" t="str" cm="1">
        <f t="array" ref="G582">_xlfn.IFS(F582&lt;25,"18-24",F582&lt;35,"25-35",F582&lt;45,"35-44",F582&lt;55,"44-54",F582&gt;=55,"55+")</f>
        <v>25-35</v>
      </c>
      <c r="H582" t="s">
        <v>30</v>
      </c>
      <c r="I582">
        <v>2</v>
      </c>
      <c r="J582" t="str" cm="1">
        <f t="array" ref="J582">_xlfn.IFS(I582&lt;=0,"No Dependents",I582&lt;=1,"One",I582&lt;=2,"Two",I582&gt;=3,"Third")</f>
        <v>Two</v>
      </c>
      <c r="K582">
        <v>591</v>
      </c>
      <c r="L582" t="str" cm="1">
        <f t="array" ref="L582">_xlfn.IFS(K582&lt;=580,"Poor",K582&lt;=670,"fair",K582&lt;=740,"Good",K582&lt;=800,"Very Good",K582&gt;=800,"Excellent")</f>
        <v>fair</v>
      </c>
      <c r="M582">
        <v>0</v>
      </c>
      <c r="N582" t="str">
        <f t="shared" si="37"/>
        <v>No</v>
      </c>
      <c r="O582">
        <v>0.4</v>
      </c>
      <c r="P582" t="str" cm="1">
        <f t="array" ref="P582">_xlfn.IFS(O582&lt;=0.3,"Low Risk",O582&lt;=0.4,"medium Risk",O582&lt;=0.5,"High Risk",O582&gt;0.5,"Very High Risk")</f>
        <v>medium Risk</v>
      </c>
      <c r="Q582">
        <v>9624</v>
      </c>
      <c r="R582">
        <v>27018</v>
      </c>
      <c r="S582" t="str">
        <f t="shared" si="38"/>
        <v>Yes</v>
      </c>
      <c r="T582">
        <v>21617</v>
      </c>
      <c r="U582" t="str" cm="1">
        <f t="array" ref="U582">_xlfn.IFS(T582&lt;5000,"Small",T582&lt;20000,"Medium",T582&lt;35000,"Large",T582&gt;35000,"Very Large")</f>
        <v>Large</v>
      </c>
      <c r="V582">
        <v>72</v>
      </c>
      <c r="W582">
        <f t="shared" si="39"/>
        <v>6</v>
      </c>
      <c r="X582" t="s">
        <v>50</v>
      </c>
      <c r="Y582" t="s">
        <v>32</v>
      </c>
      <c r="Z582" t="s">
        <v>39</v>
      </c>
      <c r="AA582" t="s">
        <v>40</v>
      </c>
      <c r="AB582" t="s">
        <v>48</v>
      </c>
      <c r="AC582" t="s">
        <v>36</v>
      </c>
    </row>
    <row r="583" spans="1:29" x14ac:dyDescent="0.25">
      <c r="A583">
        <v>614</v>
      </c>
      <c r="B583">
        <v>9043</v>
      </c>
      <c r="C583">
        <v>2289</v>
      </c>
      <c r="D583">
        <f t="shared" si="36"/>
        <v>11332</v>
      </c>
      <c r="E583" t="s">
        <v>29</v>
      </c>
      <c r="F583">
        <v>34</v>
      </c>
      <c r="G583" t="str" cm="1">
        <f t="array" ref="G583">_xlfn.IFS(F583&lt;25,"18-24",F583&lt;35,"25-35",F583&lt;45,"35-44",F583&lt;55,"44-54",F583&gt;=55,"55+")</f>
        <v>25-35</v>
      </c>
      <c r="H583" t="s">
        <v>30</v>
      </c>
      <c r="I583">
        <v>0</v>
      </c>
      <c r="J583" t="str" cm="1">
        <f t="array" ref="J583">_xlfn.IFS(I583&lt;=0,"No Dependents",I583&lt;=1,"One",I583&lt;=2,"Two",I583&gt;=3,"Third")</f>
        <v>No Dependents</v>
      </c>
      <c r="K583">
        <v>651</v>
      </c>
      <c r="L583" t="str" cm="1">
        <f t="array" ref="L583">_xlfn.IFS(K583&lt;=580,"Poor",K583&lt;=670,"fair",K583&lt;=740,"Good",K583&lt;=800,"Very Good",K583&gt;=800,"Excellent")</f>
        <v>fair</v>
      </c>
      <c r="M583">
        <v>3</v>
      </c>
      <c r="N583" t="str">
        <f t="shared" si="37"/>
        <v>Yes</v>
      </c>
      <c r="O583">
        <v>0.35</v>
      </c>
      <c r="P583" t="str" cm="1">
        <f t="array" ref="P583">_xlfn.IFS(O583&lt;=0.3,"Low Risk",O583&lt;=0.4,"medium Risk",O583&lt;=0.5,"High Risk",O583&gt;0.5,"Very High Risk")</f>
        <v>medium Risk</v>
      </c>
      <c r="Q583">
        <v>15823</v>
      </c>
      <c r="R583">
        <v>49262</v>
      </c>
      <c r="S583" t="str">
        <f t="shared" si="38"/>
        <v>Yes</v>
      </c>
      <c r="T583">
        <v>29080</v>
      </c>
      <c r="U583" t="str" cm="1">
        <f t="array" ref="U583">_xlfn.IFS(T583&lt;5000,"Small",T583&lt;20000,"Medium",T583&lt;35000,"Large",T583&gt;35000,"Very Large")</f>
        <v>Large</v>
      </c>
      <c r="V583">
        <v>72</v>
      </c>
      <c r="W583">
        <f t="shared" si="39"/>
        <v>6</v>
      </c>
      <c r="X583" t="s">
        <v>50</v>
      </c>
      <c r="Y583" t="s">
        <v>45</v>
      </c>
      <c r="Z583" t="s">
        <v>39</v>
      </c>
      <c r="AA583" t="s">
        <v>40</v>
      </c>
      <c r="AB583" t="s">
        <v>43</v>
      </c>
      <c r="AC583" t="s">
        <v>44</v>
      </c>
    </row>
    <row r="584" spans="1:29" x14ac:dyDescent="0.25">
      <c r="A584">
        <v>615</v>
      </c>
      <c r="B584">
        <v>18521</v>
      </c>
      <c r="C584">
        <v>1239</v>
      </c>
      <c r="D584">
        <f t="shared" si="36"/>
        <v>19760</v>
      </c>
      <c r="E584" t="s">
        <v>49</v>
      </c>
      <c r="F584">
        <v>49</v>
      </c>
      <c r="G584" t="str" cm="1">
        <f t="array" ref="G584">_xlfn.IFS(F584&lt;25,"18-24",F584&lt;35,"25-35",F584&lt;45,"35-44",F584&lt;55,"44-54",F584&gt;=55,"55+")</f>
        <v>44-54</v>
      </c>
      <c r="H584" t="s">
        <v>41</v>
      </c>
      <c r="I584">
        <v>3</v>
      </c>
      <c r="J584" t="str" cm="1">
        <f t="array" ref="J584">_xlfn.IFS(I584&lt;=0,"No Dependents",I584&lt;=1,"One",I584&lt;=2,"Two",I584&gt;=3,"Third")</f>
        <v>Third</v>
      </c>
      <c r="K584">
        <v>673</v>
      </c>
      <c r="L584" t="str" cm="1">
        <f t="array" ref="L584">_xlfn.IFS(K584&lt;=580,"Poor",K584&lt;=670,"fair",K584&lt;=740,"Good",K584&lt;=800,"Very Good",K584&gt;=800,"Excellent")</f>
        <v>Good</v>
      </c>
      <c r="M584">
        <v>0</v>
      </c>
      <c r="N584" t="str">
        <f t="shared" si="37"/>
        <v>No</v>
      </c>
      <c r="O584">
        <v>0.12</v>
      </c>
      <c r="P584" t="str" cm="1">
        <f t="array" ref="P584">_xlfn.IFS(O584&lt;=0.3,"Low Risk",O584&lt;=0.4,"medium Risk",O584&lt;=0.5,"High Risk",O584&gt;0.5,"Very High Risk")</f>
        <v>Low Risk</v>
      </c>
      <c r="Q584">
        <v>7863</v>
      </c>
      <c r="R584">
        <v>24665</v>
      </c>
      <c r="S584" t="str">
        <f t="shared" si="38"/>
        <v>Yes</v>
      </c>
      <c r="T584">
        <v>36285</v>
      </c>
      <c r="U584" t="str" cm="1">
        <f t="array" ref="U584">_xlfn.IFS(T584&lt;5000,"Small",T584&lt;20000,"Medium",T584&lt;35000,"Large",T584&gt;35000,"Very Large")</f>
        <v>Very Large</v>
      </c>
      <c r="V584">
        <v>12</v>
      </c>
      <c r="W584">
        <f t="shared" si="39"/>
        <v>1</v>
      </c>
      <c r="X584" t="s">
        <v>31</v>
      </c>
      <c r="Y584" t="s">
        <v>38</v>
      </c>
      <c r="Z584" t="s">
        <v>33</v>
      </c>
      <c r="AA584" t="s">
        <v>40</v>
      </c>
      <c r="AB584" t="s">
        <v>35</v>
      </c>
      <c r="AC584" t="s">
        <v>44</v>
      </c>
    </row>
    <row r="585" spans="1:29" x14ac:dyDescent="0.25">
      <c r="A585">
        <v>616</v>
      </c>
      <c r="B585">
        <v>0</v>
      </c>
      <c r="C585">
        <v>5370</v>
      </c>
      <c r="D585">
        <f t="shared" si="36"/>
        <v>5370</v>
      </c>
      <c r="E585" t="s">
        <v>29</v>
      </c>
      <c r="F585">
        <v>39</v>
      </c>
      <c r="G585" t="str" cm="1">
        <f t="array" ref="G585">_xlfn.IFS(F585&lt;25,"18-24",F585&lt;35,"25-35",F585&lt;45,"35-44",F585&lt;55,"44-54",F585&gt;=55,"55+")</f>
        <v>35-44</v>
      </c>
      <c r="H585" t="s">
        <v>30</v>
      </c>
      <c r="I585">
        <v>0</v>
      </c>
      <c r="J585" t="str" cm="1">
        <f t="array" ref="J585">_xlfn.IFS(I585&lt;=0,"No Dependents",I585&lt;=1,"One",I585&lt;=2,"Two",I585&gt;=3,"Third")</f>
        <v>No Dependents</v>
      </c>
      <c r="K585">
        <v>689</v>
      </c>
      <c r="L585" t="str" cm="1">
        <f t="array" ref="L585">_xlfn.IFS(K585&lt;=580,"Poor",K585&lt;=670,"fair",K585&lt;=740,"Good",K585&lt;=800,"Very Good",K585&gt;=800,"Excellent")</f>
        <v>Good</v>
      </c>
      <c r="M585">
        <v>4</v>
      </c>
      <c r="N585" t="str">
        <f t="shared" si="37"/>
        <v>Yes</v>
      </c>
      <c r="O585">
        <v>0.59</v>
      </c>
      <c r="P585" t="str" cm="1">
        <f t="array" ref="P585">_xlfn.IFS(O585&lt;=0.3,"Low Risk",O585&lt;=0.4,"medium Risk",O585&lt;=0.5,"High Risk",O585&gt;0.5,"Very High Risk")</f>
        <v>Very High Risk</v>
      </c>
      <c r="Q585">
        <v>3109</v>
      </c>
      <c r="R585">
        <v>41722</v>
      </c>
      <c r="S585" t="str">
        <f t="shared" si="38"/>
        <v>Yes</v>
      </c>
      <c r="T585">
        <v>18533</v>
      </c>
      <c r="U585" t="str" cm="1">
        <f t="array" ref="U585">_xlfn.IFS(T585&lt;5000,"Small",T585&lt;20000,"Medium",T585&lt;35000,"Large",T585&gt;35000,"Very Large")</f>
        <v>Medium</v>
      </c>
      <c r="V585">
        <v>24</v>
      </c>
      <c r="W585">
        <f t="shared" si="39"/>
        <v>2</v>
      </c>
      <c r="X585" t="s">
        <v>31</v>
      </c>
      <c r="Y585" t="s">
        <v>38</v>
      </c>
      <c r="Z585" t="s">
        <v>33</v>
      </c>
      <c r="AA585" t="s">
        <v>40</v>
      </c>
      <c r="AB585" t="s">
        <v>35</v>
      </c>
      <c r="AC585" t="s">
        <v>36</v>
      </c>
    </row>
    <row r="586" spans="1:29" x14ac:dyDescent="0.25">
      <c r="A586">
        <v>617</v>
      </c>
      <c r="B586">
        <v>9941</v>
      </c>
      <c r="C586">
        <v>125</v>
      </c>
      <c r="D586">
        <f t="shared" si="36"/>
        <v>10066</v>
      </c>
      <c r="E586" t="s">
        <v>29</v>
      </c>
      <c r="F586">
        <v>39</v>
      </c>
      <c r="G586" t="str" cm="1">
        <f t="array" ref="G586">_xlfn.IFS(F586&lt;25,"18-24",F586&lt;35,"25-35",F586&lt;45,"35-44",F586&lt;55,"44-54",F586&gt;=55,"55+")</f>
        <v>35-44</v>
      </c>
      <c r="H586" t="s">
        <v>30</v>
      </c>
      <c r="I586">
        <v>0</v>
      </c>
      <c r="J586" t="str" cm="1">
        <f t="array" ref="J586">_xlfn.IFS(I586&lt;=0,"No Dependents",I586&lt;=1,"One",I586&lt;=2,"Two",I586&gt;=3,"Third")</f>
        <v>No Dependents</v>
      </c>
      <c r="K586">
        <v>652</v>
      </c>
      <c r="L586" t="str" cm="1">
        <f t="array" ref="L586">_xlfn.IFS(K586&lt;=580,"Poor",K586&lt;=670,"fair",K586&lt;=740,"Good",K586&lt;=800,"Very Good",K586&gt;=800,"Excellent")</f>
        <v>fair</v>
      </c>
      <c r="M586">
        <v>2</v>
      </c>
      <c r="N586" t="str">
        <f t="shared" si="37"/>
        <v>Yes</v>
      </c>
      <c r="O586">
        <v>0.28999999999999998</v>
      </c>
      <c r="P586" t="str" cm="1">
        <f t="array" ref="P586">_xlfn.IFS(O586&lt;=0.3,"Low Risk",O586&lt;=0.4,"medium Risk",O586&lt;=0.5,"High Risk",O586&gt;0.5,"Very High Risk")</f>
        <v>Low Risk</v>
      </c>
      <c r="Q586">
        <v>18570</v>
      </c>
      <c r="R586">
        <v>46359</v>
      </c>
      <c r="S586" t="str">
        <f t="shared" si="38"/>
        <v>Yes</v>
      </c>
      <c r="T586">
        <v>33624</v>
      </c>
      <c r="U586" t="str" cm="1">
        <f t="array" ref="U586">_xlfn.IFS(T586&lt;5000,"Small",T586&lt;20000,"Medium",T586&lt;35000,"Large",T586&gt;35000,"Very Large")</f>
        <v>Large</v>
      </c>
      <c r="V586">
        <v>48</v>
      </c>
      <c r="W586">
        <f t="shared" si="39"/>
        <v>4</v>
      </c>
      <c r="X586" t="s">
        <v>42</v>
      </c>
      <c r="Y586" t="s">
        <v>32</v>
      </c>
      <c r="Z586" t="s">
        <v>39</v>
      </c>
      <c r="AA586" t="s">
        <v>40</v>
      </c>
      <c r="AB586" t="s">
        <v>51</v>
      </c>
      <c r="AC586" t="s">
        <v>44</v>
      </c>
    </row>
    <row r="587" spans="1:29" x14ac:dyDescent="0.25">
      <c r="A587">
        <v>618</v>
      </c>
      <c r="B587">
        <v>16388</v>
      </c>
      <c r="C587">
        <v>7473</v>
      </c>
      <c r="D587">
        <f t="shared" si="36"/>
        <v>23861</v>
      </c>
      <c r="E587" t="s">
        <v>49</v>
      </c>
      <c r="F587">
        <v>22</v>
      </c>
      <c r="G587" t="str" cm="1">
        <f t="array" ref="G587">_xlfn.IFS(F587&lt;25,"18-24",F587&lt;35,"25-35",F587&lt;45,"35-44",F587&lt;55,"44-54",F587&gt;=55,"55+")</f>
        <v>18-24</v>
      </c>
      <c r="H587" t="s">
        <v>41</v>
      </c>
      <c r="I587">
        <v>0</v>
      </c>
      <c r="J587" t="str" cm="1">
        <f t="array" ref="J587">_xlfn.IFS(I587&lt;=0,"No Dependents",I587&lt;=1,"One",I587&lt;=2,"Two",I587&gt;=3,"Third")</f>
        <v>No Dependents</v>
      </c>
      <c r="K587">
        <v>695</v>
      </c>
      <c r="L587" t="str" cm="1">
        <f t="array" ref="L587">_xlfn.IFS(K587&lt;=580,"Poor",K587&lt;=670,"fair",K587&lt;=740,"Good",K587&lt;=800,"Very Good",K587&gt;=800,"Excellent")</f>
        <v>Good</v>
      </c>
      <c r="M587">
        <v>3</v>
      </c>
      <c r="N587" t="str">
        <f t="shared" si="37"/>
        <v>Yes</v>
      </c>
      <c r="O587">
        <v>0.35</v>
      </c>
      <c r="P587" t="str" cm="1">
        <f t="array" ref="P587">_xlfn.IFS(O587&lt;=0.3,"Low Risk",O587&lt;=0.4,"medium Risk",O587&lt;=0.5,"High Risk",O587&gt;0.5,"Very High Risk")</f>
        <v>medium Risk</v>
      </c>
      <c r="Q587">
        <v>12482</v>
      </c>
      <c r="R587">
        <v>40159</v>
      </c>
      <c r="S587" t="str">
        <f t="shared" si="38"/>
        <v>Yes</v>
      </c>
      <c r="T587">
        <v>28956</v>
      </c>
      <c r="U587" t="str" cm="1">
        <f t="array" ref="U587">_xlfn.IFS(T587&lt;5000,"Small",T587&lt;20000,"Medium",T587&lt;35000,"Large",T587&gt;35000,"Very Large")</f>
        <v>Large</v>
      </c>
      <c r="V587">
        <v>36</v>
      </c>
      <c r="W587">
        <f t="shared" si="39"/>
        <v>3</v>
      </c>
      <c r="X587" t="s">
        <v>37</v>
      </c>
      <c r="Y587" t="s">
        <v>38</v>
      </c>
      <c r="Z587" t="s">
        <v>33</v>
      </c>
      <c r="AA587" t="s">
        <v>40</v>
      </c>
      <c r="AB587" t="s">
        <v>43</v>
      </c>
      <c r="AC587" t="s">
        <v>44</v>
      </c>
    </row>
    <row r="588" spans="1:29" x14ac:dyDescent="0.25">
      <c r="A588">
        <v>619</v>
      </c>
      <c r="B588">
        <v>7569</v>
      </c>
      <c r="C588">
        <v>9400</v>
      </c>
      <c r="D588">
        <f t="shared" si="36"/>
        <v>16969</v>
      </c>
      <c r="E588" t="s">
        <v>29</v>
      </c>
      <c r="F588">
        <v>35</v>
      </c>
      <c r="G588" t="str" cm="1">
        <f t="array" ref="G588">_xlfn.IFS(F588&lt;25,"18-24",F588&lt;35,"25-35",F588&lt;45,"35-44",F588&lt;55,"44-54",F588&gt;=55,"55+")</f>
        <v>35-44</v>
      </c>
      <c r="H588" t="s">
        <v>41</v>
      </c>
      <c r="I588">
        <v>1</v>
      </c>
      <c r="J588" t="str" cm="1">
        <f t="array" ref="J588">_xlfn.IFS(I588&lt;=0,"No Dependents",I588&lt;=1,"One",I588&lt;=2,"Two",I588&gt;=3,"Third")</f>
        <v>One</v>
      </c>
      <c r="K588">
        <v>743</v>
      </c>
      <c r="L588" t="str" cm="1">
        <f t="array" ref="L588">_xlfn.IFS(K588&lt;=580,"Poor",K588&lt;=670,"fair",K588&lt;=740,"Good",K588&lt;=800,"Very Good",K588&gt;=800,"Excellent")</f>
        <v>Very Good</v>
      </c>
      <c r="M588">
        <v>0</v>
      </c>
      <c r="N588" t="str">
        <f t="shared" si="37"/>
        <v>No</v>
      </c>
      <c r="O588">
        <v>0.43</v>
      </c>
      <c r="P588" t="str" cm="1">
        <f t="array" ref="P588">_xlfn.IFS(O588&lt;=0.3,"Low Risk",O588&lt;=0.4,"medium Risk",O588&lt;=0.5,"High Risk",O588&gt;0.5,"Very High Risk")</f>
        <v>High Risk</v>
      </c>
      <c r="Q588">
        <v>1550</v>
      </c>
      <c r="R588">
        <v>44132</v>
      </c>
      <c r="S588" t="str">
        <f t="shared" si="38"/>
        <v>Yes</v>
      </c>
      <c r="T588">
        <v>34077</v>
      </c>
      <c r="U588" t="str" cm="1">
        <f t="array" ref="U588">_xlfn.IFS(T588&lt;5000,"Small",T588&lt;20000,"Medium",T588&lt;35000,"Large",T588&gt;35000,"Very Large")</f>
        <v>Large</v>
      </c>
      <c r="V588">
        <v>72</v>
      </c>
      <c r="W588">
        <f t="shared" si="39"/>
        <v>6</v>
      </c>
      <c r="X588" t="s">
        <v>37</v>
      </c>
      <c r="Y588" t="s">
        <v>38</v>
      </c>
      <c r="Z588" t="s">
        <v>33</v>
      </c>
      <c r="AA588" t="s">
        <v>40</v>
      </c>
      <c r="AB588" t="s">
        <v>35</v>
      </c>
      <c r="AC588" t="s">
        <v>36</v>
      </c>
    </row>
    <row r="589" spans="1:29" x14ac:dyDescent="0.25">
      <c r="A589">
        <v>620</v>
      </c>
      <c r="B589">
        <v>6300</v>
      </c>
      <c r="C589">
        <v>5342</v>
      </c>
      <c r="D589">
        <f t="shared" si="36"/>
        <v>11642</v>
      </c>
      <c r="E589" t="s">
        <v>29</v>
      </c>
      <c r="F589">
        <v>23</v>
      </c>
      <c r="G589" t="str" cm="1">
        <f t="array" ref="G589">_xlfn.IFS(F589&lt;25,"18-24",F589&lt;35,"25-35",F589&lt;45,"35-44",F589&lt;55,"44-54",F589&gt;=55,"55+")</f>
        <v>18-24</v>
      </c>
      <c r="H589" t="s">
        <v>41</v>
      </c>
      <c r="I589">
        <v>1</v>
      </c>
      <c r="J589" t="str" cm="1">
        <f t="array" ref="J589">_xlfn.IFS(I589&lt;=0,"No Dependents",I589&lt;=1,"One",I589&lt;=2,"Two",I589&gt;=3,"Third")</f>
        <v>One</v>
      </c>
      <c r="K589">
        <v>623</v>
      </c>
      <c r="L589" t="str" cm="1">
        <f t="array" ref="L589">_xlfn.IFS(K589&lt;=580,"Poor",K589&lt;=670,"fair",K589&lt;=740,"Good",K589&lt;=800,"Very Good",K589&gt;=800,"Excellent")</f>
        <v>fair</v>
      </c>
      <c r="M589">
        <v>0</v>
      </c>
      <c r="N589" t="str">
        <f t="shared" si="37"/>
        <v>No</v>
      </c>
      <c r="O589">
        <v>0.24</v>
      </c>
      <c r="P589" t="str" cm="1">
        <f t="array" ref="P589">_xlfn.IFS(O589&lt;=0.3,"Low Risk",O589&lt;=0.4,"medium Risk",O589&lt;=0.5,"High Risk",O589&gt;0.5,"Very High Risk")</f>
        <v>Low Risk</v>
      </c>
      <c r="Q589">
        <v>646</v>
      </c>
      <c r="R589">
        <v>43139</v>
      </c>
      <c r="S589" t="str">
        <f t="shared" si="38"/>
        <v>Yes</v>
      </c>
      <c r="T589">
        <v>4952</v>
      </c>
      <c r="U589" t="str" cm="1">
        <f t="array" ref="U589">_xlfn.IFS(T589&lt;5000,"Small",T589&lt;20000,"Medium",T589&lt;35000,"Large",T589&gt;35000,"Very Large")</f>
        <v>Small</v>
      </c>
      <c r="V589">
        <v>12</v>
      </c>
      <c r="W589">
        <f t="shared" si="39"/>
        <v>1</v>
      </c>
      <c r="X589" t="s">
        <v>42</v>
      </c>
      <c r="Y589" t="s">
        <v>38</v>
      </c>
      <c r="Z589" t="s">
        <v>39</v>
      </c>
      <c r="AA589" t="s">
        <v>40</v>
      </c>
      <c r="AB589" t="s">
        <v>35</v>
      </c>
      <c r="AC589" t="s">
        <v>36</v>
      </c>
    </row>
    <row r="590" spans="1:29" x14ac:dyDescent="0.25">
      <c r="A590">
        <v>621</v>
      </c>
      <c r="B590">
        <v>8269</v>
      </c>
      <c r="C590">
        <v>7351</v>
      </c>
      <c r="D590">
        <f t="shared" si="36"/>
        <v>15620</v>
      </c>
      <c r="E590" t="s">
        <v>46</v>
      </c>
      <c r="F590">
        <v>31</v>
      </c>
      <c r="G590" t="str" cm="1">
        <f t="array" ref="G590">_xlfn.IFS(F590&lt;25,"18-24",F590&lt;35,"25-35",F590&lt;45,"35-44",F590&lt;55,"44-54",F590&gt;=55,"55+")</f>
        <v>25-35</v>
      </c>
      <c r="H590" t="s">
        <v>30</v>
      </c>
      <c r="I590">
        <v>3</v>
      </c>
      <c r="J590" t="str" cm="1">
        <f t="array" ref="J590">_xlfn.IFS(I590&lt;=0,"No Dependents",I590&lt;=1,"One",I590&lt;=2,"Two",I590&gt;=3,"Third")</f>
        <v>Third</v>
      </c>
      <c r="K590">
        <v>756</v>
      </c>
      <c r="L590" t="str" cm="1">
        <f t="array" ref="L590">_xlfn.IFS(K590&lt;=580,"Poor",K590&lt;=670,"fair",K590&lt;=740,"Good",K590&lt;=800,"Very Good",K590&gt;=800,"Excellent")</f>
        <v>Very Good</v>
      </c>
      <c r="M590">
        <v>4</v>
      </c>
      <c r="N590" t="str">
        <f t="shared" si="37"/>
        <v>Yes</v>
      </c>
      <c r="O590">
        <v>0.39</v>
      </c>
      <c r="P590" t="str" cm="1">
        <f t="array" ref="P590">_xlfn.IFS(O590&lt;=0.3,"Low Risk",O590&lt;=0.4,"medium Risk",O590&lt;=0.5,"High Risk",O590&gt;0.5,"Very High Risk")</f>
        <v>medium Risk</v>
      </c>
      <c r="Q590">
        <v>13407</v>
      </c>
      <c r="R590">
        <v>21516</v>
      </c>
      <c r="S590" t="str">
        <f t="shared" si="38"/>
        <v>Yes</v>
      </c>
      <c r="T590">
        <v>23796</v>
      </c>
      <c r="U590" t="str" cm="1">
        <f t="array" ref="U590">_xlfn.IFS(T590&lt;5000,"Small",T590&lt;20000,"Medium",T590&lt;35000,"Large",T590&gt;35000,"Very Large")</f>
        <v>Large</v>
      </c>
      <c r="V590">
        <v>84</v>
      </c>
      <c r="W590">
        <f t="shared" si="39"/>
        <v>7</v>
      </c>
      <c r="X590" t="s">
        <v>37</v>
      </c>
      <c r="Y590" t="s">
        <v>32</v>
      </c>
      <c r="Z590" t="s">
        <v>39</v>
      </c>
      <c r="AA590" t="s">
        <v>34</v>
      </c>
      <c r="AB590" t="s">
        <v>43</v>
      </c>
      <c r="AC590" t="s">
        <v>44</v>
      </c>
    </row>
    <row r="591" spans="1:29" x14ac:dyDescent="0.25">
      <c r="A591">
        <v>622</v>
      </c>
      <c r="B591">
        <v>5818</v>
      </c>
      <c r="C591">
        <v>6638</v>
      </c>
      <c r="D591">
        <f t="shared" si="36"/>
        <v>12456</v>
      </c>
      <c r="E591" t="s">
        <v>49</v>
      </c>
      <c r="F591">
        <v>40</v>
      </c>
      <c r="G591" t="str" cm="1">
        <f t="array" ref="G591">_xlfn.IFS(F591&lt;25,"18-24",F591&lt;35,"25-35",F591&lt;45,"35-44",F591&lt;55,"44-54",F591&gt;=55,"55+")</f>
        <v>35-44</v>
      </c>
      <c r="H591" t="s">
        <v>41</v>
      </c>
      <c r="I591">
        <v>3</v>
      </c>
      <c r="J591" t="str" cm="1">
        <f t="array" ref="J591">_xlfn.IFS(I591&lt;=0,"No Dependents",I591&lt;=1,"One",I591&lt;=2,"Two",I591&gt;=3,"Third")</f>
        <v>Third</v>
      </c>
      <c r="K591">
        <v>771</v>
      </c>
      <c r="L591" t="str" cm="1">
        <f t="array" ref="L591">_xlfn.IFS(K591&lt;=580,"Poor",K591&lt;=670,"fair",K591&lt;=740,"Good",K591&lt;=800,"Very Good",K591&gt;=800,"Excellent")</f>
        <v>Very Good</v>
      </c>
      <c r="M591">
        <v>4</v>
      </c>
      <c r="N591" t="str">
        <f t="shared" si="37"/>
        <v>Yes</v>
      </c>
      <c r="O591">
        <v>0.39</v>
      </c>
      <c r="P591" t="str" cm="1">
        <f t="array" ref="P591">_xlfn.IFS(O591&lt;=0.3,"Low Risk",O591&lt;=0.4,"medium Risk",O591&lt;=0.5,"High Risk",O591&gt;0.5,"Very High Risk")</f>
        <v>medium Risk</v>
      </c>
      <c r="Q591">
        <v>12700</v>
      </c>
      <c r="R591">
        <v>35272</v>
      </c>
      <c r="S591" t="str">
        <f t="shared" si="38"/>
        <v>Yes</v>
      </c>
      <c r="T591">
        <v>32746</v>
      </c>
      <c r="U591" t="str" cm="1">
        <f t="array" ref="U591">_xlfn.IFS(T591&lt;5000,"Small",T591&lt;20000,"Medium",T591&lt;35000,"Large",T591&gt;35000,"Very Large")</f>
        <v>Large</v>
      </c>
      <c r="V591">
        <v>48</v>
      </c>
      <c r="W591">
        <f t="shared" si="39"/>
        <v>4</v>
      </c>
      <c r="X591" t="s">
        <v>50</v>
      </c>
      <c r="Y591" t="s">
        <v>45</v>
      </c>
      <c r="Z591" t="s">
        <v>39</v>
      </c>
      <c r="AA591" t="s">
        <v>34</v>
      </c>
      <c r="AB591" t="s">
        <v>35</v>
      </c>
      <c r="AC591" t="s">
        <v>36</v>
      </c>
    </row>
    <row r="592" spans="1:29" x14ac:dyDescent="0.25">
      <c r="A592">
        <v>623</v>
      </c>
      <c r="B592">
        <v>14015</v>
      </c>
      <c r="C592">
        <v>6570</v>
      </c>
      <c r="D592">
        <f t="shared" si="36"/>
        <v>20585</v>
      </c>
      <c r="E592" t="s">
        <v>46</v>
      </c>
      <c r="F592">
        <v>38</v>
      </c>
      <c r="G592" t="str" cm="1">
        <f t="array" ref="G592">_xlfn.IFS(F592&lt;25,"18-24",F592&lt;35,"25-35",F592&lt;45,"35-44",F592&lt;55,"44-54",F592&gt;=55,"55+")</f>
        <v>35-44</v>
      </c>
      <c r="H592" t="s">
        <v>30</v>
      </c>
      <c r="I592">
        <v>0</v>
      </c>
      <c r="J592" t="str" cm="1">
        <f t="array" ref="J592">_xlfn.IFS(I592&lt;=0,"No Dependents",I592&lt;=1,"One",I592&lt;=2,"Two",I592&gt;=3,"Third")</f>
        <v>No Dependents</v>
      </c>
      <c r="K592">
        <v>657</v>
      </c>
      <c r="L592" t="str" cm="1">
        <f t="array" ref="L592">_xlfn.IFS(K592&lt;=580,"Poor",K592&lt;=670,"fair",K592&lt;=740,"Good",K592&lt;=800,"Very Good",K592&gt;=800,"Excellent")</f>
        <v>fair</v>
      </c>
      <c r="M592">
        <v>1</v>
      </c>
      <c r="N592" t="str">
        <f t="shared" si="37"/>
        <v>Yes</v>
      </c>
      <c r="O592">
        <v>0.32</v>
      </c>
      <c r="P592" t="str" cm="1">
        <f t="array" ref="P592">_xlfn.IFS(O592&lt;=0.3,"Low Risk",O592&lt;=0.4,"medium Risk",O592&lt;=0.5,"High Risk",O592&gt;0.5,"Very High Risk")</f>
        <v>medium Risk</v>
      </c>
      <c r="Q592">
        <v>537</v>
      </c>
      <c r="R592">
        <v>24673</v>
      </c>
      <c r="S592" t="str">
        <f t="shared" si="38"/>
        <v>Yes</v>
      </c>
      <c r="T592">
        <v>22249</v>
      </c>
      <c r="U592" t="str" cm="1">
        <f t="array" ref="U592">_xlfn.IFS(T592&lt;5000,"Small",T592&lt;20000,"Medium",T592&lt;35000,"Large",T592&gt;35000,"Very Large")</f>
        <v>Large</v>
      </c>
      <c r="V592">
        <v>48</v>
      </c>
      <c r="W592">
        <f t="shared" si="39"/>
        <v>4</v>
      </c>
      <c r="X592" t="s">
        <v>42</v>
      </c>
      <c r="Y592" t="s">
        <v>45</v>
      </c>
      <c r="Z592" t="s">
        <v>39</v>
      </c>
      <c r="AA592" t="s">
        <v>40</v>
      </c>
      <c r="AB592" t="s">
        <v>42</v>
      </c>
      <c r="AC592" t="s">
        <v>44</v>
      </c>
    </row>
    <row r="593" spans="1:29" x14ac:dyDescent="0.25">
      <c r="A593">
        <v>624</v>
      </c>
      <c r="B593">
        <v>14234</v>
      </c>
      <c r="C593">
        <v>3249</v>
      </c>
      <c r="D593">
        <f t="shared" si="36"/>
        <v>17483</v>
      </c>
      <c r="E593" t="s">
        <v>29</v>
      </c>
      <c r="F593">
        <v>22</v>
      </c>
      <c r="G593" t="str" cm="1">
        <f t="array" ref="G593">_xlfn.IFS(F593&lt;25,"18-24",F593&lt;35,"25-35",F593&lt;45,"35-44",F593&lt;55,"44-54",F593&gt;=55,"55+")</f>
        <v>18-24</v>
      </c>
      <c r="H593" t="s">
        <v>41</v>
      </c>
      <c r="I593">
        <v>0</v>
      </c>
      <c r="J593" t="str" cm="1">
        <f t="array" ref="J593">_xlfn.IFS(I593&lt;=0,"No Dependents",I593&lt;=1,"One",I593&lt;=2,"Two",I593&gt;=3,"Third")</f>
        <v>No Dependents</v>
      </c>
      <c r="K593">
        <v>550</v>
      </c>
      <c r="L593" t="str" cm="1">
        <f t="array" ref="L593">_xlfn.IFS(K593&lt;=580,"Poor",K593&lt;=670,"fair",K593&lt;=740,"Good",K593&lt;=800,"Very Good",K593&gt;=800,"Excellent")</f>
        <v>Poor</v>
      </c>
      <c r="M593">
        <v>4</v>
      </c>
      <c r="N593" t="str">
        <f t="shared" si="37"/>
        <v>Yes</v>
      </c>
      <c r="O593">
        <v>0.52</v>
      </c>
      <c r="P593" t="str" cm="1">
        <f t="array" ref="P593">_xlfn.IFS(O593&lt;=0.3,"Low Risk",O593&lt;=0.4,"medium Risk",O593&lt;=0.5,"High Risk",O593&gt;0.5,"Very High Risk")</f>
        <v>Very High Risk</v>
      </c>
      <c r="Q593">
        <v>14166</v>
      </c>
      <c r="R593">
        <v>5239</v>
      </c>
      <c r="S593" t="str">
        <f t="shared" si="38"/>
        <v>Yes</v>
      </c>
      <c r="T593">
        <v>1015</v>
      </c>
      <c r="U593" t="str" cm="1">
        <f t="array" ref="U593">_xlfn.IFS(T593&lt;5000,"Small",T593&lt;20000,"Medium",T593&lt;35000,"Large",T593&gt;35000,"Very Large")</f>
        <v>Small</v>
      </c>
      <c r="V593">
        <v>48</v>
      </c>
      <c r="W593">
        <f t="shared" si="39"/>
        <v>4</v>
      </c>
      <c r="X593" t="s">
        <v>42</v>
      </c>
      <c r="Y593" t="s">
        <v>32</v>
      </c>
      <c r="Z593" t="s">
        <v>33</v>
      </c>
      <c r="AA593" t="s">
        <v>34</v>
      </c>
      <c r="AB593" t="s">
        <v>48</v>
      </c>
      <c r="AC593" t="s">
        <v>36</v>
      </c>
    </row>
    <row r="594" spans="1:29" x14ac:dyDescent="0.25">
      <c r="A594">
        <v>625</v>
      </c>
      <c r="B594">
        <v>8254</v>
      </c>
      <c r="C594">
        <v>9110</v>
      </c>
      <c r="D594">
        <f t="shared" si="36"/>
        <v>17364</v>
      </c>
      <c r="E594" t="s">
        <v>29</v>
      </c>
      <c r="F594">
        <v>52</v>
      </c>
      <c r="G594" t="str" cm="1">
        <f t="array" ref="G594">_xlfn.IFS(F594&lt;25,"18-24",F594&lt;35,"25-35",F594&lt;45,"35-44",F594&lt;55,"44-54",F594&gt;=55,"55+")</f>
        <v>44-54</v>
      </c>
      <c r="H594" t="s">
        <v>30</v>
      </c>
      <c r="I594">
        <v>1</v>
      </c>
      <c r="J594" t="str" cm="1">
        <f t="array" ref="J594">_xlfn.IFS(I594&lt;=0,"No Dependents",I594&lt;=1,"One",I594&lt;=2,"Two",I594&gt;=3,"Third")</f>
        <v>One</v>
      </c>
      <c r="K594">
        <v>566</v>
      </c>
      <c r="L594" t="str" cm="1">
        <f t="array" ref="L594">_xlfn.IFS(K594&lt;=580,"Poor",K594&lt;=670,"fair",K594&lt;=740,"Good",K594&lt;=800,"Very Good",K594&gt;=800,"Excellent")</f>
        <v>Poor</v>
      </c>
      <c r="M594">
        <v>1</v>
      </c>
      <c r="N594" t="str">
        <f t="shared" si="37"/>
        <v>Yes</v>
      </c>
      <c r="O594">
        <v>0.23</v>
      </c>
      <c r="P594" t="str" cm="1">
        <f t="array" ref="P594">_xlfn.IFS(O594&lt;=0.3,"Low Risk",O594&lt;=0.4,"medium Risk",O594&lt;=0.5,"High Risk",O594&gt;0.5,"Very High Risk")</f>
        <v>Low Risk</v>
      </c>
      <c r="Q594">
        <v>6572</v>
      </c>
      <c r="R594">
        <v>0</v>
      </c>
      <c r="S594" t="str">
        <f t="shared" si="38"/>
        <v>No</v>
      </c>
      <c r="T594">
        <v>26957</v>
      </c>
      <c r="U594" t="str" cm="1">
        <f t="array" ref="U594">_xlfn.IFS(T594&lt;5000,"Small",T594&lt;20000,"Medium",T594&lt;35000,"Large",T594&gt;35000,"Very Large")</f>
        <v>Large</v>
      </c>
      <c r="V594">
        <v>12</v>
      </c>
      <c r="W594">
        <f t="shared" si="39"/>
        <v>1</v>
      </c>
      <c r="X594" t="s">
        <v>37</v>
      </c>
      <c r="Y594" t="s">
        <v>38</v>
      </c>
      <c r="Z594" t="s">
        <v>39</v>
      </c>
      <c r="AA594" t="s">
        <v>34</v>
      </c>
      <c r="AB594" t="s">
        <v>35</v>
      </c>
      <c r="AC594" t="s">
        <v>36</v>
      </c>
    </row>
    <row r="595" spans="1:29" x14ac:dyDescent="0.25">
      <c r="A595">
        <v>626</v>
      </c>
      <c r="B595">
        <v>19144</v>
      </c>
      <c r="C595">
        <v>7595</v>
      </c>
      <c r="D595">
        <f t="shared" si="36"/>
        <v>26739</v>
      </c>
      <c r="E595" t="s">
        <v>29</v>
      </c>
      <c r="F595">
        <v>28</v>
      </c>
      <c r="G595" t="str" cm="1">
        <f t="array" ref="G595">_xlfn.IFS(F595&lt;25,"18-24",F595&lt;35,"25-35",F595&lt;45,"35-44",F595&lt;55,"44-54",F595&gt;=55,"55+")</f>
        <v>25-35</v>
      </c>
      <c r="H595" t="s">
        <v>30</v>
      </c>
      <c r="I595">
        <v>0</v>
      </c>
      <c r="J595" t="str" cm="1">
        <f t="array" ref="J595">_xlfn.IFS(I595&lt;=0,"No Dependents",I595&lt;=1,"One",I595&lt;=2,"Two",I595&gt;=3,"Third")</f>
        <v>No Dependents</v>
      </c>
      <c r="K595">
        <v>745</v>
      </c>
      <c r="L595" t="str" cm="1">
        <f t="array" ref="L595">_xlfn.IFS(K595&lt;=580,"Poor",K595&lt;=670,"fair",K595&lt;=740,"Good",K595&lt;=800,"Very Good",K595&gt;=800,"Excellent")</f>
        <v>Very Good</v>
      </c>
      <c r="M595">
        <v>0</v>
      </c>
      <c r="N595" t="str">
        <f t="shared" si="37"/>
        <v>No</v>
      </c>
      <c r="O595">
        <v>0.32</v>
      </c>
      <c r="P595" t="str" cm="1">
        <f t="array" ref="P595">_xlfn.IFS(O595&lt;=0.3,"Low Risk",O595&lt;=0.4,"medium Risk",O595&lt;=0.5,"High Risk",O595&gt;0.5,"Very High Risk")</f>
        <v>medium Risk</v>
      </c>
      <c r="Q595">
        <v>234</v>
      </c>
      <c r="R595">
        <v>26415</v>
      </c>
      <c r="S595" t="str">
        <f t="shared" si="38"/>
        <v>Yes</v>
      </c>
      <c r="T595">
        <v>17005</v>
      </c>
      <c r="U595" t="str" cm="1">
        <f t="array" ref="U595">_xlfn.IFS(T595&lt;5000,"Small",T595&lt;20000,"Medium",T595&lt;35000,"Large",T595&gt;35000,"Very Large")</f>
        <v>Medium</v>
      </c>
      <c r="V595">
        <v>36</v>
      </c>
      <c r="W595">
        <f t="shared" si="39"/>
        <v>3</v>
      </c>
      <c r="X595" t="s">
        <v>47</v>
      </c>
      <c r="Y595" t="s">
        <v>32</v>
      </c>
      <c r="Z595" t="s">
        <v>39</v>
      </c>
      <c r="AA595" t="s">
        <v>40</v>
      </c>
      <c r="AB595" t="s">
        <v>51</v>
      </c>
      <c r="AC595" t="s">
        <v>44</v>
      </c>
    </row>
    <row r="596" spans="1:29" x14ac:dyDescent="0.25">
      <c r="A596">
        <v>627</v>
      </c>
      <c r="B596">
        <v>9350</v>
      </c>
      <c r="C596">
        <v>6294</v>
      </c>
      <c r="D596">
        <f t="shared" si="36"/>
        <v>15644</v>
      </c>
      <c r="E596" t="s">
        <v>46</v>
      </c>
      <c r="F596">
        <v>42</v>
      </c>
      <c r="G596" t="str" cm="1">
        <f t="array" ref="G596">_xlfn.IFS(F596&lt;25,"18-24",F596&lt;35,"25-35",F596&lt;45,"35-44",F596&lt;55,"44-54",F596&gt;=55,"55+")</f>
        <v>35-44</v>
      </c>
      <c r="H596" t="s">
        <v>41</v>
      </c>
      <c r="I596">
        <v>0</v>
      </c>
      <c r="J596" t="str" cm="1">
        <f t="array" ref="J596">_xlfn.IFS(I596&lt;=0,"No Dependents",I596&lt;=1,"One",I596&lt;=2,"Two",I596&gt;=3,"Third")</f>
        <v>No Dependents</v>
      </c>
      <c r="K596">
        <v>620</v>
      </c>
      <c r="L596" t="str" cm="1">
        <f t="array" ref="L596">_xlfn.IFS(K596&lt;=580,"Poor",K596&lt;=670,"fair",K596&lt;=740,"Good",K596&lt;=800,"Very Good",K596&gt;=800,"Excellent")</f>
        <v>fair</v>
      </c>
      <c r="M596">
        <v>1</v>
      </c>
      <c r="N596" t="str">
        <f t="shared" si="37"/>
        <v>Yes</v>
      </c>
      <c r="O596">
        <v>0.37</v>
      </c>
      <c r="P596" t="str" cm="1">
        <f t="array" ref="P596">_xlfn.IFS(O596&lt;=0.3,"Low Risk",O596&lt;=0.4,"medium Risk",O596&lt;=0.5,"High Risk",O596&gt;0.5,"Very High Risk")</f>
        <v>medium Risk</v>
      </c>
      <c r="Q596">
        <v>14067</v>
      </c>
      <c r="R596">
        <v>37888</v>
      </c>
      <c r="S596" t="str">
        <f t="shared" si="38"/>
        <v>Yes</v>
      </c>
      <c r="T596">
        <v>22292</v>
      </c>
      <c r="U596" t="str" cm="1">
        <f t="array" ref="U596">_xlfn.IFS(T596&lt;5000,"Small",T596&lt;20000,"Medium",T596&lt;35000,"Large",T596&gt;35000,"Very Large")</f>
        <v>Large</v>
      </c>
      <c r="V596">
        <v>72</v>
      </c>
      <c r="W596">
        <f t="shared" si="39"/>
        <v>6</v>
      </c>
      <c r="X596" t="s">
        <v>37</v>
      </c>
      <c r="Y596" t="s">
        <v>32</v>
      </c>
      <c r="Z596" t="s">
        <v>39</v>
      </c>
      <c r="AA596" t="s">
        <v>40</v>
      </c>
      <c r="AB596" t="s">
        <v>48</v>
      </c>
      <c r="AC596" t="s">
        <v>36</v>
      </c>
    </row>
    <row r="597" spans="1:29" x14ac:dyDescent="0.25">
      <c r="A597">
        <v>628</v>
      </c>
      <c r="B597">
        <v>17183</v>
      </c>
      <c r="C597">
        <v>6527</v>
      </c>
      <c r="D597">
        <f t="shared" si="36"/>
        <v>23710</v>
      </c>
      <c r="E597" t="s">
        <v>49</v>
      </c>
      <c r="F597">
        <v>26</v>
      </c>
      <c r="G597" t="str" cm="1">
        <f t="array" ref="G597">_xlfn.IFS(F597&lt;25,"18-24",F597&lt;35,"25-35",F597&lt;45,"35-44",F597&lt;55,"44-54",F597&gt;=55,"55+")</f>
        <v>25-35</v>
      </c>
      <c r="H597" t="s">
        <v>30</v>
      </c>
      <c r="I597">
        <v>1</v>
      </c>
      <c r="J597" t="str" cm="1">
        <f t="array" ref="J597">_xlfn.IFS(I597&lt;=0,"No Dependents",I597&lt;=1,"One",I597&lt;=2,"Two",I597&gt;=3,"Third")</f>
        <v>One</v>
      </c>
      <c r="K597">
        <v>611</v>
      </c>
      <c r="L597" t="str" cm="1">
        <f t="array" ref="L597">_xlfn.IFS(K597&lt;=580,"Poor",K597&lt;=670,"fair",K597&lt;=740,"Good",K597&lt;=800,"Very Good",K597&gt;=800,"Excellent")</f>
        <v>fair</v>
      </c>
      <c r="M597">
        <v>1</v>
      </c>
      <c r="N597" t="str">
        <f t="shared" si="37"/>
        <v>Yes</v>
      </c>
      <c r="O597">
        <v>0.43</v>
      </c>
      <c r="P597" t="str" cm="1">
        <f t="array" ref="P597">_xlfn.IFS(O597&lt;=0.3,"Low Risk",O597&lt;=0.4,"medium Risk",O597&lt;=0.5,"High Risk",O597&gt;0.5,"Very High Risk")</f>
        <v>High Risk</v>
      </c>
      <c r="Q597">
        <v>9696</v>
      </c>
      <c r="R597">
        <v>27195</v>
      </c>
      <c r="S597" t="str">
        <f t="shared" si="38"/>
        <v>Yes</v>
      </c>
      <c r="T597">
        <v>32876</v>
      </c>
      <c r="U597" t="str" cm="1">
        <f t="array" ref="U597">_xlfn.IFS(T597&lt;5000,"Small",T597&lt;20000,"Medium",T597&lt;35000,"Large",T597&gt;35000,"Very Large")</f>
        <v>Large</v>
      </c>
      <c r="V597">
        <v>48</v>
      </c>
      <c r="W597">
        <f t="shared" si="39"/>
        <v>4</v>
      </c>
      <c r="X597" t="s">
        <v>47</v>
      </c>
      <c r="Y597" t="s">
        <v>38</v>
      </c>
      <c r="Z597" t="s">
        <v>39</v>
      </c>
      <c r="AA597" t="s">
        <v>40</v>
      </c>
      <c r="AB597" t="s">
        <v>48</v>
      </c>
      <c r="AC597" t="s">
        <v>36</v>
      </c>
    </row>
    <row r="598" spans="1:29" x14ac:dyDescent="0.25">
      <c r="A598">
        <v>630</v>
      </c>
      <c r="B598">
        <v>8090</v>
      </c>
      <c r="C598">
        <v>1969</v>
      </c>
      <c r="D598">
        <f t="shared" si="36"/>
        <v>10059</v>
      </c>
      <c r="E598" t="s">
        <v>49</v>
      </c>
      <c r="F598">
        <v>56</v>
      </c>
      <c r="G598" t="str" cm="1">
        <f t="array" ref="G598">_xlfn.IFS(F598&lt;25,"18-24",F598&lt;35,"25-35",F598&lt;45,"35-44",F598&lt;55,"44-54",F598&gt;=55,"55+")</f>
        <v>55+</v>
      </c>
      <c r="H598" t="s">
        <v>41</v>
      </c>
      <c r="I598">
        <v>0</v>
      </c>
      <c r="J598" t="str" cm="1">
        <f t="array" ref="J598">_xlfn.IFS(I598&lt;=0,"No Dependents",I598&lt;=1,"One",I598&lt;=2,"Two",I598&gt;=3,"Third")</f>
        <v>No Dependents</v>
      </c>
      <c r="K598">
        <v>772</v>
      </c>
      <c r="L598" t="str" cm="1">
        <f t="array" ref="L598">_xlfn.IFS(K598&lt;=580,"Poor",K598&lt;=670,"fair",K598&lt;=740,"Good",K598&lt;=800,"Very Good",K598&gt;=800,"Excellent")</f>
        <v>Very Good</v>
      </c>
      <c r="M598">
        <v>4</v>
      </c>
      <c r="N598" t="str">
        <f t="shared" si="37"/>
        <v>Yes</v>
      </c>
      <c r="O598">
        <v>0.3</v>
      </c>
      <c r="P598" t="str" cm="1">
        <f t="array" ref="P598">_xlfn.IFS(O598&lt;=0.3,"Low Risk",O598&lt;=0.4,"medium Risk",O598&lt;=0.5,"High Risk",O598&gt;0.5,"Very High Risk")</f>
        <v>Low Risk</v>
      </c>
      <c r="Q598">
        <v>17758</v>
      </c>
      <c r="R598">
        <v>29323</v>
      </c>
      <c r="S598" t="str">
        <f t="shared" si="38"/>
        <v>Yes</v>
      </c>
      <c r="T598">
        <v>26470</v>
      </c>
      <c r="U598" t="str" cm="1">
        <f t="array" ref="U598">_xlfn.IFS(T598&lt;5000,"Small",T598&lt;20000,"Medium",T598&lt;35000,"Large",T598&gt;35000,"Very Large")</f>
        <v>Large</v>
      </c>
      <c r="V598">
        <v>84</v>
      </c>
      <c r="W598">
        <f t="shared" si="39"/>
        <v>7</v>
      </c>
      <c r="X598" t="s">
        <v>47</v>
      </c>
      <c r="Y598" t="s">
        <v>38</v>
      </c>
      <c r="Z598" t="s">
        <v>39</v>
      </c>
      <c r="AA598" t="s">
        <v>40</v>
      </c>
      <c r="AB598" t="s">
        <v>51</v>
      </c>
      <c r="AC598" t="s">
        <v>44</v>
      </c>
    </row>
    <row r="599" spans="1:29" x14ac:dyDescent="0.25">
      <c r="A599">
        <v>631</v>
      </c>
      <c r="B599">
        <v>13637</v>
      </c>
      <c r="C599">
        <v>891</v>
      </c>
      <c r="D599">
        <f t="shared" si="36"/>
        <v>14528</v>
      </c>
      <c r="E599" t="s">
        <v>29</v>
      </c>
      <c r="F599">
        <v>35</v>
      </c>
      <c r="G599" t="str" cm="1">
        <f t="array" ref="G599">_xlfn.IFS(F599&lt;25,"18-24",F599&lt;35,"25-35",F599&lt;45,"35-44",F599&lt;55,"44-54",F599&gt;=55,"55+")</f>
        <v>35-44</v>
      </c>
      <c r="H599" t="s">
        <v>30</v>
      </c>
      <c r="I599">
        <v>2</v>
      </c>
      <c r="J599" t="str" cm="1">
        <f t="array" ref="J599">_xlfn.IFS(I599&lt;=0,"No Dependents",I599&lt;=1,"One",I599&lt;=2,"Two",I599&gt;=3,"Third")</f>
        <v>Two</v>
      </c>
      <c r="K599">
        <v>792</v>
      </c>
      <c r="L599" t="str" cm="1">
        <f t="array" ref="L599">_xlfn.IFS(K599&lt;=580,"Poor",K599&lt;=670,"fair",K599&lt;=740,"Good",K599&lt;=800,"Very Good",K599&gt;=800,"Excellent")</f>
        <v>Very Good</v>
      </c>
      <c r="M599">
        <v>1</v>
      </c>
      <c r="N599" t="str">
        <f t="shared" si="37"/>
        <v>Yes</v>
      </c>
      <c r="O599">
        <v>0.42</v>
      </c>
      <c r="P599" t="str" cm="1">
        <f t="array" ref="P599">_xlfn.IFS(O599&lt;=0.3,"Low Risk",O599&lt;=0.4,"medium Risk",O599&lt;=0.5,"High Risk",O599&gt;0.5,"Very High Risk")</f>
        <v>High Risk</v>
      </c>
      <c r="Q599">
        <v>1909</v>
      </c>
      <c r="R599">
        <v>34964</v>
      </c>
      <c r="S599" t="str">
        <f t="shared" si="38"/>
        <v>Yes</v>
      </c>
      <c r="T599">
        <v>10759</v>
      </c>
      <c r="U599" t="str" cm="1">
        <f t="array" ref="U599">_xlfn.IFS(T599&lt;5000,"Small",T599&lt;20000,"Medium",T599&lt;35000,"Large",T599&gt;35000,"Very Large")</f>
        <v>Medium</v>
      </c>
      <c r="V599">
        <v>24</v>
      </c>
      <c r="W599">
        <f t="shared" si="39"/>
        <v>2</v>
      </c>
      <c r="X599" t="s">
        <v>50</v>
      </c>
      <c r="Y599" t="s">
        <v>45</v>
      </c>
      <c r="Z599" t="s">
        <v>39</v>
      </c>
      <c r="AA599" t="s">
        <v>40</v>
      </c>
      <c r="AB599" t="s">
        <v>43</v>
      </c>
      <c r="AC599" t="s">
        <v>36</v>
      </c>
    </row>
    <row r="600" spans="1:29" x14ac:dyDescent="0.25">
      <c r="A600">
        <v>633</v>
      </c>
      <c r="B600">
        <v>11911</v>
      </c>
      <c r="C600">
        <v>7175</v>
      </c>
      <c r="D600">
        <f t="shared" si="36"/>
        <v>19086</v>
      </c>
      <c r="E600" t="s">
        <v>29</v>
      </c>
      <c r="F600">
        <v>38</v>
      </c>
      <c r="G600" t="str" cm="1">
        <f t="array" ref="G600">_xlfn.IFS(F600&lt;25,"18-24",F600&lt;35,"25-35",F600&lt;45,"35-44",F600&lt;55,"44-54",F600&gt;=55,"55+")</f>
        <v>35-44</v>
      </c>
      <c r="H600" t="s">
        <v>30</v>
      </c>
      <c r="I600">
        <v>1</v>
      </c>
      <c r="J600" t="str" cm="1">
        <f t="array" ref="J600">_xlfn.IFS(I600&lt;=0,"No Dependents",I600&lt;=1,"One",I600&lt;=2,"Two",I600&gt;=3,"Third")</f>
        <v>One</v>
      </c>
      <c r="K600">
        <v>780</v>
      </c>
      <c r="L600" t="str" cm="1">
        <f t="array" ref="L600">_xlfn.IFS(K600&lt;=580,"Poor",K600&lt;=670,"fair",K600&lt;=740,"Good",K600&lt;=800,"Very Good",K600&gt;=800,"Excellent")</f>
        <v>Very Good</v>
      </c>
      <c r="M600">
        <v>3</v>
      </c>
      <c r="N600" t="str">
        <f t="shared" si="37"/>
        <v>Yes</v>
      </c>
      <c r="O600">
        <v>0.56999999999999995</v>
      </c>
      <c r="P600" t="str" cm="1">
        <f t="array" ref="P600">_xlfn.IFS(O600&lt;=0.3,"Low Risk",O600&lt;=0.4,"medium Risk",O600&lt;=0.5,"High Risk",O600&gt;0.5,"Very High Risk")</f>
        <v>Very High Risk</v>
      </c>
      <c r="Q600">
        <v>80</v>
      </c>
      <c r="R600">
        <v>30763</v>
      </c>
      <c r="S600" t="str">
        <f t="shared" si="38"/>
        <v>Yes</v>
      </c>
      <c r="T600">
        <v>21504</v>
      </c>
      <c r="U600" t="str" cm="1">
        <f t="array" ref="U600">_xlfn.IFS(T600&lt;5000,"Small",T600&lt;20000,"Medium",T600&lt;35000,"Large",T600&gt;35000,"Very Large")</f>
        <v>Large</v>
      </c>
      <c r="V600">
        <v>12</v>
      </c>
      <c r="W600">
        <f t="shared" si="39"/>
        <v>1</v>
      </c>
      <c r="X600" t="s">
        <v>47</v>
      </c>
      <c r="Y600" t="s">
        <v>32</v>
      </c>
      <c r="Z600" t="s">
        <v>33</v>
      </c>
      <c r="AA600" t="s">
        <v>34</v>
      </c>
      <c r="AB600" t="s">
        <v>43</v>
      </c>
      <c r="AC600" t="s">
        <v>36</v>
      </c>
    </row>
    <row r="601" spans="1:29" x14ac:dyDescent="0.25">
      <c r="A601">
        <v>634</v>
      </c>
      <c r="B601">
        <v>10472</v>
      </c>
      <c r="C601">
        <v>9556</v>
      </c>
      <c r="D601">
        <f t="shared" si="36"/>
        <v>20028</v>
      </c>
      <c r="E601" t="s">
        <v>29</v>
      </c>
      <c r="F601">
        <v>22</v>
      </c>
      <c r="G601" t="str" cm="1">
        <f t="array" ref="G601">_xlfn.IFS(F601&lt;25,"18-24",F601&lt;35,"25-35",F601&lt;45,"35-44",F601&lt;55,"44-54",F601&gt;=55,"55+")</f>
        <v>18-24</v>
      </c>
      <c r="H601" t="s">
        <v>41</v>
      </c>
      <c r="I601">
        <v>2</v>
      </c>
      <c r="J601" t="str" cm="1">
        <f t="array" ref="J601">_xlfn.IFS(I601&lt;=0,"No Dependents",I601&lt;=1,"One",I601&lt;=2,"Two",I601&gt;=3,"Third")</f>
        <v>Two</v>
      </c>
      <c r="K601">
        <v>668</v>
      </c>
      <c r="L601" t="str" cm="1">
        <f t="array" ref="L601">_xlfn.IFS(K601&lt;=580,"Poor",K601&lt;=670,"fair",K601&lt;=740,"Good",K601&lt;=800,"Very Good",K601&gt;=800,"Excellent")</f>
        <v>fair</v>
      </c>
      <c r="M601">
        <v>1</v>
      </c>
      <c r="N601" t="str">
        <f t="shared" si="37"/>
        <v>Yes</v>
      </c>
      <c r="O601">
        <v>0.28999999999999998</v>
      </c>
      <c r="P601" t="str" cm="1">
        <f t="array" ref="P601">_xlfn.IFS(O601&lt;=0.3,"Low Risk",O601&lt;=0.4,"medium Risk",O601&lt;=0.5,"High Risk",O601&gt;0.5,"Very High Risk")</f>
        <v>Low Risk</v>
      </c>
      <c r="Q601">
        <v>2083</v>
      </c>
      <c r="R601">
        <v>0</v>
      </c>
      <c r="S601" t="str">
        <f t="shared" si="38"/>
        <v>No</v>
      </c>
      <c r="T601">
        <v>9507</v>
      </c>
      <c r="U601" t="str" cm="1">
        <f t="array" ref="U601">_xlfn.IFS(T601&lt;5000,"Small",T601&lt;20000,"Medium",T601&lt;35000,"Large",T601&gt;35000,"Very Large")</f>
        <v>Medium</v>
      </c>
      <c r="V601">
        <v>12</v>
      </c>
      <c r="W601">
        <f t="shared" si="39"/>
        <v>1</v>
      </c>
      <c r="X601" t="s">
        <v>31</v>
      </c>
      <c r="Y601" t="s">
        <v>45</v>
      </c>
      <c r="Z601" t="s">
        <v>33</v>
      </c>
      <c r="AA601" t="s">
        <v>34</v>
      </c>
      <c r="AB601" t="s">
        <v>51</v>
      </c>
      <c r="AC601" t="s">
        <v>44</v>
      </c>
    </row>
    <row r="602" spans="1:29" x14ac:dyDescent="0.25">
      <c r="A602">
        <v>635</v>
      </c>
      <c r="B602">
        <v>5266</v>
      </c>
      <c r="C602">
        <v>8320</v>
      </c>
      <c r="D602">
        <f t="shared" si="36"/>
        <v>13586</v>
      </c>
      <c r="E602" t="s">
        <v>46</v>
      </c>
      <c r="F602">
        <v>33</v>
      </c>
      <c r="G602" t="str" cm="1">
        <f t="array" ref="G602">_xlfn.IFS(F602&lt;25,"18-24",F602&lt;35,"25-35",F602&lt;45,"35-44",F602&lt;55,"44-54",F602&gt;=55,"55+")</f>
        <v>25-35</v>
      </c>
      <c r="H602" t="s">
        <v>30</v>
      </c>
      <c r="I602">
        <v>3</v>
      </c>
      <c r="J602" t="str" cm="1">
        <f t="array" ref="J602">_xlfn.IFS(I602&lt;=0,"No Dependents",I602&lt;=1,"One",I602&lt;=2,"Two",I602&gt;=3,"Third")</f>
        <v>Third</v>
      </c>
      <c r="K602">
        <v>711</v>
      </c>
      <c r="L602" t="str" cm="1">
        <f t="array" ref="L602">_xlfn.IFS(K602&lt;=580,"Poor",K602&lt;=670,"fair",K602&lt;=740,"Good",K602&lt;=800,"Very Good",K602&gt;=800,"Excellent")</f>
        <v>Good</v>
      </c>
      <c r="M602">
        <v>4</v>
      </c>
      <c r="N602" t="str">
        <f t="shared" si="37"/>
        <v>Yes</v>
      </c>
      <c r="O602">
        <v>0.46</v>
      </c>
      <c r="P602" t="str" cm="1">
        <f t="array" ref="P602">_xlfn.IFS(O602&lt;=0.3,"Low Risk",O602&lt;=0.4,"medium Risk",O602&lt;=0.5,"High Risk",O602&gt;0.5,"Very High Risk")</f>
        <v>High Risk</v>
      </c>
      <c r="Q602">
        <v>13378</v>
      </c>
      <c r="R602">
        <v>18105</v>
      </c>
      <c r="S602" t="str">
        <f t="shared" si="38"/>
        <v>Yes</v>
      </c>
      <c r="T602">
        <v>22050</v>
      </c>
      <c r="U602" t="str" cm="1">
        <f t="array" ref="U602">_xlfn.IFS(T602&lt;5000,"Small",T602&lt;20000,"Medium",T602&lt;35000,"Large",T602&gt;35000,"Very Large")</f>
        <v>Large</v>
      </c>
      <c r="V602">
        <v>12</v>
      </c>
      <c r="W602">
        <f t="shared" si="39"/>
        <v>1</v>
      </c>
      <c r="X602" t="s">
        <v>50</v>
      </c>
      <c r="Y602" t="s">
        <v>45</v>
      </c>
      <c r="Z602" t="s">
        <v>33</v>
      </c>
      <c r="AA602" t="s">
        <v>40</v>
      </c>
      <c r="AB602" t="s">
        <v>35</v>
      </c>
      <c r="AC602" t="s">
        <v>36</v>
      </c>
    </row>
    <row r="603" spans="1:29" x14ac:dyDescent="0.25">
      <c r="A603">
        <v>636</v>
      </c>
      <c r="B603">
        <v>2666</v>
      </c>
      <c r="C603">
        <v>9206</v>
      </c>
      <c r="D603">
        <f t="shared" si="36"/>
        <v>11872</v>
      </c>
      <c r="E603" t="s">
        <v>46</v>
      </c>
      <c r="F603">
        <v>35</v>
      </c>
      <c r="G603" t="str" cm="1">
        <f t="array" ref="G603">_xlfn.IFS(F603&lt;25,"18-24",F603&lt;35,"25-35",F603&lt;45,"35-44",F603&lt;55,"44-54",F603&gt;=55,"55+")</f>
        <v>35-44</v>
      </c>
      <c r="H603" t="s">
        <v>30</v>
      </c>
      <c r="I603">
        <v>3</v>
      </c>
      <c r="J603" t="str" cm="1">
        <f t="array" ref="J603">_xlfn.IFS(I603&lt;=0,"No Dependents",I603&lt;=1,"One",I603&lt;=2,"Two",I603&gt;=3,"Third")</f>
        <v>Third</v>
      </c>
      <c r="K603">
        <v>747</v>
      </c>
      <c r="L603" t="str" cm="1">
        <f t="array" ref="L603">_xlfn.IFS(K603&lt;=580,"Poor",K603&lt;=670,"fair",K603&lt;=740,"Good",K603&lt;=800,"Very Good",K603&gt;=800,"Excellent")</f>
        <v>Very Good</v>
      </c>
      <c r="M603">
        <v>2</v>
      </c>
      <c r="N603" t="str">
        <f t="shared" si="37"/>
        <v>Yes</v>
      </c>
      <c r="O603">
        <v>0.11</v>
      </c>
      <c r="P603" t="str" cm="1">
        <f t="array" ref="P603">_xlfn.IFS(O603&lt;=0.3,"Low Risk",O603&lt;=0.4,"medium Risk",O603&lt;=0.5,"High Risk",O603&gt;0.5,"Very High Risk")</f>
        <v>Low Risk</v>
      </c>
      <c r="Q603">
        <v>15217</v>
      </c>
      <c r="R603">
        <v>0</v>
      </c>
      <c r="S603" t="str">
        <f t="shared" si="38"/>
        <v>No</v>
      </c>
      <c r="T603">
        <v>5820</v>
      </c>
      <c r="U603" t="str" cm="1">
        <f t="array" ref="U603">_xlfn.IFS(T603&lt;5000,"Small",T603&lt;20000,"Medium",T603&lt;35000,"Large",T603&gt;35000,"Very Large")</f>
        <v>Medium</v>
      </c>
      <c r="V603">
        <v>48</v>
      </c>
      <c r="W603">
        <f t="shared" si="39"/>
        <v>4</v>
      </c>
      <c r="X603" t="s">
        <v>31</v>
      </c>
      <c r="Y603" t="s">
        <v>38</v>
      </c>
      <c r="Z603" t="s">
        <v>33</v>
      </c>
      <c r="AA603" t="s">
        <v>40</v>
      </c>
      <c r="AB603" t="s">
        <v>35</v>
      </c>
      <c r="AC603" t="s">
        <v>44</v>
      </c>
    </row>
    <row r="604" spans="1:29" x14ac:dyDescent="0.25">
      <c r="A604">
        <v>637</v>
      </c>
      <c r="B604">
        <v>6188</v>
      </c>
      <c r="C604">
        <v>9991</v>
      </c>
      <c r="D604">
        <f t="shared" si="36"/>
        <v>16179</v>
      </c>
      <c r="E604" t="s">
        <v>29</v>
      </c>
      <c r="F604">
        <v>40</v>
      </c>
      <c r="G604" t="str" cm="1">
        <f t="array" ref="G604">_xlfn.IFS(F604&lt;25,"18-24",F604&lt;35,"25-35",F604&lt;45,"35-44",F604&lt;55,"44-54",F604&gt;=55,"55+")</f>
        <v>35-44</v>
      </c>
      <c r="H604" t="s">
        <v>41</v>
      </c>
      <c r="I604">
        <v>3</v>
      </c>
      <c r="J604" t="str" cm="1">
        <f t="array" ref="J604">_xlfn.IFS(I604&lt;=0,"No Dependents",I604&lt;=1,"One",I604&lt;=2,"Two",I604&gt;=3,"Third")</f>
        <v>Third</v>
      </c>
      <c r="K604">
        <v>791</v>
      </c>
      <c r="L604" t="str" cm="1">
        <f t="array" ref="L604">_xlfn.IFS(K604&lt;=580,"Poor",K604&lt;=670,"fair",K604&lt;=740,"Good",K604&lt;=800,"Very Good",K604&gt;=800,"Excellent")</f>
        <v>Very Good</v>
      </c>
      <c r="M604">
        <v>0</v>
      </c>
      <c r="N604" t="str">
        <f t="shared" si="37"/>
        <v>No</v>
      </c>
      <c r="O604">
        <v>0.35</v>
      </c>
      <c r="P604" t="str" cm="1">
        <f t="array" ref="P604">_xlfn.IFS(O604&lt;=0.3,"Low Risk",O604&lt;=0.4,"medium Risk",O604&lt;=0.5,"High Risk",O604&gt;0.5,"Very High Risk")</f>
        <v>medium Risk</v>
      </c>
      <c r="Q604">
        <v>18074</v>
      </c>
      <c r="R604">
        <v>29739</v>
      </c>
      <c r="S604" t="str">
        <f t="shared" si="38"/>
        <v>Yes</v>
      </c>
      <c r="T604">
        <v>8835</v>
      </c>
      <c r="U604" t="str" cm="1">
        <f t="array" ref="U604">_xlfn.IFS(T604&lt;5000,"Small",T604&lt;20000,"Medium",T604&lt;35000,"Large",T604&gt;35000,"Very Large")</f>
        <v>Medium</v>
      </c>
      <c r="V604">
        <v>12</v>
      </c>
      <c r="W604">
        <f t="shared" si="39"/>
        <v>1</v>
      </c>
      <c r="X604" t="s">
        <v>50</v>
      </c>
      <c r="Y604" t="s">
        <v>38</v>
      </c>
      <c r="Z604" t="s">
        <v>39</v>
      </c>
      <c r="AA604" t="s">
        <v>34</v>
      </c>
      <c r="AB604" t="s">
        <v>35</v>
      </c>
      <c r="AC604" t="s">
        <v>44</v>
      </c>
    </row>
    <row r="605" spans="1:29" x14ac:dyDescent="0.25">
      <c r="A605">
        <v>638</v>
      </c>
      <c r="B605">
        <v>19055</v>
      </c>
      <c r="C605">
        <v>6812</v>
      </c>
      <c r="D605">
        <f t="shared" si="36"/>
        <v>25867</v>
      </c>
      <c r="E605" t="s">
        <v>46</v>
      </c>
      <c r="F605">
        <v>49</v>
      </c>
      <c r="G605" t="str" cm="1">
        <f t="array" ref="G605">_xlfn.IFS(F605&lt;25,"18-24",F605&lt;35,"25-35",F605&lt;45,"35-44",F605&lt;55,"44-54",F605&gt;=55,"55+")</f>
        <v>44-54</v>
      </c>
      <c r="H605" t="s">
        <v>30</v>
      </c>
      <c r="I605">
        <v>2</v>
      </c>
      <c r="J605" t="str" cm="1">
        <f t="array" ref="J605">_xlfn.IFS(I605&lt;=0,"No Dependents",I605&lt;=1,"One",I605&lt;=2,"Two",I605&gt;=3,"Third")</f>
        <v>Two</v>
      </c>
      <c r="K605">
        <v>550</v>
      </c>
      <c r="L605" t="str" cm="1">
        <f t="array" ref="L605">_xlfn.IFS(K605&lt;=580,"Poor",K605&lt;=670,"fair",K605&lt;=740,"Good",K605&lt;=800,"Very Good",K605&gt;=800,"Excellent")</f>
        <v>Poor</v>
      </c>
      <c r="M605">
        <v>2</v>
      </c>
      <c r="N605" t="str">
        <f t="shared" si="37"/>
        <v>Yes</v>
      </c>
      <c r="O605">
        <v>0.34</v>
      </c>
      <c r="P605" t="str" cm="1">
        <f t="array" ref="P605">_xlfn.IFS(O605&lt;=0.3,"Low Risk",O605&lt;=0.4,"medium Risk",O605&lt;=0.5,"High Risk",O605&gt;0.5,"Very High Risk")</f>
        <v>medium Risk</v>
      </c>
      <c r="Q605">
        <v>17140</v>
      </c>
      <c r="R605">
        <v>48205</v>
      </c>
      <c r="S605" t="str">
        <f t="shared" si="38"/>
        <v>Yes</v>
      </c>
      <c r="T605">
        <v>0</v>
      </c>
      <c r="U605" t="str" cm="1">
        <f t="array" ref="U605">_xlfn.IFS(T605&lt;5000,"Small",T605&lt;20000,"Medium",T605&lt;35000,"Large",T605&gt;35000,"Very Large")</f>
        <v>Small</v>
      </c>
      <c r="V605">
        <v>24</v>
      </c>
      <c r="W605">
        <f t="shared" si="39"/>
        <v>2</v>
      </c>
      <c r="X605" t="s">
        <v>31</v>
      </c>
      <c r="Y605" t="s">
        <v>32</v>
      </c>
      <c r="Z605" t="s">
        <v>39</v>
      </c>
      <c r="AA605" t="s">
        <v>40</v>
      </c>
      <c r="AB605" t="s">
        <v>51</v>
      </c>
      <c r="AC605" t="s">
        <v>44</v>
      </c>
    </row>
    <row r="606" spans="1:29" x14ac:dyDescent="0.25">
      <c r="A606">
        <v>639</v>
      </c>
      <c r="B606">
        <v>12161</v>
      </c>
      <c r="C606">
        <v>7519</v>
      </c>
      <c r="D606">
        <f t="shared" si="36"/>
        <v>19680</v>
      </c>
      <c r="E606" t="s">
        <v>29</v>
      </c>
      <c r="F606">
        <v>49</v>
      </c>
      <c r="G606" t="str" cm="1">
        <f t="array" ref="G606">_xlfn.IFS(F606&lt;25,"18-24",F606&lt;35,"25-35",F606&lt;45,"35-44",F606&lt;55,"44-54",F606&gt;=55,"55+")</f>
        <v>44-54</v>
      </c>
      <c r="H606" t="s">
        <v>41</v>
      </c>
      <c r="I606">
        <v>2</v>
      </c>
      <c r="J606" t="str" cm="1">
        <f t="array" ref="J606">_xlfn.IFS(I606&lt;=0,"No Dependents",I606&lt;=1,"One",I606&lt;=2,"Two",I606&gt;=3,"Third")</f>
        <v>Two</v>
      </c>
      <c r="K606">
        <v>594</v>
      </c>
      <c r="L606" t="str" cm="1">
        <f t="array" ref="L606">_xlfn.IFS(K606&lt;=580,"Poor",K606&lt;=670,"fair",K606&lt;=740,"Good",K606&lt;=800,"Very Good",K606&gt;=800,"Excellent")</f>
        <v>fair</v>
      </c>
      <c r="M606">
        <v>3</v>
      </c>
      <c r="N606" t="str">
        <f t="shared" si="37"/>
        <v>Yes</v>
      </c>
      <c r="O606">
        <v>0.54</v>
      </c>
      <c r="P606" t="str" cm="1">
        <f t="array" ref="P606">_xlfn.IFS(O606&lt;=0.3,"Low Risk",O606&lt;=0.4,"medium Risk",O606&lt;=0.5,"High Risk",O606&gt;0.5,"Very High Risk")</f>
        <v>Very High Risk</v>
      </c>
      <c r="Q606">
        <v>2670</v>
      </c>
      <c r="R606">
        <v>31969</v>
      </c>
      <c r="S606" t="str">
        <f t="shared" si="38"/>
        <v>Yes</v>
      </c>
      <c r="T606">
        <v>35617</v>
      </c>
      <c r="U606" t="str" cm="1">
        <f t="array" ref="U606">_xlfn.IFS(T606&lt;5000,"Small",T606&lt;20000,"Medium",T606&lt;35000,"Large",T606&gt;35000,"Very Large")</f>
        <v>Very Large</v>
      </c>
      <c r="V606">
        <v>48</v>
      </c>
      <c r="W606">
        <f t="shared" si="39"/>
        <v>4</v>
      </c>
      <c r="X606" t="s">
        <v>31</v>
      </c>
      <c r="Y606" t="s">
        <v>32</v>
      </c>
      <c r="Z606" t="s">
        <v>39</v>
      </c>
      <c r="AA606" t="s">
        <v>40</v>
      </c>
      <c r="AB606" t="s">
        <v>35</v>
      </c>
      <c r="AC606" t="s">
        <v>36</v>
      </c>
    </row>
    <row r="607" spans="1:29" x14ac:dyDescent="0.25">
      <c r="A607">
        <v>640</v>
      </c>
      <c r="B607">
        <v>13314</v>
      </c>
      <c r="C607">
        <v>4612</v>
      </c>
      <c r="D607">
        <f t="shared" si="36"/>
        <v>17926</v>
      </c>
      <c r="E607" t="s">
        <v>49</v>
      </c>
      <c r="F607">
        <v>23</v>
      </c>
      <c r="G607" t="str" cm="1">
        <f t="array" ref="G607">_xlfn.IFS(F607&lt;25,"18-24",F607&lt;35,"25-35",F607&lt;45,"35-44",F607&lt;55,"44-54",F607&gt;=55,"55+")</f>
        <v>18-24</v>
      </c>
      <c r="H607" t="s">
        <v>30</v>
      </c>
      <c r="I607">
        <v>3</v>
      </c>
      <c r="J607" t="str" cm="1">
        <f t="array" ref="J607">_xlfn.IFS(I607&lt;=0,"No Dependents",I607&lt;=1,"One",I607&lt;=2,"Two",I607&gt;=3,"Third")</f>
        <v>Third</v>
      </c>
      <c r="K607">
        <v>607</v>
      </c>
      <c r="L607" t="str" cm="1">
        <f t="array" ref="L607">_xlfn.IFS(K607&lt;=580,"Poor",K607&lt;=670,"fair",K607&lt;=740,"Good",K607&lt;=800,"Very Good",K607&gt;=800,"Excellent")</f>
        <v>fair</v>
      </c>
      <c r="M607">
        <v>1</v>
      </c>
      <c r="N607" t="str">
        <f t="shared" si="37"/>
        <v>Yes</v>
      </c>
      <c r="O607">
        <v>0.36</v>
      </c>
      <c r="P607" t="str" cm="1">
        <f t="array" ref="P607">_xlfn.IFS(O607&lt;=0.3,"Low Risk",O607&lt;=0.4,"medium Risk",O607&lt;=0.5,"High Risk",O607&gt;0.5,"Very High Risk")</f>
        <v>medium Risk</v>
      </c>
      <c r="Q607">
        <v>3751</v>
      </c>
      <c r="R607">
        <v>14497</v>
      </c>
      <c r="S607" t="str">
        <f t="shared" si="38"/>
        <v>Yes</v>
      </c>
      <c r="T607">
        <v>0</v>
      </c>
      <c r="U607" t="str" cm="1">
        <f t="array" ref="U607">_xlfn.IFS(T607&lt;5000,"Small",T607&lt;20000,"Medium",T607&lt;35000,"Large",T607&gt;35000,"Very Large")</f>
        <v>Small</v>
      </c>
      <c r="V607">
        <v>84</v>
      </c>
      <c r="W607">
        <f t="shared" si="39"/>
        <v>7</v>
      </c>
      <c r="X607" t="s">
        <v>37</v>
      </c>
      <c r="Y607" t="s">
        <v>38</v>
      </c>
      <c r="Z607" t="s">
        <v>39</v>
      </c>
      <c r="AA607" t="s">
        <v>40</v>
      </c>
      <c r="AB607" t="s">
        <v>43</v>
      </c>
      <c r="AC607" t="s">
        <v>36</v>
      </c>
    </row>
    <row r="608" spans="1:29" x14ac:dyDescent="0.25">
      <c r="A608">
        <v>641</v>
      </c>
      <c r="B608">
        <v>14891</v>
      </c>
      <c r="C608">
        <v>9710</v>
      </c>
      <c r="D608">
        <f t="shared" si="36"/>
        <v>24601</v>
      </c>
      <c r="E608" t="s">
        <v>48</v>
      </c>
      <c r="F608">
        <v>39</v>
      </c>
      <c r="G608" t="str" cm="1">
        <f t="array" ref="G608">_xlfn.IFS(F608&lt;25,"18-24",F608&lt;35,"25-35",F608&lt;45,"35-44",F608&lt;55,"44-54",F608&gt;=55,"55+")</f>
        <v>35-44</v>
      </c>
      <c r="H608" t="s">
        <v>30</v>
      </c>
      <c r="I608">
        <v>0</v>
      </c>
      <c r="J608" t="str" cm="1">
        <f t="array" ref="J608">_xlfn.IFS(I608&lt;=0,"No Dependents",I608&lt;=1,"One",I608&lt;=2,"Two",I608&gt;=3,"Third")</f>
        <v>No Dependents</v>
      </c>
      <c r="K608">
        <v>728</v>
      </c>
      <c r="L608" t="str" cm="1">
        <f t="array" ref="L608">_xlfn.IFS(K608&lt;=580,"Poor",K608&lt;=670,"fair",K608&lt;=740,"Good",K608&lt;=800,"Very Good",K608&gt;=800,"Excellent")</f>
        <v>Good</v>
      </c>
      <c r="M608">
        <v>1</v>
      </c>
      <c r="N608" t="str">
        <f t="shared" si="37"/>
        <v>Yes</v>
      </c>
      <c r="O608">
        <v>0.56000000000000005</v>
      </c>
      <c r="P608" t="str" cm="1">
        <f t="array" ref="P608">_xlfn.IFS(O608&lt;=0.3,"Low Risk",O608&lt;=0.4,"medium Risk",O608&lt;=0.5,"High Risk",O608&gt;0.5,"Very High Risk")</f>
        <v>Very High Risk</v>
      </c>
      <c r="Q608">
        <v>11744</v>
      </c>
      <c r="R608">
        <v>1816</v>
      </c>
      <c r="S608" t="str">
        <f t="shared" si="38"/>
        <v>Yes</v>
      </c>
      <c r="T608">
        <v>0</v>
      </c>
      <c r="U608" t="str" cm="1">
        <f t="array" ref="U608">_xlfn.IFS(T608&lt;5000,"Small",T608&lt;20000,"Medium",T608&lt;35000,"Large",T608&gt;35000,"Very Large")</f>
        <v>Small</v>
      </c>
      <c r="V608">
        <v>24</v>
      </c>
      <c r="W608">
        <f t="shared" si="39"/>
        <v>2</v>
      </c>
      <c r="X608" t="s">
        <v>47</v>
      </c>
      <c r="Y608" t="s">
        <v>45</v>
      </c>
      <c r="Z608" t="s">
        <v>39</v>
      </c>
      <c r="AA608" t="s">
        <v>34</v>
      </c>
      <c r="AB608" t="s">
        <v>35</v>
      </c>
      <c r="AC608" t="s">
        <v>36</v>
      </c>
    </row>
    <row r="609" spans="1:29" x14ac:dyDescent="0.25">
      <c r="A609">
        <v>642</v>
      </c>
      <c r="B609">
        <v>6777</v>
      </c>
      <c r="C609">
        <v>1198</v>
      </c>
      <c r="D609">
        <f t="shared" si="36"/>
        <v>7975</v>
      </c>
      <c r="E609" t="s">
        <v>29</v>
      </c>
      <c r="F609">
        <v>23</v>
      </c>
      <c r="G609" t="str" cm="1">
        <f t="array" ref="G609">_xlfn.IFS(F609&lt;25,"18-24",F609&lt;35,"25-35",F609&lt;45,"35-44",F609&lt;55,"44-54",F609&gt;=55,"55+")</f>
        <v>18-24</v>
      </c>
      <c r="H609" t="s">
        <v>41</v>
      </c>
      <c r="I609">
        <v>0</v>
      </c>
      <c r="J609" t="str" cm="1">
        <f t="array" ref="J609">_xlfn.IFS(I609&lt;=0,"No Dependents",I609&lt;=1,"One",I609&lt;=2,"Two",I609&gt;=3,"Third")</f>
        <v>No Dependents</v>
      </c>
      <c r="K609">
        <v>675</v>
      </c>
      <c r="L609" t="str" cm="1">
        <f t="array" ref="L609">_xlfn.IFS(K609&lt;=580,"Poor",K609&lt;=670,"fair",K609&lt;=740,"Good",K609&lt;=800,"Very Good",K609&gt;=800,"Excellent")</f>
        <v>Good</v>
      </c>
      <c r="M609">
        <v>4</v>
      </c>
      <c r="N609" t="str">
        <f t="shared" si="37"/>
        <v>Yes</v>
      </c>
      <c r="O609">
        <v>0.34</v>
      </c>
      <c r="P609" t="str" cm="1">
        <f t="array" ref="P609">_xlfn.IFS(O609&lt;=0.3,"Low Risk",O609&lt;=0.4,"medium Risk",O609&lt;=0.5,"High Risk",O609&gt;0.5,"Very High Risk")</f>
        <v>medium Risk</v>
      </c>
      <c r="Q609">
        <v>5261</v>
      </c>
      <c r="R609">
        <v>26483</v>
      </c>
      <c r="S609" t="str">
        <f t="shared" si="38"/>
        <v>Yes</v>
      </c>
      <c r="T609">
        <v>7840</v>
      </c>
      <c r="U609" t="str" cm="1">
        <f t="array" ref="U609">_xlfn.IFS(T609&lt;5000,"Small",T609&lt;20000,"Medium",T609&lt;35000,"Large",T609&gt;35000,"Very Large")</f>
        <v>Medium</v>
      </c>
      <c r="V609">
        <v>60</v>
      </c>
      <c r="W609">
        <f t="shared" si="39"/>
        <v>5</v>
      </c>
      <c r="X609" t="s">
        <v>31</v>
      </c>
      <c r="Y609" t="s">
        <v>32</v>
      </c>
      <c r="Z609" t="s">
        <v>33</v>
      </c>
      <c r="AA609" t="s">
        <v>34</v>
      </c>
      <c r="AB609" t="s">
        <v>42</v>
      </c>
      <c r="AC609" t="s">
        <v>44</v>
      </c>
    </row>
    <row r="610" spans="1:29" x14ac:dyDescent="0.25">
      <c r="A610">
        <v>643</v>
      </c>
      <c r="B610">
        <v>5900</v>
      </c>
      <c r="C610">
        <v>5238</v>
      </c>
      <c r="D610">
        <f t="shared" si="36"/>
        <v>11138</v>
      </c>
      <c r="E610" t="s">
        <v>46</v>
      </c>
      <c r="F610">
        <v>34</v>
      </c>
      <c r="G610" t="str" cm="1">
        <f t="array" ref="G610">_xlfn.IFS(F610&lt;25,"18-24",F610&lt;35,"25-35",F610&lt;45,"35-44",F610&lt;55,"44-54",F610&gt;=55,"55+")</f>
        <v>25-35</v>
      </c>
      <c r="H610" t="s">
        <v>30</v>
      </c>
      <c r="I610">
        <v>2</v>
      </c>
      <c r="J610" t="str" cm="1">
        <f t="array" ref="J610">_xlfn.IFS(I610&lt;=0,"No Dependents",I610&lt;=1,"One",I610&lt;=2,"Two",I610&gt;=3,"Third")</f>
        <v>Two</v>
      </c>
      <c r="K610">
        <v>711</v>
      </c>
      <c r="L610" t="str" cm="1">
        <f t="array" ref="L610">_xlfn.IFS(K610&lt;=580,"Poor",K610&lt;=670,"fair",K610&lt;=740,"Good",K610&lt;=800,"Very Good",K610&gt;=800,"Excellent")</f>
        <v>Good</v>
      </c>
      <c r="M610">
        <v>0</v>
      </c>
      <c r="N610" t="str">
        <f t="shared" si="37"/>
        <v>No</v>
      </c>
      <c r="O610">
        <v>0.35</v>
      </c>
      <c r="P610" t="str" cm="1">
        <f t="array" ref="P610">_xlfn.IFS(O610&lt;=0.3,"Low Risk",O610&lt;=0.4,"medium Risk",O610&lt;=0.5,"High Risk",O610&gt;0.5,"Very High Risk")</f>
        <v>medium Risk</v>
      </c>
      <c r="Q610">
        <v>14691</v>
      </c>
      <c r="R610">
        <v>43481</v>
      </c>
      <c r="S610" t="str">
        <f t="shared" si="38"/>
        <v>Yes</v>
      </c>
      <c r="T610">
        <v>38834</v>
      </c>
      <c r="U610" t="str" cm="1">
        <f t="array" ref="U610">_xlfn.IFS(T610&lt;5000,"Small",T610&lt;20000,"Medium",T610&lt;35000,"Large",T610&gt;35000,"Very Large")</f>
        <v>Very Large</v>
      </c>
      <c r="V610">
        <v>84</v>
      </c>
      <c r="W610">
        <f t="shared" si="39"/>
        <v>7</v>
      </c>
      <c r="X610" t="s">
        <v>42</v>
      </c>
      <c r="Y610" t="s">
        <v>38</v>
      </c>
      <c r="Z610" t="s">
        <v>39</v>
      </c>
      <c r="AA610" t="s">
        <v>34</v>
      </c>
      <c r="AB610" t="s">
        <v>35</v>
      </c>
      <c r="AC610" t="s">
        <v>36</v>
      </c>
    </row>
    <row r="611" spans="1:29" x14ac:dyDescent="0.25">
      <c r="A611">
        <v>644</v>
      </c>
      <c r="B611">
        <v>15716</v>
      </c>
      <c r="C611">
        <v>6089</v>
      </c>
      <c r="D611">
        <f t="shared" si="36"/>
        <v>21805</v>
      </c>
      <c r="E611" t="s">
        <v>29</v>
      </c>
      <c r="F611">
        <v>24</v>
      </c>
      <c r="G611" t="str" cm="1">
        <f t="array" ref="G611">_xlfn.IFS(F611&lt;25,"18-24",F611&lt;35,"25-35",F611&lt;45,"35-44",F611&lt;55,"44-54",F611&gt;=55,"55+")</f>
        <v>18-24</v>
      </c>
      <c r="H611" t="s">
        <v>30</v>
      </c>
      <c r="I611">
        <v>2</v>
      </c>
      <c r="J611" t="str" cm="1">
        <f t="array" ref="J611">_xlfn.IFS(I611&lt;=0,"No Dependents",I611&lt;=1,"One",I611&lt;=2,"Two",I611&gt;=3,"Third")</f>
        <v>Two</v>
      </c>
      <c r="K611">
        <v>593</v>
      </c>
      <c r="L611" t="str" cm="1">
        <f t="array" ref="L611">_xlfn.IFS(K611&lt;=580,"Poor",K611&lt;=670,"fair",K611&lt;=740,"Good",K611&lt;=800,"Very Good",K611&gt;=800,"Excellent")</f>
        <v>fair</v>
      </c>
      <c r="M611">
        <v>0</v>
      </c>
      <c r="N611" t="str">
        <f t="shared" si="37"/>
        <v>No</v>
      </c>
      <c r="O611">
        <v>0.16</v>
      </c>
      <c r="P611" t="str" cm="1">
        <f t="array" ref="P611">_xlfn.IFS(O611&lt;=0.3,"Low Risk",O611&lt;=0.4,"medium Risk",O611&lt;=0.5,"High Risk",O611&gt;0.5,"Very High Risk")</f>
        <v>Low Risk</v>
      </c>
      <c r="Q611">
        <v>6852</v>
      </c>
      <c r="R611">
        <v>22159</v>
      </c>
      <c r="S611" t="str">
        <f t="shared" si="38"/>
        <v>Yes</v>
      </c>
      <c r="T611">
        <v>32440</v>
      </c>
      <c r="U611" t="str" cm="1">
        <f t="array" ref="U611">_xlfn.IFS(T611&lt;5000,"Small",T611&lt;20000,"Medium",T611&lt;35000,"Large",T611&gt;35000,"Very Large")</f>
        <v>Large</v>
      </c>
      <c r="V611">
        <v>12</v>
      </c>
      <c r="W611">
        <f t="shared" si="39"/>
        <v>1</v>
      </c>
      <c r="X611" t="s">
        <v>37</v>
      </c>
      <c r="Y611" t="s">
        <v>38</v>
      </c>
      <c r="Z611" t="s">
        <v>39</v>
      </c>
      <c r="AA611" t="s">
        <v>40</v>
      </c>
      <c r="AB611" t="s">
        <v>35</v>
      </c>
      <c r="AC611" t="s">
        <v>36</v>
      </c>
    </row>
    <row r="612" spans="1:29" x14ac:dyDescent="0.25">
      <c r="A612">
        <v>645</v>
      </c>
      <c r="B612">
        <v>8981</v>
      </c>
      <c r="C612">
        <v>6257</v>
      </c>
      <c r="D612">
        <f t="shared" si="36"/>
        <v>15238</v>
      </c>
      <c r="E612" t="s">
        <v>29</v>
      </c>
      <c r="F612">
        <v>31</v>
      </c>
      <c r="G612" t="str" cm="1">
        <f t="array" ref="G612">_xlfn.IFS(F612&lt;25,"18-24",F612&lt;35,"25-35",F612&lt;45,"35-44",F612&lt;55,"44-54",F612&gt;=55,"55+")</f>
        <v>25-35</v>
      </c>
      <c r="H612" t="s">
        <v>30</v>
      </c>
      <c r="I612">
        <v>2</v>
      </c>
      <c r="J612" t="str" cm="1">
        <f t="array" ref="J612">_xlfn.IFS(I612&lt;=0,"No Dependents",I612&lt;=1,"One",I612&lt;=2,"Two",I612&gt;=3,"Third")</f>
        <v>Two</v>
      </c>
      <c r="K612">
        <v>564</v>
      </c>
      <c r="L612" t="str" cm="1">
        <f t="array" ref="L612">_xlfn.IFS(K612&lt;=580,"Poor",K612&lt;=670,"fair",K612&lt;=740,"Good",K612&lt;=800,"Very Good",K612&gt;=800,"Excellent")</f>
        <v>Poor</v>
      </c>
      <c r="M612">
        <v>3</v>
      </c>
      <c r="N612" t="str">
        <f t="shared" si="37"/>
        <v>Yes</v>
      </c>
      <c r="O612">
        <v>0.5</v>
      </c>
      <c r="P612" t="str" cm="1">
        <f t="array" ref="P612">_xlfn.IFS(O612&lt;=0.3,"Low Risk",O612&lt;=0.4,"medium Risk",O612&lt;=0.5,"High Risk",O612&gt;0.5,"Very High Risk")</f>
        <v>High Risk</v>
      </c>
      <c r="Q612">
        <v>1494</v>
      </c>
      <c r="R612">
        <v>3849</v>
      </c>
      <c r="S612" t="str">
        <f t="shared" si="38"/>
        <v>Yes</v>
      </c>
      <c r="T612">
        <v>36183</v>
      </c>
      <c r="U612" t="str" cm="1">
        <f t="array" ref="U612">_xlfn.IFS(T612&lt;5000,"Small",T612&lt;20000,"Medium",T612&lt;35000,"Large",T612&gt;35000,"Very Large")</f>
        <v>Very Large</v>
      </c>
      <c r="V612">
        <v>72</v>
      </c>
      <c r="W612">
        <f t="shared" si="39"/>
        <v>6</v>
      </c>
      <c r="X612" t="s">
        <v>47</v>
      </c>
      <c r="Y612" t="s">
        <v>32</v>
      </c>
      <c r="Z612" t="s">
        <v>39</v>
      </c>
      <c r="AA612" t="s">
        <v>40</v>
      </c>
      <c r="AB612" t="s">
        <v>35</v>
      </c>
      <c r="AC612" t="s">
        <v>36</v>
      </c>
    </row>
    <row r="613" spans="1:29" x14ac:dyDescent="0.25">
      <c r="A613">
        <v>646</v>
      </c>
      <c r="B613">
        <v>8376</v>
      </c>
      <c r="C613">
        <v>7705</v>
      </c>
      <c r="D613">
        <f t="shared" si="36"/>
        <v>16081</v>
      </c>
      <c r="E613" t="s">
        <v>29</v>
      </c>
      <c r="F613">
        <v>51</v>
      </c>
      <c r="G613" t="str" cm="1">
        <f t="array" ref="G613">_xlfn.IFS(F613&lt;25,"18-24",F613&lt;35,"25-35",F613&lt;45,"35-44",F613&lt;55,"44-54",F613&gt;=55,"55+")</f>
        <v>44-54</v>
      </c>
      <c r="H613" t="s">
        <v>41</v>
      </c>
      <c r="I613">
        <v>3</v>
      </c>
      <c r="J613" t="str" cm="1">
        <f t="array" ref="J613">_xlfn.IFS(I613&lt;=0,"No Dependents",I613&lt;=1,"One",I613&lt;=2,"Two",I613&gt;=3,"Third")</f>
        <v>Third</v>
      </c>
      <c r="K613">
        <v>627</v>
      </c>
      <c r="L613" t="str" cm="1">
        <f t="array" ref="L613">_xlfn.IFS(K613&lt;=580,"Poor",K613&lt;=670,"fair",K613&lt;=740,"Good",K613&lt;=800,"Very Good",K613&gt;=800,"Excellent")</f>
        <v>fair</v>
      </c>
      <c r="M613">
        <v>2</v>
      </c>
      <c r="N613" t="str">
        <f t="shared" si="37"/>
        <v>Yes</v>
      </c>
      <c r="O613">
        <v>0.22</v>
      </c>
      <c r="P613" t="str" cm="1">
        <f t="array" ref="P613">_xlfn.IFS(O613&lt;=0.3,"Low Risk",O613&lt;=0.4,"medium Risk",O613&lt;=0.5,"High Risk",O613&gt;0.5,"Very High Risk")</f>
        <v>Low Risk</v>
      </c>
      <c r="Q613">
        <v>17285</v>
      </c>
      <c r="R613">
        <v>21612</v>
      </c>
      <c r="S613" t="str">
        <f t="shared" si="38"/>
        <v>Yes</v>
      </c>
      <c r="T613">
        <v>31636</v>
      </c>
      <c r="U613" t="str" cm="1">
        <f t="array" ref="U613">_xlfn.IFS(T613&lt;5000,"Small",T613&lt;20000,"Medium",T613&lt;35000,"Large",T613&gt;35000,"Very Large")</f>
        <v>Large</v>
      </c>
      <c r="V613">
        <v>72</v>
      </c>
      <c r="W613">
        <f t="shared" si="39"/>
        <v>6</v>
      </c>
      <c r="X613" t="s">
        <v>37</v>
      </c>
      <c r="Y613" t="s">
        <v>32</v>
      </c>
      <c r="Z613" t="s">
        <v>39</v>
      </c>
      <c r="AA613" t="s">
        <v>40</v>
      </c>
      <c r="AB613" t="s">
        <v>48</v>
      </c>
      <c r="AC613" t="s">
        <v>36</v>
      </c>
    </row>
    <row r="614" spans="1:29" x14ac:dyDescent="0.25">
      <c r="A614">
        <v>647</v>
      </c>
      <c r="B614">
        <v>18907</v>
      </c>
      <c r="C614">
        <v>3719</v>
      </c>
      <c r="D614">
        <f t="shared" si="36"/>
        <v>22626</v>
      </c>
      <c r="E614" t="s">
        <v>49</v>
      </c>
      <c r="F614">
        <v>52</v>
      </c>
      <c r="G614" t="str" cm="1">
        <f t="array" ref="G614">_xlfn.IFS(F614&lt;25,"18-24",F614&lt;35,"25-35",F614&lt;45,"35-44",F614&lt;55,"44-54",F614&gt;=55,"55+")</f>
        <v>44-54</v>
      </c>
      <c r="H614" t="s">
        <v>30</v>
      </c>
      <c r="I614">
        <v>0</v>
      </c>
      <c r="J614" t="str" cm="1">
        <f t="array" ref="J614">_xlfn.IFS(I614&lt;=0,"No Dependents",I614&lt;=1,"One",I614&lt;=2,"Two",I614&gt;=3,"Third")</f>
        <v>No Dependents</v>
      </c>
      <c r="K614">
        <v>619</v>
      </c>
      <c r="L614" t="str" cm="1">
        <f t="array" ref="L614">_xlfn.IFS(K614&lt;=580,"Poor",K614&lt;=670,"fair",K614&lt;=740,"Good",K614&lt;=800,"Very Good",K614&gt;=800,"Excellent")</f>
        <v>fair</v>
      </c>
      <c r="M614">
        <v>3</v>
      </c>
      <c r="N614" t="str">
        <f t="shared" si="37"/>
        <v>Yes</v>
      </c>
      <c r="O614">
        <v>0.55000000000000004</v>
      </c>
      <c r="P614" t="str" cm="1">
        <f t="array" ref="P614">_xlfn.IFS(O614&lt;=0.3,"Low Risk",O614&lt;=0.4,"medium Risk",O614&lt;=0.5,"High Risk",O614&gt;0.5,"Very High Risk")</f>
        <v>Very High Risk</v>
      </c>
      <c r="Q614">
        <v>672</v>
      </c>
      <c r="R614">
        <v>39617</v>
      </c>
      <c r="S614" t="str">
        <f t="shared" si="38"/>
        <v>Yes</v>
      </c>
      <c r="T614">
        <v>3389</v>
      </c>
      <c r="U614" t="str" cm="1">
        <f t="array" ref="U614">_xlfn.IFS(T614&lt;5000,"Small",T614&lt;20000,"Medium",T614&lt;35000,"Large",T614&gt;35000,"Very Large")</f>
        <v>Small</v>
      </c>
      <c r="V614">
        <v>48</v>
      </c>
      <c r="W614">
        <f t="shared" si="39"/>
        <v>4</v>
      </c>
      <c r="X614" t="s">
        <v>47</v>
      </c>
      <c r="Y614" t="s">
        <v>45</v>
      </c>
      <c r="Z614" t="s">
        <v>33</v>
      </c>
      <c r="AA614" t="s">
        <v>34</v>
      </c>
      <c r="AB614" t="s">
        <v>43</v>
      </c>
      <c r="AC614" t="s">
        <v>36</v>
      </c>
    </row>
    <row r="615" spans="1:29" x14ac:dyDescent="0.25">
      <c r="A615">
        <v>648</v>
      </c>
      <c r="B615">
        <v>12160</v>
      </c>
      <c r="C615">
        <v>302</v>
      </c>
      <c r="D615">
        <f t="shared" si="36"/>
        <v>12462</v>
      </c>
      <c r="E615" t="s">
        <v>46</v>
      </c>
      <c r="F615">
        <v>47</v>
      </c>
      <c r="G615" t="str" cm="1">
        <f t="array" ref="G615">_xlfn.IFS(F615&lt;25,"18-24",F615&lt;35,"25-35",F615&lt;45,"35-44",F615&lt;55,"44-54",F615&gt;=55,"55+")</f>
        <v>44-54</v>
      </c>
      <c r="H615" t="s">
        <v>30</v>
      </c>
      <c r="I615">
        <v>2</v>
      </c>
      <c r="J615" t="str" cm="1">
        <f t="array" ref="J615">_xlfn.IFS(I615&lt;=0,"No Dependents",I615&lt;=1,"One",I615&lt;=2,"Two",I615&gt;=3,"Third")</f>
        <v>Two</v>
      </c>
      <c r="K615">
        <v>727</v>
      </c>
      <c r="L615" t="str" cm="1">
        <f t="array" ref="L615">_xlfn.IFS(K615&lt;=580,"Poor",K615&lt;=670,"fair",K615&lt;=740,"Good",K615&lt;=800,"Very Good",K615&gt;=800,"Excellent")</f>
        <v>Good</v>
      </c>
      <c r="M615">
        <v>1</v>
      </c>
      <c r="N615" t="str">
        <f t="shared" si="37"/>
        <v>Yes</v>
      </c>
      <c r="O615">
        <v>0.56000000000000005</v>
      </c>
      <c r="P615" t="str" cm="1">
        <f t="array" ref="P615">_xlfn.IFS(O615&lt;=0.3,"Low Risk",O615&lt;=0.4,"medium Risk",O615&lt;=0.5,"High Risk",O615&gt;0.5,"Very High Risk")</f>
        <v>Very High Risk</v>
      </c>
      <c r="Q615">
        <v>8630</v>
      </c>
      <c r="R615">
        <v>33826</v>
      </c>
      <c r="S615" t="str">
        <f t="shared" si="38"/>
        <v>Yes</v>
      </c>
      <c r="T615">
        <v>1763</v>
      </c>
      <c r="U615" t="str" cm="1">
        <f t="array" ref="U615">_xlfn.IFS(T615&lt;5000,"Small",T615&lt;20000,"Medium",T615&lt;35000,"Large",T615&gt;35000,"Very Large")</f>
        <v>Small</v>
      </c>
      <c r="V615">
        <v>72</v>
      </c>
      <c r="W615">
        <f t="shared" si="39"/>
        <v>6</v>
      </c>
      <c r="X615" t="s">
        <v>50</v>
      </c>
      <c r="Y615" t="s">
        <v>45</v>
      </c>
      <c r="Z615" t="s">
        <v>39</v>
      </c>
      <c r="AA615" t="s">
        <v>40</v>
      </c>
      <c r="AB615" t="s">
        <v>35</v>
      </c>
      <c r="AC615" t="s">
        <v>36</v>
      </c>
    </row>
    <row r="616" spans="1:29" x14ac:dyDescent="0.25">
      <c r="A616">
        <v>649</v>
      </c>
      <c r="B616">
        <v>0</v>
      </c>
      <c r="C616">
        <v>0</v>
      </c>
      <c r="D616">
        <f t="shared" si="36"/>
        <v>0</v>
      </c>
      <c r="E616" t="s">
        <v>52</v>
      </c>
      <c r="F616">
        <v>40</v>
      </c>
      <c r="G616" t="str" cm="1">
        <f t="array" ref="G616">_xlfn.IFS(F616&lt;25,"18-24",F616&lt;35,"25-35",F616&lt;45,"35-44",F616&lt;55,"44-54",F616&gt;=55,"55+")</f>
        <v>35-44</v>
      </c>
      <c r="H616" t="s">
        <v>30</v>
      </c>
      <c r="I616">
        <v>2</v>
      </c>
      <c r="J616" t="str" cm="1">
        <f t="array" ref="J616">_xlfn.IFS(I616&lt;=0,"No Dependents",I616&lt;=1,"One",I616&lt;=2,"Two",I616&gt;=3,"Third")</f>
        <v>Two</v>
      </c>
      <c r="K616">
        <v>550</v>
      </c>
      <c r="L616" t="str" cm="1">
        <f t="array" ref="L616">_xlfn.IFS(K616&lt;=580,"Poor",K616&lt;=670,"fair",K616&lt;=740,"Good",K616&lt;=800,"Very Good",K616&gt;=800,"Excellent")</f>
        <v>Poor</v>
      </c>
      <c r="M616">
        <v>2</v>
      </c>
      <c r="N616" t="str">
        <f t="shared" si="37"/>
        <v>Yes</v>
      </c>
      <c r="O616">
        <v>0.56999999999999995</v>
      </c>
      <c r="P616" t="str" cm="1">
        <f t="array" ref="P616">_xlfn.IFS(O616&lt;=0.3,"Low Risk",O616&lt;=0.4,"medium Risk",O616&lt;=0.5,"High Risk",O616&gt;0.5,"Very High Risk")</f>
        <v>Very High Risk</v>
      </c>
      <c r="Q616">
        <v>10268</v>
      </c>
      <c r="R616">
        <v>44498</v>
      </c>
      <c r="S616" t="str">
        <f t="shared" si="38"/>
        <v>Yes</v>
      </c>
      <c r="T616">
        <v>24925</v>
      </c>
      <c r="U616" t="str" cm="1">
        <f t="array" ref="U616">_xlfn.IFS(T616&lt;5000,"Small",T616&lt;20000,"Medium",T616&lt;35000,"Large",T616&gt;35000,"Very Large")</f>
        <v>Large</v>
      </c>
      <c r="V616">
        <v>48</v>
      </c>
      <c r="W616">
        <f t="shared" si="39"/>
        <v>4</v>
      </c>
      <c r="X616" t="s">
        <v>31</v>
      </c>
      <c r="Y616" t="s">
        <v>38</v>
      </c>
      <c r="Z616" t="s">
        <v>39</v>
      </c>
      <c r="AA616" t="s">
        <v>40</v>
      </c>
      <c r="AB616" t="s">
        <v>42</v>
      </c>
      <c r="AC616" t="s">
        <v>36</v>
      </c>
    </row>
    <row r="617" spans="1:29" x14ac:dyDescent="0.25">
      <c r="A617">
        <v>651</v>
      </c>
      <c r="B617">
        <v>12488</v>
      </c>
      <c r="C617">
        <v>4909</v>
      </c>
      <c r="D617">
        <f t="shared" si="36"/>
        <v>17397</v>
      </c>
      <c r="E617" t="s">
        <v>46</v>
      </c>
      <c r="F617">
        <v>29</v>
      </c>
      <c r="G617" t="str" cm="1">
        <f t="array" ref="G617">_xlfn.IFS(F617&lt;25,"18-24",F617&lt;35,"25-35",F617&lt;45,"35-44",F617&lt;55,"44-54",F617&gt;=55,"55+")</f>
        <v>25-35</v>
      </c>
      <c r="H617" t="s">
        <v>30</v>
      </c>
      <c r="I617">
        <v>3</v>
      </c>
      <c r="J617" t="str" cm="1">
        <f t="array" ref="J617">_xlfn.IFS(I617&lt;=0,"No Dependents",I617&lt;=1,"One",I617&lt;=2,"Two",I617&gt;=3,"Third")</f>
        <v>Third</v>
      </c>
      <c r="K617">
        <v>709</v>
      </c>
      <c r="L617" t="str" cm="1">
        <f t="array" ref="L617">_xlfn.IFS(K617&lt;=580,"Poor",K617&lt;=670,"fair",K617&lt;=740,"Good",K617&lt;=800,"Very Good",K617&gt;=800,"Excellent")</f>
        <v>Good</v>
      </c>
      <c r="M617">
        <v>3</v>
      </c>
      <c r="N617" t="str">
        <f t="shared" si="37"/>
        <v>Yes</v>
      </c>
      <c r="O617">
        <v>0.44</v>
      </c>
      <c r="P617" t="str" cm="1">
        <f t="array" ref="P617">_xlfn.IFS(O617&lt;=0.3,"Low Risk",O617&lt;=0.4,"medium Risk",O617&lt;=0.5,"High Risk",O617&gt;0.5,"Very High Risk")</f>
        <v>High Risk</v>
      </c>
      <c r="Q617">
        <v>9157</v>
      </c>
      <c r="R617">
        <v>24563</v>
      </c>
      <c r="S617" t="str">
        <f t="shared" si="38"/>
        <v>Yes</v>
      </c>
      <c r="T617">
        <v>24457</v>
      </c>
      <c r="U617" t="str" cm="1">
        <f t="array" ref="U617">_xlfn.IFS(T617&lt;5000,"Small",T617&lt;20000,"Medium",T617&lt;35000,"Large",T617&gt;35000,"Very Large")</f>
        <v>Large</v>
      </c>
      <c r="V617">
        <v>84</v>
      </c>
      <c r="W617">
        <f t="shared" si="39"/>
        <v>7</v>
      </c>
      <c r="X617" t="s">
        <v>37</v>
      </c>
      <c r="Y617" t="s">
        <v>45</v>
      </c>
      <c r="Z617" t="s">
        <v>33</v>
      </c>
      <c r="AA617" t="s">
        <v>40</v>
      </c>
      <c r="AB617" t="s">
        <v>35</v>
      </c>
      <c r="AC617" t="s">
        <v>36</v>
      </c>
    </row>
    <row r="618" spans="1:29" x14ac:dyDescent="0.25">
      <c r="A618">
        <v>652</v>
      </c>
      <c r="B618">
        <v>7240</v>
      </c>
      <c r="C618">
        <v>3072</v>
      </c>
      <c r="D618">
        <f t="shared" si="36"/>
        <v>10312</v>
      </c>
      <c r="E618" t="s">
        <v>49</v>
      </c>
      <c r="F618">
        <v>48</v>
      </c>
      <c r="G618" t="str" cm="1">
        <f t="array" ref="G618">_xlfn.IFS(F618&lt;25,"18-24",F618&lt;35,"25-35",F618&lt;45,"35-44",F618&lt;55,"44-54",F618&gt;=55,"55+")</f>
        <v>44-54</v>
      </c>
      <c r="H618" t="s">
        <v>41</v>
      </c>
      <c r="I618">
        <v>1</v>
      </c>
      <c r="J618" t="str" cm="1">
        <f t="array" ref="J618">_xlfn.IFS(I618&lt;=0,"No Dependents",I618&lt;=1,"One",I618&lt;=2,"Two",I618&gt;=3,"Third")</f>
        <v>One</v>
      </c>
      <c r="K618">
        <v>744</v>
      </c>
      <c r="L618" t="str" cm="1">
        <f t="array" ref="L618">_xlfn.IFS(K618&lt;=580,"Poor",K618&lt;=670,"fair",K618&lt;=740,"Good",K618&lt;=800,"Very Good",K618&gt;=800,"Excellent")</f>
        <v>Very Good</v>
      </c>
      <c r="M618">
        <v>2</v>
      </c>
      <c r="N618" t="str">
        <f t="shared" si="37"/>
        <v>Yes</v>
      </c>
      <c r="O618">
        <v>0.49</v>
      </c>
      <c r="P618" t="str" cm="1">
        <f t="array" ref="P618">_xlfn.IFS(O618&lt;=0.3,"Low Risk",O618&lt;=0.4,"medium Risk",O618&lt;=0.5,"High Risk",O618&gt;0.5,"Very High Risk")</f>
        <v>High Risk</v>
      </c>
      <c r="Q618">
        <v>11982</v>
      </c>
      <c r="R618">
        <v>4359</v>
      </c>
      <c r="S618" t="str">
        <f t="shared" si="38"/>
        <v>Yes</v>
      </c>
      <c r="T618">
        <v>22423</v>
      </c>
      <c r="U618" t="str" cm="1">
        <f t="array" ref="U618">_xlfn.IFS(T618&lt;5000,"Small",T618&lt;20000,"Medium",T618&lt;35000,"Large",T618&gt;35000,"Very Large")</f>
        <v>Large</v>
      </c>
      <c r="V618">
        <v>12</v>
      </c>
      <c r="W618">
        <f t="shared" si="39"/>
        <v>1</v>
      </c>
      <c r="X618" t="s">
        <v>42</v>
      </c>
      <c r="Y618" t="s">
        <v>45</v>
      </c>
      <c r="Z618" t="s">
        <v>39</v>
      </c>
      <c r="AA618" t="s">
        <v>40</v>
      </c>
      <c r="AB618" t="s">
        <v>43</v>
      </c>
      <c r="AC618" t="s">
        <v>36</v>
      </c>
    </row>
    <row r="619" spans="1:29" x14ac:dyDescent="0.25">
      <c r="A619">
        <v>653</v>
      </c>
      <c r="B619">
        <v>12453</v>
      </c>
      <c r="C619">
        <v>3124</v>
      </c>
      <c r="D619">
        <f t="shared" si="36"/>
        <v>15577</v>
      </c>
      <c r="E619" t="s">
        <v>46</v>
      </c>
      <c r="F619">
        <v>51</v>
      </c>
      <c r="G619" t="str" cm="1">
        <f t="array" ref="G619">_xlfn.IFS(F619&lt;25,"18-24",F619&lt;35,"25-35",F619&lt;45,"35-44",F619&lt;55,"44-54",F619&gt;=55,"55+")</f>
        <v>44-54</v>
      </c>
      <c r="H619" t="s">
        <v>41</v>
      </c>
      <c r="I619">
        <v>0</v>
      </c>
      <c r="J619" t="str" cm="1">
        <f t="array" ref="J619">_xlfn.IFS(I619&lt;=0,"No Dependents",I619&lt;=1,"One",I619&lt;=2,"Two",I619&gt;=3,"Third")</f>
        <v>No Dependents</v>
      </c>
      <c r="K619">
        <v>552</v>
      </c>
      <c r="L619" t="str" cm="1">
        <f t="array" ref="L619">_xlfn.IFS(K619&lt;=580,"Poor",K619&lt;=670,"fair",K619&lt;=740,"Good",K619&lt;=800,"Very Good",K619&gt;=800,"Excellent")</f>
        <v>Poor</v>
      </c>
      <c r="M619">
        <v>2</v>
      </c>
      <c r="N619" t="str">
        <f t="shared" si="37"/>
        <v>Yes</v>
      </c>
      <c r="O619">
        <v>0.17</v>
      </c>
      <c r="P619" t="str" cm="1">
        <f t="array" ref="P619">_xlfn.IFS(O619&lt;=0.3,"Low Risk",O619&lt;=0.4,"medium Risk",O619&lt;=0.5,"High Risk",O619&gt;0.5,"Very High Risk")</f>
        <v>Low Risk</v>
      </c>
      <c r="Q619">
        <v>8655</v>
      </c>
      <c r="R619">
        <v>30669</v>
      </c>
      <c r="S619" t="str">
        <f t="shared" si="38"/>
        <v>Yes</v>
      </c>
      <c r="T619">
        <v>11518</v>
      </c>
      <c r="U619" t="str" cm="1">
        <f t="array" ref="U619">_xlfn.IFS(T619&lt;5000,"Small",T619&lt;20000,"Medium",T619&lt;35000,"Large",T619&gt;35000,"Very Large")</f>
        <v>Medium</v>
      </c>
      <c r="V619">
        <v>36</v>
      </c>
      <c r="W619">
        <f t="shared" si="39"/>
        <v>3</v>
      </c>
      <c r="X619" t="s">
        <v>37</v>
      </c>
      <c r="Y619" t="s">
        <v>38</v>
      </c>
      <c r="Z619" t="s">
        <v>39</v>
      </c>
      <c r="AA619" t="s">
        <v>34</v>
      </c>
      <c r="AB619" t="s">
        <v>35</v>
      </c>
      <c r="AC619" t="s">
        <v>36</v>
      </c>
    </row>
    <row r="620" spans="1:29" x14ac:dyDescent="0.25">
      <c r="A620">
        <v>654</v>
      </c>
      <c r="B620">
        <v>12478</v>
      </c>
      <c r="C620">
        <v>9519</v>
      </c>
      <c r="D620">
        <f t="shared" si="36"/>
        <v>21997</v>
      </c>
      <c r="E620" t="s">
        <v>46</v>
      </c>
      <c r="F620">
        <v>54</v>
      </c>
      <c r="G620" t="str" cm="1">
        <f t="array" ref="G620">_xlfn.IFS(F620&lt;25,"18-24",F620&lt;35,"25-35",F620&lt;45,"35-44",F620&lt;55,"44-54",F620&gt;=55,"55+")</f>
        <v>44-54</v>
      </c>
      <c r="H620" t="s">
        <v>30</v>
      </c>
      <c r="I620">
        <v>1</v>
      </c>
      <c r="J620" t="str" cm="1">
        <f t="array" ref="J620">_xlfn.IFS(I620&lt;=0,"No Dependents",I620&lt;=1,"One",I620&lt;=2,"Two",I620&gt;=3,"Third")</f>
        <v>One</v>
      </c>
      <c r="K620">
        <v>763</v>
      </c>
      <c r="L620" t="str" cm="1">
        <f t="array" ref="L620">_xlfn.IFS(K620&lt;=580,"Poor",K620&lt;=670,"fair",K620&lt;=740,"Good",K620&lt;=800,"Very Good",K620&gt;=800,"Excellent")</f>
        <v>Very Good</v>
      </c>
      <c r="M620">
        <v>2</v>
      </c>
      <c r="N620" t="str">
        <f t="shared" si="37"/>
        <v>Yes</v>
      </c>
      <c r="O620">
        <v>0.4</v>
      </c>
      <c r="P620" t="str" cm="1">
        <f t="array" ref="P620">_xlfn.IFS(O620&lt;=0.3,"Low Risk",O620&lt;=0.4,"medium Risk",O620&lt;=0.5,"High Risk",O620&gt;0.5,"Very High Risk")</f>
        <v>medium Risk</v>
      </c>
      <c r="Q620">
        <v>18582</v>
      </c>
      <c r="R620">
        <v>12809</v>
      </c>
      <c r="S620" t="str">
        <f t="shared" si="38"/>
        <v>Yes</v>
      </c>
      <c r="T620">
        <v>33360</v>
      </c>
      <c r="U620" t="str" cm="1">
        <f t="array" ref="U620">_xlfn.IFS(T620&lt;5000,"Small",T620&lt;20000,"Medium",T620&lt;35000,"Large",T620&gt;35000,"Very Large")</f>
        <v>Large</v>
      </c>
      <c r="V620">
        <v>36</v>
      </c>
      <c r="W620">
        <f t="shared" si="39"/>
        <v>3</v>
      </c>
      <c r="X620" t="s">
        <v>37</v>
      </c>
      <c r="Y620" t="s">
        <v>32</v>
      </c>
      <c r="Z620" t="s">
        <v>33</v>
      </c>
      <c r="AA620" t="s">
        <v>40</v>
      </c>
      <c r="AB620" t="s">
        <v>43</v>
      </c>
      <c r="AC620" t="s">
        <v>36</v>
      </c>
    </row>
    <row r="621" spans="1:29" x14ac:dyDescent="0.25">
      <c r="A621">
        <v>655</v>
      </c>
      <c r="B621">
        <v>14394</v>
      </c>
      <c r="C621">
        <v>8125</v>
      </c>
      <c r="D621">
        <f t="shared" si="36"/>
        <v>22519</v>
      </c>
      <c r="E621" t="s">
        <v>29</v>
      </c>
      <c r="F621">
        <v>35</v>
      </c>
      <c r="G621" t="str" cm="1">
        <f t="array" ref="G621">_xlfn.IFS(F621&lt;25,"18-24",F621&lt;35,"25-35",F621&lt;45,"35-44",F621&lt;55,"44-54",F621&gt;=55,"55+")</f>
        <v>35-44</v>
      </c>
      <c r="H621" t="s">
        <v>30</v>
      </c>
      <c r="I621">
        <v>1</v>
      </c>
      <c r="J621" t="str" cm="1">
        <f t="array" ref="J621">_xlfn.IFS(I621&lt;=0,"No Dependents",I621&lt;=1,"One",I621&lt;=2,"Two",I621&gt;=3,"Third")</f>
        <v>One</v>
      </c>
      <c r="K621">
        <v>635</v>
      </c>
      <c r="L621" t="str" cm="1">
        <f t="array" ref="L621">_xlfn.IFS(K621&lt;=580,"Poor",K621&lt;=670,"fair",K621&lt;=740,"Good",K621&lt;=800,"Very Good",K621&gt;=800,"Excellent")</f>
        <v>fair</v>
      </c>
      <c r="M621">
        <v>0</v>
      </c>
      <c r="N621" t="str">
        <f t="shared" si="37"/>
        <v>No</v>
      </c>
      <c r="O621">
        <v>0.12</v>
      </c>
      <c r="P621" t="str" cm="1">
        <f t="array" ref="P621">_xlfn.IFS(O621&lt;=0.3,"Low Risk",O621&lt;=0.4,"medium Risk",O621&lt;=0.5,"High Risk",O621&gt;0.5,"Very High Risk")</f>
        <v>Low Risk</v>
      </c>
      <c r="Q621">
        <v>0</v>
      </c>
      <c r="R621">
        <v>0</v>
      </c>
      <c r="S621" t="str">
        <f t="shared" si="38"/>
        <v>No</v>
      </c>
      <c r="T621">
        <v>29173</v>
      </c>
      <c r="U621" t="str" cm="1">
        <f t="array" ref="U621">_xlfn.IFS(T621&lt;5000,"Small",T621&lt;20000,"Medium",T621&lt;35000,"Large",T621&gt;35000,"Very Large")</f>
        <v>Large</v>
      </c>
      <c r="V621">
        <v>24</v>
      </c>
      <c r="W621">
        <f t="shared" si="39"/>
        <v>2</v>
      </c>
      <c r="X621" t="s">
        <v>31</v>
      </c>
      <c r="Y621" t="s">
        <v>32</v>
      </c>
      <c r="Z621" t="s">
        <v>39</v>
      </c>
      <c r="AA621" t="s">
        <v>40</v>
      </c>
      <c r="AB621" t="s">
        <v>42</v>
      </c>
      <c r="AC621" t="s">
        <v>36</v>
      </c>
    </row>
    <row r="622" spans="1:29" x14ac:dyDescent="0.25">
      <c r="A622">
        <v>656</v>
      </c>
      <c r="B622">
        <v>6432</v>
      </c>
      <c r="C622">
        <v>3291</v>
      </c>
      <c r="D622">
        <f t="shared" si="36"/>
        <v>9723</v>
      </c>
      <c r="E622" t="s">
        <v>29</v>
      </c>
      <c r="F622">
        <v>45</v>
      </c>
      <c r="G622" t="str" cm="1">
        <f t="array" ref="G622">_xlfn.IFS(F622&lt;25,"18-24",F622&lt;35,"25-35",F622&lt;45,"35-44",F622&lt;55,"44-54",F622&gt;=55,"55+")</f>
        <v>44-54</v>
      </c>
      <c r="H622" t="s">
        <v>30</v>
      </c>
      <c r="I622">
        <v>1</v>
      </c>
      <c r="J622" t="str" cm="1">
        <f t="array" ref="J622">_xlfn.IFS(I622&lt;=0,"No Dependents",I622&lt;=1,"One",I622&lt;=2,"Two",I622&gt;=3,"Third")</f>
        <v>One</v>
      </c>
      <c r="K622">
        <v>623</v>
      </c>
      <c r="L622" t="str" cm="1">
        <f t="array" ref="L622">_xlfn.IFS(K622&lt;=580,"Poor",K622&lt;=670,"fair",K622&lt;=740,"Good",K622&lt;=800,"Very Good",K622&gt;=800,"Excellent")</f>
        <v>fair</v>
      </c>
      <c r="M622">
        <v>3</v>
      </c>
      <c r="N622" t="str">
        <f t="shared" si="37"/>
        <v>Yes</v>
      </c>
      <c r="O622">
        <v>0.35</v>
      </c>
      <c r="P622" t="str" cm="1">
        <f t="array" ref="P622">_xlfn.IFS(O622&lt;=0.3,"Low Risk",O622&lt;=0.4,"medium Risk",O622&lt;=0.5,"High Risk",O622&gt;0.5,"Very High Risk")</f>
        <v>medium Risk</v>
      </c>
      <c r="Q622">
        <v>11957</v>
      </c>
      <c r="R622">
        <v>29454</v>
      </c>
      <c r="S622" t="str">
        <f t="shared" si="38"/>
        <v>Yes</v>
      </c>
      <c r="T622">
        <v>10395</v>
      </c>
      <c r="U622" t="str" cm="1">
        <f t="array" ref="U622">_xlfn.IFS(T622&lt;5000,"Small",T622&lt;20000,"Medium",T622&lt;35000,"Large",T622&gt;35000,"Very Large")</f>
        <v>Medium</v>
      </c>
      <c r="V622">
        <v>12</v>
      </c>
      <c r="W622">
        <f t="shared" si="39"/>
        <v>1</v>
      </c>
      <c r="X622" t="s">
        <v>47</v>
      </c>
      <c r="Y622" t="s">
        <v>38</v>
      </c>
      <c r="Z622" t="s">
        <v>39</v>
      </c>
      <c r="AA622" t="s">
        <v>40</v>
      </c>
      <c r="AB622" t="s">
        <v>48</v>
      </c>
      <c r="AC622" t="s">
        <v>36</v>
      </c>
    </row>
    <row r="623" spans="1:29" x14ac:dyDescent="0.25">
      <c r="A623">
        <v>657</v>
      </c>
      <c r="B623">
        <v>15568</v>
      </c>
      <c r="C623">
        <v>4033</v>
      </c>
      <c r="D623">
        <f t="shared" si="36"/>
        <v>19601</v>
      </c>
      <c r="E623" t="s">
        <v>48</v>
      </c>
      <c r="F623">
        <v>56</v>
      </c>
      <c r="G623" t="str" cm="1">
        <f t="array" ref="G623">_xlfn.IFS(F623&lt;25,"18-24",F623&lt;35,"25-35",F623&lt;45,"35-44",F623&lt;55,"44-54",F623&gt;=55,"55+")</f>
        <v>55+</v>
      </c>
      <c r="H623" t="s">
        <v>30</v>
      </c>
      <c r="I623">
        <v>3</v>
      </c>
      <c r="J623" t="str" cm="1">
        <f t="array" ref="J623">_xlfn.IFS(I623&lt;=0,"No Dependents",I623&lt;=1,"One",I623&lt;=2,"Two",I623&gt;=3,"Third")</f>
        <v>Third</v>
      </c>
      <c r="K623">
        <v>600</v>
      </c>
      <c r="L623" t="str" cm="1">
        <f t="array" ref="L623">_xlfn.IFS(K623&lt;=580,"Poor",K623&lt;=670,"fair",K623&lt;=740,"Good",K623&lt;=800,"Very Good",K623&gt;=800,"Excellent")</f>
        <v>fair</v>
      </c>
      <c r="M623">
        <v>2</v>
      </c>
      <c r="N623" t="str">
        <f t="shared" si="37"/>
        <v>Yes</v>
      </c>
      <c r="O623">
        <v>0.18</v>
      </c>
      <c r="P623" t="str" cm="1">
        <f t="array" ref="P623">_xlfn.IFS(O623&lt;=0.3,"Low Risk",O623&lt;=0.4,"medium Risk",O623&lt;=0.5,"High Risk",O623&gt;0.5,"Very High Risk")</f>
        <v>Low Risk</v>
      </c>
      <c r="Q623">
        <v>4008</v>
      </c>
      <c r="R623">
        <v>7254</v>
      </c>
      <c r="S623" t="str">
        <f t="shared" si="38"/>
        <v>Yes</v>
      </c>
      <c r="T623">
        <v>20207</v>
      </c>
      <c r="U623" t="str" cm="1">
        <f t="array" ref="U623">_xlfn.IFS(T623&lt;5000,"Small",T623&lt;20000,"Medium",T623&lt;35000,"Large",T623&gt;35000,"Very Large")</f>
        <v>Large</v>
      </c>
      <c r="V623">
        <v>72</v>
      </c>
      <c r="W623">
        <f t="shared" si="39"/>
        <v>6</v>
      </c>
      <c r="X623" t="s">
        <v>31</v>
      </c>
      <c r="Y623" t="s">
        <v>32</v>
      </c>
      <c r="Z623" t="s">
        <v>39</v>
      </c>
      <c r="AA623" t="s">
        <v>40</v>
      </c>
      <c r="AB623" t="s">
        <v>51</v>
      </c>
      <c r="AC623" t="s">
        <v>36</v>
      </c>
    </row>
    <row r="624" spans="1:29" x14ac:dyDescent="0.25">
      <c r="A624">
        <v>658</v>
      </c>
      <c r="B624">
        <v>16178</v>
      </c>
      <c r="C624">
        <v>0</v>
      </c>
      <c r="D624">
        <f t="shared" si="36"/>
        <v>16178</v>
      </c>
      <c r="E624" t="s">
        <v>29</v>
      </c>
      <c r="F624">
        <v>28</v>
      </c>
      <c r="G624" t="str" cm="1">
        <f t="array" ref="G624">_xlfn.IFS(F624&lt;25,"18-24",F624&lt;35,"25-35",F624&lt;45,"35-44",F624&lt;55,"44-54",F624&gt;=55,"55+")</f>
        <v>25-35</v>
      </c>
      <c r="H624" t="s">
        <v>41</v>
      </c>
      <c r="I624">
        <v>0</v>
      </c>
      <c r="J624" t="str" cm="1">
        <f t="array" ref="J624">_xlfn.IFS(I624&lt;=0,"No Dependents",I624&lt;=1,"One",I624&lt;=2,"Two",I624&gt;=3,"Third")</f>
        <v>No Dependents</v>
      </c>
      <c r="K624">
        <v>616</v>
      </c>
      <c r="L624" t="str" cm="1">
        <f t="array" ref="L624">_xlfn.IFS(K624&lt;=580,"Poor",K624&lt;=670,"fair",K624&lt;=740,"Good",K624&lt;=800,"Very Good",K624&gt;=800,"Excellent")</f>
        <v>fair</v>
      </c>
      <c r="M624">
        <v>0</v>
      </c>
      <c r="N624" t="str">
        <f t="shared" si="37"/>
        <v>No</v>
      </c>
      <c r="O624">
        <v>0.19</v>
      </c>
      <c r="P624" t="str" cm="1">
        <f t="array" ref="P624">_xlfn.IFS(O624&lt;=0.3,"Low Risk",O624&lt;=0.4,"medium Risk",O624&lt;=0.5,"High Risk",O624&gt;0.5,"Very High Risk")</f>
        <v>Low Risk</v>
      </c>
      <c r="Q624">
        <v>11696</v>
      </c>
      <c r="R624">
        <v>45590</v>
      </c>
      <c r="S624" t="str">
        <f t="shared" si="38"/>
        <v>Yes</v>
      </c>
      <c r="T624">
        <v>39055</v>
      </c>
      <c r="U624" t="str" cm="1">
        <f t="array" ref="U624">_xlfn.IFS(T624&lt;5000,"Small",T624&lt;20000,"Medium",T624&lt;35000,"Large",T624&gt;35000,"Very Large")</f>
        <v>Very Large</v>
      </c>
      <c r="V624">
        <v>12</v>
      </c>
      <c r="W624">
        <f t="shared" si="39"/>
        <v>1</v>
      </c>
      <c r="X624" t="s">
        <v>50</v>
      </c>
      <c r="Y624" t="s">
        <v>32</v>
      </c>
      <c r="Z624" t="s">
        <v>33</v>
      </c>
      <c r="AA624" t="s">
        <v>40</v>
      </c>
      <c r="AB624" t="s">
        <v>42</v>
      </c>
      <c r="AC624" t="s">
        <v>36</v>
      </c>
    </row>
    <row r="625" spans="1:29" x14ac:dyDescent="0.25">
      <c r="A625">
        <v>659</v>
      </c>
      <c r="B625">
        <v>19660</v>
      </c>
      <c r="C625">
        <v>703</v>
      </c>
      <c r="D625">
        <f t="shared" si="36"/>
        <v>20363</v>
      </c>
      <c r="E625" t="s">
        <v>48</v>
      </c>
      <c r="F625">
        <v>29</v>
      </c>
      <c r="G625" t="str" cm="1">
        <f t="array" ref="G625">_xlfn.IFS(F625&lt;25,"18-24",F625&lt;35,"25-35",F625&lt;45,"35-44",F625&lt;55,"44-54",F625&gt;=55,"55+")</f>
        <v>25-35</v>
      </c>
      <c r="H625" t="s">
        <v>30</v>
      </c>
      <c r="I625">
        <v>1</v>
      </c>
      <c r="J625" t="str" cm="1">
        <f t="array" ref="J625">_xlfn.IFS(I625&lt;=0,"No Dependents",I625&lt;=1,"One",I625&lt;=2,"Two",I625&gt;=3,"Third")</f>
        <v>One</v>
      </c>
      <c r="K625">
        <v>625</v>
      </c>
      <c r="L625" t="str" cm="1">
        <f t="array" ref="L625">_xlfn.IFS(K625&lt;=580,"Poor",K625&lt;=670,"fair",K625&lt;=740,"Good",K625&lt;=800,"Very Good",K625&gt;=800,"Excellent")</f>
        <v>fair</v>
      </c>
      <c r="M625">
        <v>2</v>
      </c>
      <c r="N625" t="str">
        <f t="shared" si="37"/>
        <v>Yes</v>
      </c>
      <c r="O625">
        <v>0.28000000000000003</v>
      </c>
      <c r="P625" t="str" cm="1">
        <f t="array" ref="P625">_xlfn.IFS(O625&lt;=0.3,"Low Risk",O625&lt;=0.4,"medium Risk",O625&lt;=0.5,"High Risk",O625&gt;0.5,"Very High Risk")</f>
        <v>Low Risk</v>
      </c>
      <c r="Q625">
        <v>9104</v>
      </c>
      <c r="R625">
        <v>24785</v>
      </c>
      <c r="S625" t="str">
        <f t="shared" si="38"/>
        <v>Yes</v>
      </c>
      <c r="T625">
        <v>27639</v>
      </c>
      <c r="U625" t="str" cm="1">
        <f t="array" ref="U625">_xlfn.IFS(T625&lt;5000,"Small",T625&lt;20000,"Medium",T625&lt;35000,"Large",T625&gt;35000,"Very Large")</f>
        <v>Large</v>
      </c>
      <c r="V625">
        <v>60</v>
      </c>
      <c r="W625">
        <f t="shared" si="39"/>
        <v>5</v>
      </c>
      <c r="X625" t="s">
        <v>31</v>
      </c>
      <c r="Y625" t="s">
        <v>32</v>
      </c>
      <c r="Z625" t="s">
        <v>39</v>
      </c>
      <c r="AA625" t="s">
        <v>34</v>
      </c>
      <c r="AB625" t="s">
        <v>42</v>
      </c>
      <c r="AC625" t="s">
        <v>36</v>
      </c>
    </row>
    <row r="626" spans="1:29" x14ac:dyDescent="0.25">
      <c r="A626">
        <v>660</v>
      </c>
      <c r="B626">
        <v>2302</v>
      </c>
      <c r="C626">
        <v>8133</v>
      </c>
      <c r="D626">
        <f t="shared" si="36"/>
        <v>10435</v>
      </c>
      <c r="E626" t="s">
        <v>46</v>
      </c>
      <c r="F626">
        <v>57</v>
      </c>
      <c r="G626" t="str" cm="1">
        <f t="array" ref="G626">_xlfn.IFS(F626&lt;25,"18-24",F626&lt;35,"25-35",F626&lt;45,"35-44",F626&lt;55,"44-54",F626&gt;=55,"55+")</f>
        <v>55+</v>
      </c>
      <c r="H626" t="s">
        <v>30</v>
      </c>
      <c r="I626">
        <v>3</v>
      </c>
      <c r="J626" t="str" cm="1">
        <f t="array" ref="J626">_xlfn.IFS(I626&lt;=0,"No Dependents",I626&lt;=1,"One",I626&lt;=2,"Two",I626&gt;=3,"Third")</f>
        <v>Third</v>
      </c>
      <c r="K626">
        <v>642</v>
      </c>
      <c r="L626" t="str" cm="1">
        <f t="array" ref="L626">_xlfn.IFS(K626&lt;=580,"Poor",K626&lt;=670,"fair",K626&lt;=740,"Good",K626&lt;=800,"Very Good",K626&gt;=800,"Excellent")</f>
        <v>fair</v>
      </c>
      <c r="M626">
        <v>4</v>
      </c>
      <c r="N626" t="str">
        <f t="shared" si="37"/>
        <v>Yes</v>
      </c>
      <c r="O626">
        <v>0.32</v>
      </c>
      <c r="P626" t="str" cm="1">
        <f t="array" ref="P626">_xlfn.IFS(O626&lt;=0.3,"Low Risk",O626&lt;=0.4,"medium Risk",O626&lt;=0.5,"High Risk",O626&gt;0.5,"Very High Risk")</f>
        <v>medium Risk</v>
      </c>
      <c r="Q626">
        <v>496</v>
      </c>
      <c r="R626">
        <v>2093</v>
      </c>
      <c r="S626" t="str">
        <f t="shared" si="38"/>
        <v>Yes</v>
      </c>
      <c r="T626">
        <v>29924</v>
      </c>
      <c r="U626" t="str" cm="1">
        <f t="array" ref="U626">_xlfn.IFS(T626&lt;5000,"Small",T626&lt;20000,"Medium",T626&lt;35000,"Large",T626&gt;35000,"Very Large")</f>
        <v>Large</v>
      </c>
      <c r="V626">
        <v>36</v>
      </c>
      <c r="W626">
        <f t="shared" si="39"/>
        <v>3</v>
      </c>
      <c r="X626" t="s">
        <v>31</v>
      </c>
      <c r="Y626" t="s">
        <v>32</v>
      </c>
      <c r="Z626" t="s">
        <v>39</v>
      </c>
      <c r="AA626" t="s">
        <v>40</v>
      </c>
      <c r="AB626" t="s">
        <v>48</v>
      </c>
      <c r="AC626" t="s">
        <v>36</v>
      </c>
    </row>
    <row r="627" spans="1:29" x14ac:dyDescent="0.25">
      <c r="A627">
        <v>661</v>
      </c>
      <c r="B627">
        <v>19022</v>
      </c>
      <c r="C627">
        <v>574</v>
      </c>
      <c r="D627">
        <f t="shared" si="36"/>
        <v>19596</v>
      </c>
      <c r="E627" t="s">
        <v>29</v>
      </c>
      <c r="F627">
        <v>59</v>
      </c>
      <c r="G627" t="str" cm="1">
        <f t="array" ref="G627">_xlfn.IFS(F627&lt;25,"18-24",F627&lt;35,"25-35",F627&lt;45,"35-44",F627&lt;55,"44-54",F627&gt;=55,"55+")</f>
        <v>55+</v>
      </c>
      <c r="H627" t="s">
        <v>41</v>
      </c>
      <c r="I627">
        <v>0</v>
      </c>
      <c r="J627" t="str" cm="1">
        <f t="array" ref="J627">_xlfn.IFS(I627&lt;=0,"No Dependents",I627&lt;=1,"One",I627&lt;=2,"Two",I627&gt;=3,"Third")</f>
        <v>No Dependents</v>
      </c>
      <c r="K627">
        <v>725</v>
      </c>
      <c r="L627" t="str" cm="1">
        <f t="array" ref="L627">_xlfn.IFS(K627&lt;=580,"Poor",K627&lt;=670,"fair",K627&lt;=740,"Good",K627&lt;=800,"Very Good",K627&gt;=800,"Excellent")</f>
        <v>Good</v>
      </c>
      <c r="M627">
        <v>4</v>
      </c>
      <c r="N627" t="str">
        <f t="shared" si="37"/>
        <v>Yes</v>
      </c>
      <c r="O627">
        <v>0.41</v>
      </c>
      <c r="P627" t="str" cm="1">
        <f t="array" ref="P627">_xlfn.IFS(O627&lt;=0.3,"Low Risk",O627&lt;=0.4,"medium Risk",O627&lt;=0.5,"High Risk",O627&gt;0.5,"Very High Risk")</f>
        <v>High Risk</v>
      </c>
      <c r="Q627">
        <v>1463</v>
      </c>
      <c r="R627">
        <v>44498</v>
      </c>
      <c r="S627" t="str">
        <f t="shared" si="38"/>
        <v>Yes</v>
      </c>
      <c r="T627">
        <v>8433</v>
      </c>
      <c r="U627" t="str" cm="1">
        <f t="array" ref="U627">_xlfn.IFS(T627&lt;5000,"Small",T627&lt;20000,"Medium",T627&lt;35000,"Large",T627&gt;35000,"Very Large")</f>
        <v>Medium</v>
      </c>
      <c r="V627">
        <v>72</v>
      </c>
      <c r="W627">
        <f t="shared" si="39"/>
        <v>6</v>
      </c>
      <c r="X627" t="s">
        <v>50</v>
      </c>
      <c r="Y627" t="s">
        <v>32</v>
      </c>
      <c r="Z627" t="s">
        <v>39</v>
      </c>
      <c r="AA627" t="s">
        <v>34</v>
      </c>
      <c r="AB627" t="s">
        <v>48</v>
      </c>
      <c r="AC627" t="s">
        <v>36</v>
      </c>
    </row>
    <row r="628" spans="1:29" x14ac:dyDescent="0.25">
      <c r="A628">
        <v>662</v>
      </c>
      <c r="B628">
        <v>2055</v>
      </c>
      <c r="C628">
        <v>5704</v>
      </c>
      <c r="D628">
        <f t="shared" si="36"/>
        <v>7759</v>
      </c>
      <c r="E628" t="s">
        <v>29</v>
      </c>
      <c r="F628">
        <v>52</v>
      </c>
      <c r="G628" t="str" cm="1">
        <f t="array" ref="G628">_xlfn.IFS(F628&lt;25,"18-24",F628&lt;35,"25-35",F628&lt;45,"35-44",F628&lt;55,"44-54",F628&gt;=55,"55+")</f>
        <v>44-54</v>
      </c>
      <c r="H628" t="s">
        <v>30</v>
      </c>
      <c r="I628">
        <v>2</v>
      </c>
      <c r="J628" t="str" cm="1">
        <f t="array" ref="J628">_xlfn.IFS(I628&lt;=0,"No Dependents",I628&lt;=1,"One",I628&lt;=2,"Two",I628&gt;=3,"Third")</f>
        <v>Two</v>
      </c>
      <c r="K628">
        <v>694</v>
      </c>
      <c r="L628" t="str" cm="1">
        <f t="array" ref="L628">_xlfn.IFS(K628&lt;=580,"Poor",K628&lt;=670,"fair",K628&lt;=740,"Good",K628&lt;=800,"Very Good",K628&gt;=800,"Excellent")</f>
        <v>Good</v>
      </c>
      <c r="M628">
        <v>0</v>
      </c>
      <c r="N628" t="str">
        <f t="shared" si="37"/>
        <v>No</v>
      </c>
      <c r="O628">
        <v>0.14000000000000001</v>
      </c>
      <c r="P628" t="str" cm="1">
        <f t="array" ref="P628">_xlfn.IFS(O628&lt;=0.3,"Low Risk",O628&lt;=0.4,"medium Risk",O628&lt;=0.5,"High Risk",O628&gt;0.5,"Very High Risk")</f>
        <v>Low Risk</v>
      </c>
      <c r="Q628">
        <v>12459</v>
      </c>
      <c r="R628">
        <v>40985</v>
      </c>
      <c r="S628" t="str">
        <f t="shared" si="38"/>
        <v>Yes</v>
      </c>
      <c r="T628">
        <v>31104</v>
      </c>
      <c r="U628" t="str" cm="1">
        <f t="array" ref="U628">_xlfn.IFS(T628&lt;5000,"Small",T628&lt;20000,"Medium",T628&lt;35000,"Large",T628&gt;35000,"Very Large")</f>
        <v>Large</v>
      </c>
      <c r="V628">
        <v>84</v>
      </c>
      <c r="W628">
        <f t="shared" si="39"/>
        <v>7</v>
      </c>
      <c r="X628" t="s">
        <v>31</v>
      </c>
      <c r="Y628" t="s">
        <v>32</v>
      </c>
      <c r="Z628" t="s">
        <v>39</v>
      </c>
      <c r="AA628" t="s">
        <v>40</v>
      </c>
      <c r="AB628" t="s">
        <v>48</v>
      </c>
      <c r="AC628" t="s">
        <v>36</v>
      </c>
    </row>
    <row r="629" spans="1:29" x14ac:dyDescent="0.25">
      <c r="A629">
        <v>663</v>
      </c>
      <c r="B629">
        <v>15013</v>
      </c>
      <c r="C629">
        <v>7848</v>
      </c>
      <c r="D629">
        <f t="shared" si="36"/>
        <v>22861</v>
      </c>
      <c r="E629" t="s">
        <v>29</v>
      </c>
      <c r="F629">
        <v>37</v>
      </c>
      <c r="G629" t="str" cm="1">
        <f t="array" ref="G629">_xlfn.IFS(F629&lt;25,"18-24",F629&lt;35,"25-35",F629&lt;45,"35-44",F629&lt;55,"44-54",F629&gt;=55,"55+")</f>
        <v>35-44</v>
      </c>
      <c r="H629" t="s">
        <v>41</v>
      </c>
      <c r="I629">
        <v>1</v>
      </c>
      <c r="J629" t="str" cm="1">
        <f t="array" ref="J629">_xlfn.IFS(I629&lt;=0,"No Dependents",I629&lt;=1,"One",I629&lt;=2,"Two",I629&gt;=3,"Third")</f>
        <v>One</v>
      </c>
      <c r="K629">
        <v>556</v>
      </c>
      <c r="L629" t="str" cm="1">
        <f t="array" ref="L629">_xlfn.IFS(K629&lt;=580,"Poor",K629&lt;=670,"fair",K629&lt;=740,"Good",K629&lt;=800,"Very Good",K629&gt;=800,"Excellent")</f>
        <v>Poor</v>
      </c>
      <c r="M629">
        <v>1</v>
      </c>
      <c r="N629" t="str">
        <f t="shared" si="37"/>
        <v>Yes</v>
      </c>
      <c r="O629">
        <v>0.35</v>
      </c>
      <c r="P629" t="str" cm="1">
        <f t="array" ref="P629">_xlfn.IFS(O629&lt;=0.3,"Low Risk",O629&lt;=0.4,"medium Risk",O629&lt;=0.5,"High Risk",O629&gt;0.5,"Very High Risk")</f>
        <v>medium Risk</v>
      </c>
      <c r="Q629">
        <v>16877</v>
      </c>
      <c r="R629">
        <v>32009</v>
      </c>
      <c r="S629" t="str">
        <f t="shared" si="38"/>
        <v>Yes</v>
      </c>
      <c r="T629">
        <v>38594</v>
      </c>
      <c r="U629" t="str" cm="1">
        <f t="array" ref="U629">_xlfn.IFS(T629&lt;5000,"Small",T629&lt;20000,"Medium",T629&lt;35000,"Large",T629&gt;35000,"Very Large")</f>
        <v>Very Large</v>
      </c>
      <c r="V629">
        <v>84</v>
      </c>
      <c r="W629">
        <f t="shared" si="39"/>
        <v>7</v>
      </c>
      <c r="X629" t="s">
        <v>47</v>
      </c>
      <c r="Y629" t="s">
        <v>38</v>
      </c>
      <c r="Z629" t="s">
        <v>39</v>
      </c>
      <c r="AA629" t="s">
        <v>40</v>
      </c>
      <c r="AB629" t="s">
        <v>42</v>
      </c>
      <c r="AC629" t="s">
        <v>36</v>
      </c>
    </row>
    <row r="630" spans="1:29" x14ac:dyDescent="0.25">
      <c r="A630">
        <v>664</v>
      </c>
      <c r="B630">
        <v>10717</v>
      </c>
      <c r="C630">
        <v>5208</v>
      </c>
      <c r="D630">
        <f t="shared" si="36"/>
        <v>15925</v>
      </c>
      <c r="E630" t="s">
        <v>48</v>
      </c>
      <c r="F630">
        <v>55</v>
      </c>
      <c r="G630" t="str" cm="1">
        <f t="array" ref="G630">_xlfn.IFS(F630&lt;25,"18-24",F630&lt;35,"25-35",F630&lt;45,"35-44",F630&lt;55,"44-54",F630&gt;=55,"55+")</f>
        <v>55+</v>
      </c>
      <c r="H630" t="s">
        <v>30</v>
      </c>
      <c r="I630">
        <v>0</v>
      </c>
      <c r="J630" t="str" cm="1">
        <f t="array" ref="J630">_xlfn.IFS(I630&lt;=0,"No Dependents",I630&lt;=1,"One",I630&lt;=2,"Two",I630&gt;=3,"Third")</f>
        <v>No Dependents</v>
      </c>
      <c r="K630">
        <v>562</v>
      </c>
      <c r="L630" t="str" cm="1">
        <f t="array" ref="L630">_xlfn.IFS(K630&lt;=580,"Poor",K630&lt;=670,"fair",K630&lt;=740,"Good",K630&lt;=800,"Very Good",K630&gt;=800,"Excellent")</f>
        <v>Poor</v>
      </c>
      <c r="M630">
        <v>2</v>
      </c>
      <c r="N630" t="str">
        <f t="shared" si="37"/>
        <v>Yes</v>
      </c>
      <c r="O630">
        <v>0.19</v>
      </c>
      <c r="P630" t="str" cm="1">
        <f t="array" ref="P630">_xlfn.IFS(O630&lt;=0.3,"Low Risk",O630&lt;=0.4,"medium Risk",O630&lt;=0.5,"High Risk",O630&gt;0.5,"Very High Risk")</f>
        <v>Low Risk</v>
      </c>
      <c r="Q630">
        <v>17810</v>
      </c>
      <c r="R630">
        <v>16558</v>
      </c>
      <c r="S630" t="str">
        <f t="shared" si="38"/>
        <v>Yes</v>
      </c>
      <c r="T630">
        <v>0</v>
      </c>
      <c r="U630" t="str" cm="1">
        <f t="array" ref="U630">_xlfn.IFS(T630&lt;5000,"Small",T630&lt;20000,"Medium",T630&lt;35000,"Large",T630&gt;35000,"Very Large")</f>
        <v>Small</v>
      </c>
      <c r="V630">
        <v>36</v>
      </c>
      <c r="W630">
        <f t="shared" si="39"/>
        <v>3</v>
      </c>
      <c r="X630" t="s">
        <v>42</v>
      </c>
      <c r="Y630" t="s">
        <v>45</v>
      </c>
      <c r="Z630" t="s">
        <v>39</v>
      </c>
      <c r="AA630" t="s">
        <v>40</v>
      </c>
      <c r="AB630" t="s">
        <v>35</v>
      </c>
      <c r="AC630" t="s">
        <v>36</v>
      </c>
    </row>
    <row r="631" spans="1:29" x14ac:dyDescent="0.25">
      <c r="A631">
        <v>665</v>
      </c>
      <c r="B631">
        <v>10150</v>
      </c>
      <c r="C631">
        <v>6924</v>
      </c>
      <c r="D631">
        <f t="shared" si="36"/>
        <v>17074</v>
      </c>
      <c r="E631" t="s">
        <v>29</v>
      </c>
      <c r="F631">
        <v>57</v>
      </c>
      <c r="G631" t="str" cm="1">
        <f t="array" ref="G631">_xlfn.IFS(F631&lt;25,"18-24",F631&lt;35,"25-35",F631&lt;45,"35-44",F631&lt;55,"44-54",F631&gt;=55,"55+")</f>
        <v>55+</v>
      </c>
      <c r="H631" t="s">
        <v>41</v>
      </c>
      <c r="I631">
        <v>1</v>
      </c>
      <c r="J631" t="str" cm="1">
        <f t="array" ref="J631">_xlfn.IFS(I631&lt;=0,"No Dependents",I631&lt;=1,"One",I631&lt;=2,"Two",I631&gt;=3,"Third")</f>
        <v>One</v>
      </c>
      <c r="K631">
        <v>669</v>
      </c>
      <c r="L631" t="str" cm="1">
        <f t="array" ref="L631">_xlfn.IFS(K631&lt;=580,"Poor",K631&lt;=670,"fair",K631&lt;=740,"Good",K631&lt;=800,"Very Good",K631&gt;=800,"Excellent")</f>
        <v>fair</v>
      </c>
      <c r="M631">
        <v>1</v>
      </c>
      <c r="N631" t="str">
        <f t="shared" si="37"/>
        <v>Yes</v>
      </c>
      <c r="O631">
        <v>0.39</v>
      </c>
      <c r="P631" t="str" cm="1">
        <f t="array" ref="P631">_xlfn.IFS(O631&lt;=0.3,"Low Risk",O631&lt;=0.4,"medium Risk",O631&lt;=0.5,"High Risk",O631&gt;0.5,"Very High Risk")</f>
        <v>medium Risk</v>
      </c>
      <c r="Q631">
        <v>9884</v>
      </c>
      <c r="R631">
        <v>17718</v>
      </c>
      <c r="S631" t="str">
        <f t="shared" si="38"/>
        <v>Yes</v>
      </c>
      <c r="T631">
        <v>11528</v>
      </c>
      <c r="U631" t="str" cm="1">
        <f t="array" ref="U631">_xlfn.IFS(T631&lt;5000,"Small",T631&lt;20000,"Medium",T631&lt;35000,"Large",T631&gt;35000,"Very Large")</f>
        <v>Medium</v>
      </c>
      <c r="V631">
        <v>12</v>
      </c>
      <c r="W631">
        <f t="shared" si="39"/>
        <v>1</v>
      </c>
      <c r="X631" t="s">
        <v>50</v>
      </c>
      <c r="Y631" t="s">
        <v>45</v>
      </c>
      <c r="Z631" t="s">
        <v>39</v>
      </c>
      <c r="AA631" t="s">
        <v>34</v>
      </c>
      <c r="AB631" t="s">
        <v>35</v>
      </c>
      <c r="AC631" t="s">
        <v>44</v>
      </c>
    </row>
    <row r="632" spans="1:29" x14ac:dyDescent="0.25">
      <c r="A632">
        <v>666</v>
      </c>
      <c r="B632">
        <v>4125</v>
      </c>
      <c r="C632">
        <v>3828</v>
      </c>
      <c r="D632">
        <f t="shared" si="36"/>
        <v>7953</v>
      </c>
      <c r="E632" t="s">
        <v>29</v>
      </c>
      <c r="F632">
        <v>39</v>
      </c>
      <c r="G632" t="str" cm="1">
        <f t="array" ref="G632">_xlfn.IFS(F632&lt;25,"18-24",F632&lt;35,"25-35",F632&lt;45,"35-44",F632&lt;55,"44-54",F632&gt;=55,"55+")</f>
        <v>35-44</v>
      </c>
      <c r="H632" t="s">
        <v>41</v>
      </c>
      <c r="I632">
        <v>0</v>
      </c>
      <c r="J632" t="str" cm="1">
        <f t="array" ref="J632">_xlfn.IFS(I632&lt;=0,"No Dependents",I632&lt;=1,"One",I632&lt;=2,"Two",I632&gt;=3,"Third")</f>
        <v>No Dependents</v>
      </c>
      <c r="K632">
        <v>615</v>
      </c>
      <c r="L632" t="str" cm="1">
        <f t="array" ref="L632">_xlfn.IFS(K632&lt;=580,"Poor",K632&lt;=670,"fair",K632&lt;=740,"Good",K632&lt;=800,"Very Good",K632&gt;=800,"Excellent")</f>
        <v>fair</v>
      </c>
      <c r="M632">
        <v>3</v>
      </c>
      <c r="N632" t="str">
        <f t="shared" si="37"/>
        <v>Yes</v>
      </c>
      <c r="O632">
        <v>0.35</v>
      </c>
      <c r="P632" t="str" cm="1">
        <f t="array" ref="P632">_xlfn.IFS(O632&lt;=0.3,"Low Risk",O632&lt;=0.4,"medium Risk",O632&lt;=0.5,"High Risk",O632&gt;0.5,"Very High Risk")</f>
        <v>medium Risk</v>
      </c>
      <c r="Q632">
        <v>18177</v>
      </c>
      <c r="R632">
        <v>16705</v>
      </c>
      <c r="S632" t="str">
        <f t="shared" si="38"/>
        <v>Yes</v>
      </c>
      <c r="T632">
        <v>29190</v>
      </c>
      <c r="U632" t="str" cm="1">
        <f t="array" ref="U632">_xlfn.IFS(T632&lt;5000,"Small",T632&lt;20000,"Medium",T632&lt;35000,"Large",T632&gt;35000,"Very Large")</f>
        <v>Large</v>
      </c>
      <c r="V632">
        <v>72</v>
      </c>
      <c r="W632">
        <f t="shared" si="39"/>
        <v>6</v>
      </c>
      <c r="X632" t="s">
        <v>37</v>
      </c>
      <c r="Y632" t="s">
        <v>32</v>
      </c>
      <c r="Z632" t="s">
        <v>39</v>
      </c>
      <c r="AA632" t="s">
        <v>40</v>
      </c>
      <c r="AB632" t="s">
        <v>35</v>
      </c>
      <c r="AC632" t="s">
        <v>36</v>
      </c>
    </row>
    <row r="633" spans="1:29" x14ac:dyDescent="0.25">
      <c r="A633">
        <v>668</v>
      </c>
      <c r="B633">
        <v>17745</v>
      </c>
      <c r="C633">
        <v>0</v>
      </c>
      <c r="D633">
        <f t="shared" si="36"/>
        <v>17745</v>
      </c>
      <c r="E633" t="s">
        <v>29</v>
      </c>
      <c r="F633">
        <v>27</v>
      </c>
      <c r="G633" t="str" cm="1">
        <f t="array" ref="G633">_xlfn.IFS(F633&lt;25,"18-24",F633&lt;35,"25-35",F633&lt;45,"35-44",F633&lt;55,"44-54",F633&gt;=55,"55+")</f>
        <v>25-35</v>
      </c>
      <c r="H633" t="s">
        <v>41</v>
      </c>
      <c r="I633">
        <v>3</v>
      </c>
      <c r="J633" t="str" cm="1">
        <f t="array" ref="J633">_xlfn.IFS(I633&lt;=0,"No Dependents",I633&lt;=1,"One",I633&lt;=2,"Two",I633&gt;=3,"Third")</f>
        <v>Third</v>
      </c>
      <c r="K633">
        <v>687</v>
      </c>
      <c r="L633" t="str" cm="1">
        <f t="array" ref="L633">_xlfn.IFS(K633&lt;=580,"Poor",K633&lt;=670,"fair",K633&lt;=740,"Good",K633&lt;=800,"Very Good",K633&gt;=800,"Excellent")</f>
        <v>Good</v>
      </c>
      <c r="M633">
        <v>3</v>
      </c>
      <c r="N633" t="str">
        <f t="shared" si="37"/>
        <v>Yes</v>
      </c>
      <c r="O633">
        <v>0.47</v>
      </c>
      <c r="P633" t="str" cm="1">
        <f t="array" ref="P633">_xlfn.IFS(O633&lt;=0.3,"Low Risk",O633&lt;=0.4,"medium Risk",O633&lt;=0.5,"High Risk",O633&gt;0.5,"Very High Risk")</f>
        <v>High Risk</v>
      </c>
      <c r="Q633">
        <v>17042</v>
      </c>
      <c r="R633">
        <v>12342</v>
      </c>
      <c r="S633" t="str">
        <f t="shared" si="38"/>
        <v>Yes</v>
      </c>
      <c r="T633">
        <v>8641</v>
      </c>
      <c r="U633" t="str" cm="1">
        <f t="array" ref="U633">_xlfn.IFS(T633&lt;5000,"Small",T633&lt;20000,"Medium",T633&lt;35000,"Large",T633&gt;35000,"Very Large")</f>
        <v>Medium</v>
      </c>
      <c r="V633">
        <v>84</v>
      </c>
      <c r="W633">
        <f t="shared" si="39"/>
        <v>7</v>
      </c>
      <c r="X633" t="s">
        <v>42</v>
      </c>
      <c r="Y633" t="s">
        <v>45</v>
      </c>
      <c r="Z633" t="s">
        <v>39</v>
      </c>
      <c r="AA633" t="s">
        <v>34</v>
      </c>
      <c r="AB633" t="s">
        <v>51</v>
      </c>
      <c r="AC633" t="s">
        <v>36</v>
      </c>
    </row>
    <row r="634" spans="1:29" x14ac:dyDescent="0.25">
      <c r="A634">
        <v>669</v>
      </c>
      <c r="B634">
        <v>18748</v>
      </c>
      <c r="C634">
        <v>7114</v>
      </c>
      <c r="D634">
        <f t="shared" si="36"/>
        <v>25862</v>
      </c>
      <c r="E634" t="s">
        <v>52</v>
      </c>
      <c r="F634">
        <v>48</v>
      </c>
      <c r="G634" t="str" cm="1">
        <f t="array" ref="G634">_xlfn.IFS(F634&lt;25,"18-24",F634&lt;35,"25-35",F634&lt;45,"35-44",F634&lt;55,"44-54",F634&gt;=55,"55+")</f>
        <v>44-54</v>
      </c>
      <c r="H634" t="s">
        <v>30</v>
      </c>
      <c r="I634">
        <v>0</v>
      </c>
      <c r="J634" t="str" cm="1">
        <f t="array" ref="J634">_xlfn.IFS(I634&lt;=0,"No Dependents",I634&lt;=1,"One",I634&lt;=2,"Two",I634&gt;=3,"Third")</f>
        <v>No Dependents</v>
      </c>
      <c r="K634">
        <v>780</v>
      </c>
      <c r="L634" t="str" cm="1">
        <f t="array" ref="L634">_xlfn.IFS(K634&lt;=580,"Poor",K634&lt;=670,"fair",K634&lt;=740,"Good",K634&lt;=800,"Very Good",K634&gt;=800,"Excellent")</f>
        <v>Very Good</v>
      </c>
      <c r="M634">
        <v>3</v>
      </c>
      <c r="N634" t="str">
        <f t="shared" si="37"/>
        <v>Yes</v>
      </c>
      <c r="O634">
        <v>0.27</v>
      </c>
      <c r="P634" t="str" cm="1">
        <f t="array" ref="P634">_xlfn.IFS(O634&lt;=0.3,"Low Risk",O634&lt;=0.4,"medium Risk",O634&lt;=0.5,"High Risk",O634&gt;0.5,"Very High Risk")</f>
        <v>Low Risk</v>
      </c>
      <c r="Q634">
        <v>4761</v>
      </c>
      <c r="R634">
        <v>12239</v>
      </c>
      <c r="S634" t="str">
        <f t="shared" si="38"/>
        <v>Yes</v>
      </c>
      <c r="T634">
        <v>5643</v>
      </c>
      <c r="U634" t="str" cm="1">
        <f t="array" ref="U634">_xlfn.IFS(T634&lt;5000,"Small",T634&lt;20000,"Medium",T634&lt;35000,"Large",T634&gt;35000,"Very Large")</f>
        <v>Medium</v>
      </c>
      <c r="V634">
        <v>12</v>
      </c>
      <c r="W634">
        <f t="shared" si="39"/>
        <v>1</v>
      </c>
      <c r="X634" t="s">
        <v>42</v>
      </c>
      <c r="Y634" t="s">
        <v>45</v>
      </c>
      <c r="Z634" t="s">
        <v>39</v>
      </c>
      <c r="AA634" t="s">
        <v>34</v>
      </c>
      <c r="AB634" t="s">
        <v>43</v>
      </c>
      <c r="AC634" t="s">
        <v>44</v>
      </c>
    </row>
    <row r="635" spans="1:29" x14ac:dyDescent="0.25">
      <c r="A635">
        <v>670</v>
      </c>
      <c r="B635">
        <v>8809</v>
      </c>
      <c r="C635">
        <v>9539</v>
      </c>
      <c r="D635">
        <f t="shared" si="36"/>
        <v>18348</v>
      </c>
      <c r="E635" t="s">
        <v>29</v>
      </c>
      <c r="F635">
        <v>29</v>
      </c>
      <c r="G635" t="str" cm="1">
        <f t="array" ref="G635">_xlfn.IFS(F635&lt;25,"18-24",F635&lt;35,"25-35",F635&lt;45,"35-44",F635&lt;55,"44-54",F635&gt;=55,"55+")</f>
        <v>25-35</v>
      </c>
      <c r="H635" t="s">
        <v>30</v>
      </c>
      <c r="I635">
        <v>3</v>
      </c>
      <c r="J635" t="str" cm="1">
        <f t="array" ref="J635">_xlfn.IFS(I635&lt;=0,"No Dependents",I635&lt;=1,"One",I635&lt;=2,"Two",I635&gt;=3,"Third")</f>
        <v>Third</v>
      </c>
      <c r="K635">
        <v>637</v>
      </c>
      <c r="L635" t="str" cm="1">
        <f t="array" ref="L635">_xlfn.IFS(K635&lt;=580,"Poor",K635&lt;=670,"fair",K635&lt;=740,"Good",K635&lt;=800,"Very Good",K635&gt;=800,"Excellent")</f>
        <v>fair</v>
      </c>
      <c r="M635">
        <v>3</v>
      </c>
      <c r="N635" t="str">
        <f t="shared" si="37"/>
        <v>Yes</v>
      </c>
      <c r="O635">
        <v>0.48</v>
      </c>
      <c r="P635" t="str" cm="1">
        <f t="array" ref="P635">_xlfn.IFS(O635&lt;=0.3,"Low Risk",O635&lt;=0.4,"medium Risk",O635&lt;=0.5,"High Risk",O635&gt;0.5,"Very High Risk")</f>
        <v>High Risk</v>
      </c>
      <c r="Q635">
        <v>7630</v>
      </c>
      <c r="R635">
        <v>46622</v>
      </c>
      <c r="S635" t="str">
        <f t="shared" si="38"/>
        <v>Yes</v>
      </c>
      <c r="T635">
        <v>6056</v>
      </c>
      <c r="U635" t="str" cm="1">
        <f t="array" ref="U635">_xlfn.IFS(T635&lt;5000,"Small",T635&lt;20000,"Medium",T635&lt;35000,"Large",T635&gt;35000,"Very Large")</f>
        <v>Medium</v>
      </c>
      <c r="V635">
        <v>24</v>
      </c>
      <c r="W635">
        <f t="shared" si="39"/>
        <v>2</v>
      </c>
      <c r="X635" t="s">
        <v>47</v>
      </c>
      <c r="Y635" t="s">
        <v>32</v>
      </c>
      <c r="Z635" t="s">
        <v>39</v>
      </c>
      <c r="AA635" t="s">
        <v>34</v>
      </c>
      <c r="AB635" t="s">
        <v>43</v>
      </c>
      <c r="AC635" t="s">
        <v>36</v>
      </c>
    </row>
    <row r="636" spans="1:29" x14ac:dyDescent="0.25">
      <c r="A636">
        <v>671</v>
      </c>
      <c r="B636">
        <v>6621</v>
      </c>
      <c r="C636">
        <v>3173</v>
      </c>
      <c r="D636">
        <f t="shared" si="36"/>
        <v>9794</v>
      </c>
      <c r="E636" t="s">
        <v>49</v>
      </c>
      <c r="F636">
        <v>48</v>
      </c>
      <c r="G636" t="str" cm="1">
        <f t="array" ref="G636">_xlfn.IFS(F636&lt;25,"18-24",F636&lt;35,"25-35",F636&lt;45,"35-44",F636&lt;55,"44-54",F636&gt;=55,"55+")</f>
        <v>44-54</v>
      </c>
      <c r="H636" t="s">
        <v>41</v>
      </c>
      <c r="I636">
        <v>0</v>
      </c>
      <c r="J636" t="str" cm="1">
        <f t="array" ref="J636">_xlfn.IFS(I636&lt;=0,"No Dependents",I636&lt;=1,"One",I636&lt;=2,"Two",I636&gt;=3,"Third")</f>
        <v>No Dependents</v>
      </c>
      <c r="K636">
        <v>566</v>
      </c>
      <c r="L636" t="str" cm="1">
        <f t="array" ref="L636">_xlfn.IFS(K636&lt;=580,"Poor",K636&lt;=670,"fair",K636&lt;=740,"Good",K636&lt;=800,"Very Good",K636&gt;=800,"Excellent")</f>
        <v>Poor</v>
      </c>
      <c r="M636">
        <v>1</v>
      </c>
      <c r="N636" t="str">
        <f t="shared" si="37"/>
        <v>Yes</v>
      </c>
      <c r="O636">
        <v>0.32</v>
      </c>
      <c r="P636" t="str" cm="1">
        <f t="array" ref="P636">_xlfn.IFS(O636&lt;=0.3,"Low Risk",O636&lt;=0.4,"medium Risk",O636&lt;=0.5,"High Risk",O636&gt;0.5,"Very High Risk")</f>
        <v>medium Risk</v>
      </c>
      <c r="Q636">
        <v>16375</v>
      </c>
      <c r="R636">
        <v>46665</v>
      </c>
      <c r="S636" t="str">
        <f t="shared" si="38"/>
        <v>Yes</v>
      </c>
      <c r="T636">
        <v>33899</v>
      </c>
      <c r="U636" t="str" cm="1">
        <f t="array" ref="U636">_xlfn.IFS(T636&lt;5000,"Small",T636&lt;20000,"Medium",T636&lt;35000,"Large",T636&gt;35000,"Very Large")</f>
        <v>Large</v>
      </c>
      <c r="V636">
        <v>72</v>
      </c>
      <c r="W636">
        <f t="shared" si="39"/>
        <v>6</v>
      </c>
      <c r="X636" t="s">
        <v>37</v>
      </c>
      <c r="Y636" t="s">
        <v>32</v>
      </c>
      <c r="Z636" t="s">
        <v>39</v>
      </c>
      <c r="AA636" t="s">
        <v>40</v>
      </c>
      <c r="AB636" t="s">
        <v>35</v>
      </c>
      <c r="AC636" t="s">
        <v>36</v>
      </c>
    </row>
    <row r="637" spans="1:29" x14ac:dyDescent="0.25">
      <c r="A637">
        <v>672</v>
      </c>
      <c r="B637">
        <v>17034</v>
      </c>
      <c r="C637">
        <v>1667</v>
      </c>
      <c r="D637">
        <f t="shared" si="36"/>
        <v>18701</v>
      </c>
      <c r="E637" t="s">
        <v>29</v>
      </c>
      <c r="F637">
        <v>26</v>
      </c>
      <c r="G637" t="str" cm="1">
        <f t="array" ref="G637">_xlfn.IFS(F637&lt;25,"18-24",F637&lt;35,"25-35",F637&lt;45,"35-44",F637&lt;55,"44-54",F637&gt;=55,"55+")</f>
        <v>25-35</v>
      </c>
      <c r="H637" t="s">
        <v>30</v>
      </c>
      <c r="I637">
        <v>3</v>
      </c>
      <c r="J637" t="str" cm="1">
        <f t="array" ref="J637">_xlfn.IFS(I637&lt;=0,"No Dependents",I637&lt;=1,"One",I637&lt;=2,"Two",I637&gt;=3,"Third")</f>
        <v>Third</v>
      </c>
      <c r="K637">
        <v>601</v>
      </c>
      <c r="L637" t="str" cm="1">
        <f t="array" ref="L637">_xlfn.IFS(K637&lt;=580,"Poor",K637&lt;=670,"fair",K637&lt;=740,"Good",K637&lt;=800,"Very Good",K637&gt;=800,"Excellent")</f>
        <v>fair</v>
      </c>
      <c r="M637">
        <v>2</v>
      </c>
      <c r="N637" t="str">
        <f t="shared" si="37"/>
        <v>Yes</v>
      </c>
      <c r="O637">
        <v>0.34</v>
      </c>
      <c r="P637" t="str" cm="1">
        <f t="array" ref="P637">_xlfn.IFS(O637&lt;=0.3,"Low Risk",O637&lt;=0.4,"medium Risk",O637&lt;=0.5,"High Risk",O637&gt;0.5,"Very High Risk")</f>
        <v>medium Risk</v>
      </c>
      <c r="Q637">
        <v>8741</v>
      </c>
      <c r="R637">
        <v>32274</v>
      </c>
      <c r="S637" t="str">
        <f t="shared" si="38"/>
        <v>Yes</v>
      </c>
      <c r="T637">
        <v>0</v>
      </c>
      <c r="U637" t="str" cm="1">
        <f t="array" ref="U637">_xlfn.IFS(T637&lt;5000,"Small",T637&lt;20000,"Medium",T637&lt;35000,"Large",T637&gt;35000,"Very Large")</f>
        <v>Small</v>
      </c>
      <c r="V637">
        <v>36</v>
      </c>
      <c r="W637">
        <f t="shared" si="39"/>
        <v>3</v>
      </c>
      <c r="X637" t="s">
        <v>42</v>
      </c>
      <c r="Y637" t="s">
        <v>38</v>
      </c>
      <c r="Z637" t="s">
        <v>33</v>
      </c>
      <c r="AA637" t="s">
        <v>34</v>
      </c>
      <c r="AB637" t="s">
        <v>43</v>
      </c>
      <c r="AC637" t="s">
        <v>36</v>
      </c>
    </row>
    <row r="638" spans="1:29" x14ac:dyDescent="0.25">
      <c r="A638">
        <v>673</v>
      </c>
      <c r="B638">
        <v>15623</v>
      </c>
      <c r="C638">
        <v>9829</v>
      </c>
      <c r="D638">
        <f t="shared" si="36"/>
        <v>25452</v>
      </c>
      <c r="E638" t="s">
        <v>29</v>
      </c>
      <c r="F638">
        <v>49</v>
      </c>
      <c r="G638" t="str" cm="1">
        <f t="array" ref="G638">_xlfn.IFS(F638&lt;25,"18-24",F638&lt;35,"25-35",F638&lt;45,"35-44",F638&lt;55,"44-54",F638&gt;=55,"55+")</f>
        <v>44-54</v>
      </c>
      <c r="H638" t="s">
        <v>30</v>
      </c>
      <c r="I638">
        <v>2</v>
      </c>
      <c r="J638" t="str" cm="1">
        <f t="array" ref="J638">_xlfn.IFS(I638&lt;=0,"No Dependents",I638&lt;=1,"One",I638&lt;=2,"Two",I638&gt;=3,"Third")</f>
        <v>Two</v>
      </c>
      <c r="K638">
        <v>683</v>
      </c>
      <c r="L638" t="str" cm="1">
        <f t="array" ref="L638">_xlfn.IFS(K638&lt;=580,"Poor",K638&lt;=670,"fair",K638&lt;=740,"Good",K638&lt;=800,"Very Good",K638&gt;=800,"Excellent")</f>
        <v>Good</v>
      </c>
      <c r="M638">
        <v>1</v>
      </c>
      <c r="N638" t="str">
        <f t="shared" si="37"/>
        <v>Yes</v>
      </c>
      <c r="O638">
        <v>0.42</v>
      </c>
      <c r="P638" t="str" cm="1">
        <f t="array" ref="P638">_xlfn.IFS(O638&lt;=0.3,"Low Risk",O638&lt;=0.4,"medium Risk",O638&lt;=0.5,"High Risk",O638&gt;0.5,"Very High Risk")</f>
        <v>High Risk</v>
      </c>
      <c r="Q638">
        <v>4350</v>
      </c>
      <c r="R638">
        <v>11419</v>
      </c>
      <c r="S638" t="str">
        <f t="shared" si="38"/>
        <v>Yes</v>
      </c>
      <c r="T638">
        <v>18241</v>
      </c>
      <c r="U638" t="str" cm="1">
        <f t="array" ref="U638">_xlfn.IFS(T638&lt;5000,"Small",T638&lt;20000,"Medium",T638&lt;35000,"Large",T638&gt;35000,"Very Large")</f>
        <v>Medium</v>
      </c>
      <c r="V638">
        <v>60</v>
      </c>
      <c r="W638">
        <f t="shared" si="39"/>
        <v>5</v>
      </c>
      <c r="X638" t="s">
        <v>47</v>
      </c>
      <c r="Y638" t="s">
        <v>45</v>
      </c>
      <c r="Z638" t="s">
        <v>39</v>
      </c>
      <c r="AA638" t="s">
        <v>34</v>
      </c>
      <c r="AB638" t="s">
        <v>42</v>
      </c>
      <c r="AC638" t="s">
        <v>36</v>
      </c>
    </row>
    <row r="639" spans="1:29" x14ac:dyDescent="0.25">
      <c r="A639">
        <v>674</v>
      </c>
      <c r="B639">
        <v>7126</v>
      </c>
      <c r="C639">
        <v>4114</v>
      </c>
      <c r="D639">
        <f t="shared" si="36"/>
        <v>11240</v>
      </c>
      <c r="E639" t="s">
        <v>29</v>
      </c>
      <c r="F639">
        <v>37</v>
      </c>
      <c r="G639" t="str" cm="1">
        <f t="array" ref="G639">_xlfn.IFS(F639&lt;25,"18-24",F639&lt;35,"25-35",F639&lt;45,"35-44",F639&lt;55,"44-54",F639&gt;=55,"55+")</f>
        <v>35-44</v>
      </c>
      <c r="H639" t="s">
        <v>30</v>
      </c>
      <c r="I639">
        <v>2</v>
      </c>
      <c r="J639" t="str" cm="1">
        <f t="array" ref="J639">_xlfn.IFS(I639&lt;=0,"No Dependents",I639&lt;=1,"One",I639&lt;=2,"Two",I639&gt;=3,"Third")</f>
        <v>Two</v>
      </c>
      <c r="K639">
        <v>760</v>
      </c>
      <c r="L639" t="str" cm="1">
        <f t="array" ref="L639">_xlfn.IFS(K639&lt;=580,"Poor",K639&lt;=670,"fair",K639&lt;=740,"Good",K639&lt;=800,"Very Good",K639&gt;=800,"Excellent")</f>
        <v>Very Good</v>
      </c>
      <c r="M639">
        <v>2</v>
      </c>
      <c r="N639" t="str">
        <f t="shared" si="37"/>
        <v>Yes</v>
      </c>
      <c r="O639">
        <v>0.11</v>
      </c>
      <c r="P639" t="str" cm="1">
        <f t="array" ref="P639">_xlfn.IFS(O639&lt;=0.3,"Low Risk",O639&lt;=0.4,"medium Risk",O639&lt;=0.5,"High Risk",O639&gt;0.5,"Very High Risk")</f>
        <v>Low Risk</v>
      </c>
      <c r="Q639">
        <v>207</v>
      </c>
      <c r="R639">
        <v>42832</v>
      </c>
      <c r="S639" t="str">
        <f t="shared" si="38"/>
        <v>Yes</v>
      </c>
      <c r="T639">
        <v>9712</v>
      </c>
      <c r="U639" t="str" cm="1">
        <f t="array" ref="U639">_xlfn.IFS(T639&lt;5000,"Small",T639&lt;20000,"Medium",T639&lt;35000,"Large",T639&gt;35000,"Very Large")</f>
        <v>Medium</v>
      </c>
      <c r="V639">
        <v>48</v>
      </c>
      <c r="W639">
        <f t="shared" si="39"/>
        <v>4</v>
      </c>
      <c r="X639" t="s">
        <v>42</v>
      </c>
      <c r="Y639" t="s">
        <v>45</v>
      </c>
      <c r="Z639" t="s">
        <v>39</v>
      </c>
      <c r="AA639" t="s">
        <v>34</v>
      </c>
      <c r="AB639" t="s">
        <v>43</v>
      </c>
      <c r="AC639" t="s">
        <v>44</v>
      </c>
    </row>
    <row r="640" spans="1:29" x14ac:dyDescent="0.25">
      <c r="A640">
        <v>677</v>
      </c>
      <c r="B640">
        <v>7870</v>
      </c>
      <c r="C640">
        <v>1000</v>
      </c>
      <c r="D640">
        <f t="shared" si="36"/>
        <v>8870</v>
      </c>
      <c r="E640" t="s">
        <v>46</v>
      </c>
      <c r="F640">
        <v>51</v>
      </c>
      <c r="G640" t="str" cm="1">
        <f t="array" ref="G640">_xlfn.IFS(F640&lt;25,"18-24",F640&lt;35,"25-35",F640&lt;45,"35-44",F640&lt;55,"44-54",F640&gt;=55,"55+")</f>
        <v>44-54</v>
      </c>
      <c r="H640" t="s">
        <v>30</v>
      </c>
      <c r="I640">
        <v>2</v>
      </c>
      <c r="J640" t="str" cm="1">
        <f t="array" ref="J640">_xlfn.IFS(I640&lt;=0,"No Dependents",I640&lt;=1,"One",I640&lt;=2,"Two",I640&gt;=3,"Third")</f>
        <v>Two</v>
      </c>
      <c r="K640">
        <v>751</v>
      </c>
      <c r="L640" t="str" cm="1">
        <f t="array" ref="L640">_xlfn.IFS(K640&lt;=580,"Poor",K640&lt;=670,"fair",K640&lt;=740,"Good",K640&lt;=800,"Very Good",K640&gt;=800,"Excellent")</f>
        <v>Very Good</v>
      </c>
      <c r="M640">
        <v>1</v>
      </c>
      <c r="N640" t="str">
        <f t="shared" si="37"/>
        <v>Yes</v>
      </c>
      <c r="O640">
        <v>0.25</v>
      </c>
      <c r="P640" t="str" cm="1">
        <f t="array" ref="P640">_xlfn.IFS(O640&lt;=0.3,"Low Risk",O640&lt;=0.4,"medium Risk",O640&lt;=0.5,"High Risk",O640&gt;0.5,"Very High Risk")</f>
        <v>Low Risk</v>
      </c>
      <c r="Q640">
        <v>2886</v>
      </c>
      <c r="R640">
        <v>21988</v>
      </c>
      <c r="S640" t="str">
        <f t="shared" si="38"/>
        <v>Yes</v>
      </c>
      <c r="T640">
        <v>16660</v>
      </c>
      <c r="U640" t="str" cm="1">
        <f t="array" ref="U640">_xlfn.IFS(T640&lt;5000,"Small",T640&lt;20000,"Medium",T640&lt;35000,"Large",T640&gt;35000,"Very Large")</f>
        <v>Medium</v>
      </c>
      <c r="V640">
        <v>12</v>
      </c>
      <c r="W640">
        <f t="shared" si="39"/>
        <v>1</v>
      </c>
      <c r="X640" t="s">
        <v>31</v>
      </c>
      <c r="Y640" t="s">
        <v>45</v>
      </c>
      <c r="Z640" t="s">
        <v>33</v>
      </c>
      <c r="AA640" t="s">
        <v>40</v>
      </c>
      <c r="AB640" t="s">
        <v>35</v>
      </c>
      <c r="AC640" t="s">
        <v>44</v>
      </c>
    </row>
    <row r="641" spans="1:29" x14ac:dyDescent="0.25">
      <c r="A641">
        <v>678</v>
      </c>
      <c r="B641">
        <v>3531</v>
      </c>
      <c r="C641">
        <v>9042</v>
      </c>
      <c r="D641">
        <f t="shared" si="36"/>
        <v>12573</v>
      </c>
      <c r="E641" t="s">
        <v>29</v>
      </c>
      <c r="F641">
        <v>23</v>
      </c>
      <c r="G641" t="str" cm="1">
        <f t="array" ref="G641">_xlfn.IFS(F641&lt;25,"18-24",F641&lt;35,"25-35",F641&lt;45,"35-44",F641&lt;55,"44-54",F641&gt;=55,"55+")</f>
        <v>18-24</v>
      </c>
      <c r="H641" t="s">
        <v>30</v>
      </c>
      <c r="I641">
        <v>1</v>
      </c>
      <c r="J641" t="str" cm="1">
        <f t="array" ref="J641">_xlfn.IFS(I641&lt;=0,"No Dependents",I641&lt;=1,"One",I641&lt;=2,"Two",I641&gt;=3,"Third")</f>
        <v>One</v>
      </c>
      <c r="K641">
        <v>686</v>
      </c>
      <c r="L641" t="str" cm="1">
        <f t="array" ref="L641">_xlfn.IFS(K641&lt;=580,"Poor",K641&lt;=670,"fair",K641&lt;=740,"Good",K641&lt;=800,"Very Good",K641&gt;=800,"Excellent")</f>
        <v>Good</v>
      </c>
      <c r="M641">
        <v>2</v>
      </c>
      <c r="N641" t="str">
        <f t="shared" si="37"/>
        <v>Yes</v>
      </c>
      <c r="O641">
        <v>0.14000000000000001</v>
      </c>
      <c r="P641" t="str" cm="1">
        <f t="array" ref="P641">_xlfn.IFS(O641&lt;=0.3,"Low Risk",O641&lt;=0.4,"medium Risk",O641&lt;=0.5,"High Risk",O641&gt;0.5,"Very High Risk")</f>
        <v>Low Risk</v>
      </c>
      <c r="Q641">
        <v>16861</v>
      </c>
      <c r="R641">
        <v>43027</v>
      </c>
      <c r="S641" t="str">
        <f t="shared" si="38"/>
        <v>Yes</v>
      </c>
      <c r="T641">
        <v>39915</v>
      </c>
      <c r="U641" t="str" cm="1">
        <f t="array" ref="U641">_xlfn.IFS(T641&lt;5000,"Small",T641&lt;20000,"Medium",T641&lt;35000,"Large",T641&gt;35000,"Very Large")</f>
        <v>Very Large</v>
      </c>
      <c r="V641">
        <v>48</v>
      </c>
      <c r="W641">
        <f t="shared" si="39"/>
        <v>4</v>
      </c>
      <c r="X641" t="s">
        <v>37</v>
      </c>
      <c r="Y641" t="s">
        <v>32</v>
      </c>
      <c r="Z641" t="s">
        <v>39</v>
      </c>
      <c r="AA641" t="s">
        <v>40</v>
      </c>
      <c r="AB641" t="s">
        <v>48</v>
      </c>
      <c r="AC641" t="s">
        <v>36</v>
      </c>
    </row>
    <row r="642" spans="1:29" x14ac:dyDescent="0.25">
      <c r="A642">
        <v>679</v>
      </c>
      <c r="B642">
        <v>10172</v>
      </c>
      <c r="C642">
        <v>1388</v>
      </c>
      <c r="D642">
        <f t="shared" si="36"/>
        <v>11560</v>
      </c>
      <c r="E642" t="s">
        <v>46</v>
      </c>
      <c r="F642">
        <v>41</v>
      </c>
      <c r="G642" t="str" cm="1">
        <f t="array" ref="G642">_xlfn.IFS(F642&lt;25,"18-24",F642&lt;35,"25-35",F642&lt;45,"35-44",F642&lt;55,"44-54",F642&gt;=55,"55+")</f>
        <v>35-44</v>
      </c>
      <c r="H642" t="s">
        <v>30</v>
      </c>
      <c r="I642">
        <v>0</v>
      </c>
      <c r="J642" t="str" cm="1">
        <f t="array" ref="J642">_xlfn.IFS(I642&lt;=0,"No Dependents",I642&lt;=1,"One",I642&lt;=2,"Two",I642&gt;=3,"Third")</f>
        <v>No Dependents</v>
      </c>
      <c r="K642">
        <v>768</v>
      </c>
      <c r="L642" t="str" cm="1">
        <f t="array" ref="L642">_xlfn.IFS(K642&lt;=580,"Poor",K642&lt;=670,"fair",K642&lt;=740,"Good",K642&lt;=800,"Very Good",K642&gt;=800,"Excellent")</f>
        <v>Very Good</v>
      </c>
      <c r="M642">
        <v>4</v>
      </c>
      <c r="N642" t="str">
        <f t="shared" si="37"/>
        <v>Yes</v>
      </c>
      <c r="O642">
        <v>0.15</v>
      </c>
      <c r="P642" t="str" cm="1">
        <f t="array" ref="P642">_xlfn.IFS(O642&lt;=0.3,"Low Risk",O642&lt;=0.4,"medium Risk",O642&lt;=0.5,"High Risk",O642&gt;0.5,"Very High Risk")</f>
        <v>Low Risk</v>
      </c>
      <c r="Q642">
        <v>8953</v>
      </c>
      <c r="R642">
        <v>24908</v>
      </c>
      <c r="S642" t="str">
        <f t="shared" si="38"/>
        <v>Yes</v>
      </c>
      <c r="T642">
        <v>0</v>
      </c>
      <c r="U642" t="str" cm="1">
        <f t="array" ref="U642">_xlfn.IFS(T642&lt;5000,"Small",T642&lt;20000,"Medium",T642&lt;35000,"Large",T642&gt;35000,"Very Large")</f>
        <v>Small</v>
      </c>
      <c r="V642">
        <v>72</v>
      </c>
      <c r="W642">
        <f t="shared" si="39"/>
        <v>6</v>
      </c>
      <c r="X642" t="s">
        <v>37</v>
      </c>
      <c r="Y642" t="s">
        <v>45</v>
      </c>
      <c r="Z642" t="s">
        <v>39</v>
      </c>
      <c r="AA642" t="s">
        <v>34</v>
      </c>
      <c r="AB642" t="s">
        <v>35</v>
      </c>
      <c r="AC642" t="s">
        <v>44</v>
      </c>
    </row>
    <row r="643" spans="1:29" x14ac:dyDescent="0.25">
      <c r="A643">
        <v>680</v>
      </c>
      <c r="B643">
        <v>9673</v>
      </c>
      <c r="C643">
        <v>5450</v>
      </c>
      <c r="D643">
        <f t="shared" ref="D643:D706" si="40">B643+C643</f>
        <v>15123</v>
      </c>
      <c r="E643" t="s">
        <v>52</v>
      </c>
      <c r="F643">
        <v>46</v>
      </c>
      <c r="G643" t="str" cm="1">
        <f t="array" ref="G643">_xlfn.IFS(F643&lt;25,"18-24",F643&lt;35,"25-35",F643&lt;45,"35-44",F643&lt;55,"44-54",F643&gt;=55,"55+")</f>
        <v>44-54</v>
      </c>
      <c r="H643" t="s">
        <v>30</v>
      </c>
      <c r="I643">
        <v>3</v>
      </c>
      <c r="J643" t="str" cm="1">
        <f t="array" ref="J643">_xlfn.IFS(I643&lt;=0,"No Dependents",I643&lt;=1,"One",I643&lt;=2,"Two",I643&gt;=3,"Third")</f>
        <v>Third</v>
      </c>
      <c r="K643">
        <v>754</v>
      </c>
      <c r="L643" t="str" cm="1">
        <f t="array" ref="L643">_xlfn.IFS(K643&lt;=580,"Poor",K643&lt;=670,"fair",K643&lt;=740,"Good",K643&lt;=800,"Very Good",K643&gt;=800,"Excellent")</f>
        <v>Very Good</v>
      </c>
      <c r="M643">
        <v>0</v>
      </c>
      <c r="N643" t="str">
        <f t="shared" ref="N643:N706" si="41">IF(M643&gt;0,"Yes","No")</f>
        <v>No</v>
      </c>
      <c r="O643">
        <v>0.56000000000000005</v>
      </c>
      <c r="P643" t="str" cm="1">
        <f t="array" ref="P643">_xlfn.IFS(O643&lt;=0.3,"Low Risk",O643&lt;=0.4,"medium Risk",O643&lt;=0.5,"High Risk",O643&gt;0.5,"Very High Risk")</f>
        <v>Very High Risk</v>
      </c>
      <c r="Q643">
        <v>8381</v>
      </c>
      <c r="R643">
        <v>5674</v>
      </c>
      <c r="S643" t="str">
        <f t="shared" ref="S643:S706" si="42">IF(R643&gt;100,"Yes","No")</f>
        <v>Yes</v>
      </c>
      <c r="T643">
        <v>38372</v>
      </c>
      <c r="U643" t="str" cm="1">
        <f t="array" ref="U643">_xlfn.IFS(T643&lt;5000,"Small",T643&lt;20000,"Medium",T643&lt;35000,"Large",T643&gt;35000,"Very Large")</f>
        <v>Very Large</v>
      </c>
      <c r="V643">
        <v>36</v>
      </c>
      <c r="W643">
        <f t="shared" ref="W643:W706" si="43">V643/12</f>
        <v>3</v>
      </c>
      <c r="X643" t="s">
        <v>37</v>
      </c>
      <c r="Y643" t="s">
        <v>38</v>
      </c>
      <c r="Z643" t="s">
        <v>39</v>
      </c>
      <c r="AA643" t="s">
        <v>34</v>
      </c>
      <c r="AB643" t="s">
        <v>48</v>
      </c>
      <c r="AC643" t="s">
        <v>36</v>
      </c>
    </row>
    <row r="644" spans="1:29" x14ac:dyDescent="0.25">
      <c r="A644">
        <v>681</v>
      </c>
      <c r="B644">
        <v>8882</v>
      </c>
      <c r="C644">
        <v>0</v>
      </c>
      <c r="D644">
        <f t="shared" si="40"/>
        <v>8882</v>
      </c>
      <c r="E644" t="s">
        <v>29</v>
      </c>
      <c r="F644">
        <v>56</v>
      </c>
      <c r="G644" t="str" cm="1">
        <f t="array" ref="G644">_xlfn.IFS(F644&lt;25,"18-24",F644&lt;35,"25-35",F644&lt;45,"35-44",F644&lt;55,"44-54",F644&gt;=55,"55+")</f>
        <v>55+</v>
      </c>
      <c r="H644" t="s">
        <v>30</v>
      </c>
      <c r="I644">
        <v>3</v>
      </c>
      <c r="J644" t="str" cm="1">
        <f t="array" ref="J644">_xlfn.IFS(I644&lt;=0,"No Dependents",I644&lt;=1,"One",I644&lt;=2,"Two",I644&gt;=3,"Third")</f>
        <v>Third</v>
      </c>
      <c r="K644">
        <v>760</v>
      </c>
      <c r="L644" t="str" cm="1">
        <f t="array" ref="L644">_xlfn.IFS(K644&lt;=580,"Poor",K644&lt;=670,"fair",K644&lt;=740,"Good",K644&lt;=800,"Very Good",K644&gt;=800,"Excellent")</f>
        <v>Very Good</v>
      </c>
      <c r="M644">
        <v>4</v>
      </c>
      <c r="N644" t="str">
        <f t="shared" si="41"/>
        <v>Yes</v>
      </c>
      <c r="O644">
        <v>0.44</v>
      </c>
      <c r="P644" t="str" cm="1">
        <f t="array" ref="P644">_xlfn.IFS(O644&lt;=0.3,"Low Risk",O644&lt;=0.4,"medium Risk",O644&lt;=0.5,"High Risk",O644&gt;0.5,"Very High Risk")</f>
        <v>High Risk</v>
      </c>
      <c r="Q644">
        <v>13795</v>
      </c>
      <c r="R644">
        <v>5002</v>
      </c>
      <c r="S644" t="str">
        <f t="shared" si="42"/>
        <v>Yes</v>
      </c>
      <c r="T644">
        <v>18942</v>
      </c>
      <c r="U644" t="str" cm="1">
        <f t="array" ref="U644">_xlfn.IFS(T644&lt;5000,"Small",T644&lt;20000,"Medium",T644&lt;35000,"Large",T644&gt;35000,"Very Large")</f>
        <v>Medium</v>
      </c>
      <c r="V644">
        <v>84</v>
      </c>
      <c r="W644">
        <f t="shared" si="43"/>
        <v>7</v>
      </c>
      <c r="X644" t="s">
        <v>47</v>
      </c>
      <c r="Y644" t="s">
        <v>45</v>
      </c>
      <c r="Z644" t="s">
        <v>39</v>
      </c>
      <c r="AA644" t="s">
        <v>40</v>
      </c>
      <c r="AB644" t="s">
        <v>35</v>
      </c>
      <c r="AC644" t="s">
        <v>36</v>
      </c>
    </row>
    <row r="645" spans="1:29" x14ac:dyDescent="0.25">
      <c r="A645">
        <v>682</v>
      </c>
      <c r="B645">
        <v>3906</v>
      </c>
      <c r="C645">
        <v>1367</v>
      </c>
      <c r="D645">
        <f t="shared" si="40"/>
        <v>5273</v>
      </c>
      <c r="E645" t="s">
        <v>48</v>
      </c>
      <c r="F645">
        <v>40</v>
      </c>
      <c r="G645" t="str" cm="1">
        <f t="array" ref="G645">_xlfn.IFS(F645&lt;25,"18-24",F645&lt;35,"25-35",F645&lt;45,"35-44",F645&lt;55,"44-54",F645&gt;=55,"55+")</f>
        <v>35-44</v>
      </c>
      <c r="H645" t="s">
        <v>30</v>
      </c>
      <c r="I645">
        <v>3</v>
      </c>
      <c r="J645" t="str" cm="1">
        <f t="array" ref="J645">_xlfn.IFS(I645&lt;=0,"No Dependents",I645&lt;=1,"One",I645&lt;=2,"Two",I645&gt;=3,"Third")</f>
        <v>Third</v>
      </c>
      <c r="K645">
        <v>570</v>
      </c>
      <c r="L645" t="str" cm="1">
        <f t="array" ref="L645">_xlfn.IFS(K645&lt;=580,"Poor",K645&lt;=670,"fair",K645&lt;=740,"Good",K645&lt;=800,"Very Good",K645&gt;=800,"Excellent")</f>
        <v>Poor</v>
      </c>
      <c r="M645">
        <v>1</v>
      </c>
      <c r="N645" t="str">
        <f t="shared" si="41"/>
        <v>Yes</v>
      </c>
      <c r="O645">
        <v>0.16</v>
      </c>
      <c r="P645" t="str" cm="1">
        <f t="array" ref="P645">_xlfn.IFS(O645&lt;=0.3,"Low Risk",O645&lt;=0.4,"medium Risk",O645&lt;=0.5,"High Risk",O645&gt;0.5,"Very High Risk")</f>
        <v>Low Risk</v>
      </c>
      <c r="Q645">
        <v>17139</v>
      </c>
      <c r="R645">
        <v>27567</v>
      </c>
      <c r="S645" t="str">
        <f t="shared" si="42"/>
        <v>Yes</v>
      </c>
      <c r="T645">
        <v>0</v>
      </c>
      <c r="U645" t="str" cm="1">
        <f t="array" ref="U645">_xlfn.IFS(T645&lt;5000,"Small",T645&lt;20000,"Medium",T645&lt;35000,"Large",T645&gt;35000,"Very Large")</f>
        <v>Small</v>
      </c>
      <c r="V645">
        <v>84</v>
      </c>
      <c r="W645">
        <f t="shared" si="43"/>
        <v>7</v>
      </c>
      <c r="X645" t="s">
        <v>42</v>
      </c>
      <c r="Y645" t="s">
        <v>32</v>
      </c>
      <c r="Z645" t="s">
        <v>39</v>
      </c>
      <c r="AA645" t="s">
        <v>34</v>
      </c>
      <c r="AB645" t="s">
        <v>35</v>
      </c>
      <c r="AC645" t="s">
        <v>36</v>
      </c>
    </row>
    <row r="646" spans="1:29" x14ac:dyDescent="0.25">
      <c r="A646">
        <v>683</v>
      </c>
      <c r="B646">
        <v>5086</v>
      </c>
      <c r="C646">
        <v>8189</v>
      </c>
      <c r="D646">
        <f t="shared" si="40"/>
        <v>13275</v>
      </c>
      <c r="E646" t="s">
        <v>49</v>
      </c>
      <c r="F646">
        <v>40</v>
      </c>
      <c r="G646" t="str" cm="1">
        <f t="array" ref="G646">_xlfn.IFS(F646&lt;25,"18-24",F646&lt;35,"25-35",F646&lt;45,"35-44",F646&lt;55,"44-54",F646&gt;=55,"55+")</f>
        <v>35-44</v>
      </c>
      <c r="H646" t="s">
        <v>41</v>
      </c>
      <c r="I646">
        <v>0</v>
      </c>
      <c r="J646" t="str" cm="1">
        <f t="array" ref="J646">_xlfn.IFS(I646&lt;=0,"No Dependents",I646&lt;=1,"One",I646&lt;=2,"Two",I646&gt;=3,"Third")</f>
        <v>No Dependents</v>
      </c>
      <c r="K646">
        <v>573</v>
      </c>
      <c r="L646" t="str" cm="1">
        <f t="array" ref="L646">_xlfn.IFS(K646&lt;=580,"Poor",K646&lt;=670,"fair",K646&lt;=740,"Good",K646&lt;=800,"Very Good",K646&gt;=800,"Excellent")</f>
        <v>Poor</v>
      </c>
      <c r="M646">
        <v>1</v>
      </c>
      <c r="N646" t="str">
        <f t="shared" si="41"/>
        <v>Yes</v>
      </c>
      <c r="O646">
        <v>0.28000000000000003</v>
      </c>
      <c r="P646" t="str" cm="1">
        <f t="array" ref="P646">_xlfn.IFS(O646&lt;=0.3,"Low Risk",O646&lt;=0.4,"medium Risk",O646&lt;=0.5,"High Risk",O646&gt;0.5,"Very High Risk")</f>
        <v>Low Risk</v>
      </c>
      <c r="Q646">
        <v>9638</v>
      </c>
      <c r="R646">
        <v>910</v>
      </c>
      <c r="S646" t="str">
        <f t="shared" si="42"/>
        <v>Yes</v>
      </c>
      <c r="T646">
        <v>2607</v>
      </c>
      <c r="U646" t="str" cm="1">
        <f t="array" ref="U646">_xlfn.IFS(T646&lt;5000,"Small",T646&lt;20000,"Medium",T646&lt;35000,"Large",T646&gt;35000,"Very Large")</f>
        <v>Small</v>
      </c>
      <c r="V646">
        <v>60</v>
      </c>
      <c r="W646">
        <f t="shared" si="43"/>
        <v>5</v>
      </c>
      <c r="X646" t="s">
        <v>37</v>
      </c>
      <c r="Y646" t="s">
        <v>32</v>
      </c>
      <c r="Z646" t="s">
        <v>39</v>
      </c>
      <c r="AA646" t="s">
        <v>40</v>
      </c>
      <c r="AB646" t="s">
        <v>42</v>
      </c>
      <c r="AC646" t="s">
        <v>36</v>
      </c>
    </row>
    <row r="647" spans="1:29" x14ac:dyDescent="0.25">
      <c r="A647">
        <v>684</v>
      </c>
      <c r="B647">
        <v>15503</v>
      </c>
      <c r="C647">
        <v>9013</v>
      </c>
      <c r="D647">
        <f t="shared" si="40"/>
        <v>24516</v>
      </c>
      <c r="E647" t="s">
        <v>48</v>
      </c>
      <c r="F647">
        <v>32</v>
      </c>
      <c r="G647" t="str" cm="1">
        <f t="array" ref="G647">_xlfn.IFS(F647&lt;25,"18-24",F647&lt;35,"25-35",F647&lt;45,"35-44",F647&lt;55,"44-54",F647&gt;=55,"55+")</f>
        <v>25-35</v>
      </c>
      <c r="H647" t="s">
        <v>30</v>
      </c>
      <c r="I647">
        <v>1</v>
      </c>
      <c r="J647" t="str" cm="1">
        <f t="array" ref="J647">_xlfn.IFS(I647&lt;=0,"No Dependents",I647&lt;=1,"One",I647&lt;=2,"Two",I647&gt;=3,"Third")</f>
        <v>One</v>
      </c>
      <c r="K647">
        <v>779</v>
      </c>
      <c r="L647" t="str" cm="1">
        <f t="array" ref="L647">_xlfn.IFS(K647&lt;=580,"Poor",K647&lt;=670,"fair",K647&lt;=740,"Good",K647&lt;=800,"Very Good",K647&gt;=800,"Excellent")</f>
        <v>Very Good</v>
      </c>
      <c r="M647">
        <v>1</v>
      </c>
      <c r="N647" t="str">
        <f t="shared" si="41"/>
        <v>Yes</v>
      </c>
      <c r="O647">
        <v>0.4</v>
      </c>
      <c r="P647" t="str" cm="1">
        <f t="array" ref="P647">_xlfn.IFS(O647&lt;=0.3,"Low Risk",O647&lt;=0.4,"medium Risk",O647&lt;=0.5,"High Risk",O647&gt;0.5,"Very High Risk")</f>
        <v>medium Risk</v>
      </c>
      <c r="Q647">
        <v>4931</v>
      </c>
      <c r="R647">
        <v>29072</v>
      </c>
      <c r="S647" t="str">
        <f t="shared" si="42"/>
        <v>Yes</v>
      </c>
      <c r="T647">
        <v>0</v>
      </c>
      <c r="U647" t="str" cm="1">
        <f t="array" ref="U647">_xlfn.IFS(T647&lt;5000,"Small",T647&lt;20000,"Medium",T647&lt;35000,"Large",T647&gt;35000,"Very Large")</f>
        <v>Small</v>
      </c>
      <c r="V647">
        <v>72</v>
      </c>
      <c r="W647">
        <f t="shared" si="43"/>
        <v>6</v>
      </c>
      <c r="X647" t="s">
        <v>37</v>
      </c>
      <c r="Y647" t="s">
        <v>45</v>
      </c>
      <c r="Z647" t="s">
        <v>33</v>
      </c>
      <c r="AA647" t="s">
        <v>40</v>
      </c>
      <c r="AB647" t="s">
        <v>51</v>
      </c>
      <c r="AC647" t="s">
        <v>36</v>
      </c>
    </row>
    <row r="648" spans="1:29" x14ac:dyDescent="0.25">
      <c r="A648">
        <v>685</v>
      </c>
      <c r="B648">
        <v>10152</v>
      </c>
      <c r="C648">
        <v>454</v>
      </c>
      <c r="D648">
        <f t="shared" si="40"/>
        <v>10606</v>
      </c>
      <c r="E648" t="s">
        <v>29</v>
      </c>
      <c r="F648">
        <v>33</v>
      </c>
      <c r="G648" t="str" cm="1">
        <f t="array" ref="G648">_xlfn.IFS(F648&lt;25,"18-24",F648&lt;35,"25-35",F648&lt;45,"35-44",F648&lt;55,"44-54",F648&gt;=55,"55+")</f>
        <v>25-35</v>
      </c>
      <c r="H648" t="s">
        <v>30</v>
      </c>
      <c r="I648">
        <v>2</v>
      </c>
      <c r="J648" t="str" cm="1">
        <f t="array" ref="J648">_xlfn.IFS(I648&lt;=0,"No Dependents",I648&lt;=1,"One",I648&lt;=2,"Two",I648&gt;=3,"Third")</f>
        <v>Two</v>
      </c>
      <c r="K648">
        <v>553</v>
      </c>
      <c r="L648" t="str" cm="1">
        <f t="array" ref="L648">_xlfn.IFS(K648&lt;=580,"Poor",K648&lt;=670,"fair",K648&lt;=740,"Good",K648&lt;=800,"Very Good",K648&gt;=800,"Excellent")</f>
        <v>Poor</v>
      </c>
      <c r="M648">
        <v>2</v>
      </c>
      <c r="N648" t="str">
        <f t="shared" si="41"/>
        <v>Yes</v>
      </c>
      <c r="O648">
        <v>0.52</v>
      </c>
      <c r="P648" t="str" cm="1">
        <f t="array" ref="P648">_xlfn.IFS(O648&lt;=0.3,"Low Risk",O648&lt;=0.4,"medium Risk",O648&lt;=0.5,"High Risk",O648&gt;0.5,"Very High Risk")</f>
        <v>Very High Risk</v>
      </c>
      <c r="Q648">
        <v>9855</v>
      </c>
      <c r="R648">
        <v>33717</v>
      </c>
      <c r="S648" t="str">
        <f t="shared" si="42"/>
        <v>Yes</v>
      </c>
      <c r="T648">
        <v>4574</v>
      </c>
      <c r="U648" t="str" cm="1">
        <f t="array" ref="U648">_xlfn.IFS(T648&lt;5000,"Small",T648&lt;20000,"Medium",T648&lt;35000,"Large",T648&gt;35000,"Very Large")</f>
        <v>Small</v>
      </c>
      <c r="V648">
        <v>24</v>
      </c>
      <c r="W648">
        <f t="shared" si="43"/>
        <v>2</v>
      </c>
      <c r="X648" t="s">
        <v>31</v>
      </c>
      <c r="Y648" t="s">
        <v>38</v>
      </c>
      <c r="Z648" t="s">
        <v>33</v>
      </c>
      <c r="AA648" t="s">
        <v>40</v>
      </c>
      <c r="AB648" t="s">
        <v>43</v>
      </c>
      <c r="AC648" t="s">
        <v>36</v>
      </c>
    </row>
    <row r="649" spans="1:29" x14ac:dyDescent="0.25">
      <c r="A649">
        <v>686</v>
      </c>
      <c r="B649">
        <v>7750</v>
      </c>
      <c r="C649">
        <v>9816</v>
      </c>
      <c r="D649">
        <f t="shared" si="40"/>
        <v>17566</v>
      </c>
      <c r="E649" t="s">
        <v>46</v>
      </c>
      <c r="F649">
        <v>31</v>
      </c>
      <c r="G649" t="str" cm="1">
        <f t="array" ref="G649">_xlfn.IFS(F649&lt;25,"18-24",F649&lt;35,"25-35",F649&lt;45,"35-44",F649&lt;55,"44-54",F649&gt;=55,"55+")</f>
        <v>25-35</v>
      </c>
      <c r="H649" t="s">
        <v>41</v>
      </c>
      <c r="I649">
        <v>1</v>
      </c>
      <c r="J649" t="str" cm="1">
        <f t="array" ref="J649">_xlfn.IFS(I649&lt;=0,"No Dependents",I649&lt;=1,"One",I649&lt;=2,"Two",I649&gt;=3,"Third")</f>
        <v>One</v>
      </c>
      <c r="K649">
        <v>701</v>
      </c>
      <c r="L649" t="str" cm="1">
        <f t="array" ref="L649">_xlfn.IFS(K649&lt;=580,"Poor",K649&lt;=670,"fair",K649&lt;=740,"Good",K649&lt;=800,"Very Good",K649&gt;=800,"Excellent")</f>
        <v>Good</v>
      </c>
      <c r="M649">
        <v>0</v>
      </c>
      <c r="N649" t="str">
        <f t="shared" si="41"/>
        <v>No</v>
      </c>
      <c r="O649">
        <v>0.12</v>
      </c>
      <c r="P649" t="str" cm="1">
        <f t="array" ref="P649">_xlfn.IFS(O649&lt;=0.3,"Low Risk",O649&lt;=0.4,"medium Risk",O649&lt;=0.5,"High Risk",O649&gt;0.5,"Very High Risk")</f>
        <v>Low Risk</v>
      </c>
      <c r="Q649">
        <v>5724</v>
      </c>
      <c r="R649">
        <v>21809</v>
      </c>
      <c r="S649" t="str">
        <f t="shared" si="42"/>
        <v>Yes</v>
      </c>
      <c r="T649">
        <v>8274</v>
      </c>
      <c r="U649" t="str" cm="1">
        <f t="array" ref="U649">_xlfn.IFS(T649&lt;5000,"Small",T649&lt;20000,"Medium",T649&lt;35000,"Large",T649&gt;35000,"Very Large")</f>
        <v>Medium</v>
      </c>
      <c r="V649">
        <v>72</v>
      </c>
      <c r="W649">
        <f t="shared" si="43"/>
        <v>6</v>
      </c>
      <c r="X649" t="s">
        <v>31</v>
      </c>
      <c r="Y649" t="s">
        <v>45</v>
      </c>
      <c r="Z649" t="s">
        <v>39</v>
      </c>
      <c r="AA649" t="s">
        <v>40</v>
      </c>
      <c r="AB649" t="s">
        <v>35</v>
      </c>
      <c r="AC649" t="s">
        <v>44</v>
      </c>
    </row>
    <row r="650" spans="1:29" x14ac:dyDescent="0.25">
      <c r="A650">
        <v>687</v>
      </c>
      <c r="B650">
        <v>14772</v>
      </c>
      <c r="C650">
        <v>0</v>
      </c>
      <c r="D650">
        <f t="shared" si="40"/>
        <v>14772</v>
      </c>
      <c r="E650" t="s">
        <v>29</v>
      </c>
      <c r="F650">
        <v>36</v>
      </c>
      <c r="G650" t="str" cm="1">
        <f t="array" ref="G650">_xlfn.IFS(F650&lt;25,"18-24",F650&lt;35,"25-35",F650&lt;45,"35-44",F650&lt;55,"44-54",F650&gt;=55,"55+")</f>
        <v>35-44</v>
      </c>
      <c r="H650" t="s">
        <v>30</v>
      </c>
      <c r="I650">
        <v>1</v>
      </c>
      <c r="J650" t="str" cm="1">
        <f t="array" ref="J650">_xlfn.IFS(I650&lt;=0,"No Dependents",I650&lt;=1,"One",I650&lt;=2,"Two",I650&gt;=3,"Third")</f>
        <v>One</v>
      </c>
      <c r="K650">
        <v>736</v>
      </c>
      <c r="L650" t="str" cm="1">
        <f t="array" ref="L650">_xlfn.IFS(K650&lt;=580,"Poor",K650&lt;=670,"fair",K650&lt;=740,"Good",K650&lt;=800,"Very Good",K650&gt;=800,"Excellent")</f>
        <v>Good</v>
      </c>
      <c r="M650">
        <v>2</v>
      </c>
      <c r="N650" t="str">
        <f t="shared" si="41"/>
        <v>Yes</v>
      </c>
      <c r="O650">
        <v>0.22</v>
      </c>
      <c r="P650" t="str" cm="1">
        <f t="array" ref="P650">_xlfn.IFS(O650&lt;=0.3,"Low Risk",O650&lt;=0.4,"medium Risk",O650&lt;=0.5,"High Risk",O650&gt;0.5,"Very High Risk")</f>
        <v>Low Risk</v>
      </c>
      <c r="Q650">
        <v>12420</v>
      </c>
      <c r="R650">
        <v>26651</v>
      </c>
      <c r="S650" t="str">
        <f t="shared" si="42"/>
        <v>Yes</v>
      </c>
      <c r="T650">
        <v>16748</v>
      </c>
      <c r="U650" t="str" cm="1">
        <f t="array" ref="U650">_xlfn.IFS(T650&lt;5000,"Small",T650&lt;20000,"Medium",T650&lt;35000,"Large",T650&gt;35000,"Very Large")</f>
        <v>Medium</v>
      </c>
      <c r="V650">
        <v>48</v>
      </c>
      <c r="W650">
        <f t="shared" si="43"/>
        <v>4</v>
      </c>
      <c r="X650" t="s">
        <v>50</v>
      </c>
      <c r="Y650" t="s">
        <v>45</v>
      </c>
      <c r="Z650" t="s">
        <v>39</v>
      </c>
      <c r="AA650" t="s">
        <v>34</v>
      </c>
      <c r="AB650" t="s">
        <v>35</v>
      </c>
      <c r="AC650" t="s">
        <v>44</v>
      </c>
    </row>
    <row r="651" spans="1:29" x14ac:dyDescent="0.25">
      <c r="A651">
        <v>688</v>
      </c>
      <c r="B651">
        <v>12267</v>
      </c>
      <c r="C651">
        <v>0</v>
      </c>
      <c r="D651">
        <f t="shared" si="40"/>
        <v>12267</v>
      </c>
      <c r="E651" t="s">
        <v>52</v>
      </c>
      <c r="F651">
        <v>28</v>
      </c>
      <c r="G651" t="str" cm="1">
        <f t="array" ref="G651">_xlfn.IFS(F651&lt;25,"18-24",F651&lt;35,"25-35",F651&lt;45,"35-44",F651&lt;55,"44-54",F651&gt;=55,"55+")</f>
        <v>25-35</v>
      </c>
      <c r="H651" t="s">
        <v>30</v>
      </c>
      <c r="I651">
        <v>3</v>
      </c>
      <c r="J651" t="str" cm="1">
        <f t="array" ref="J651">_xlfn.IFS(I651&lt;=0,"No Dependents",I651&lt;=1,"One",I651&lt;=2,"Two",I651&gt;=3,"Third")</f>
        <v>Third</v>
      </c>
      <c r="K651">
        <v>776</v>
      </c>
      <c r="L651" t="str" cm="1">
        <f t="array" ref="L651">_xlfn.IFS(K651&lt;=580,"Poor",K651&lt;=670,"fair",K651&lt;=740,"Good",K651&lt;=800,"Very Good",K651&gt;=800,"Excellent")</f>
        <v>Very Good</v>
      </c>
      <c r="M651">
        <v>2</v>
      </c>
      <c r="N651" t="str">
        <f t="shared" si="41"/>
        <v>Yes</v>
      </c>
      <c r="O651">
        <v>0.54</v>
      </c>
      <c r="P651" t="str" cm="1">
        <f t="array" ref="P651">_xlfn.IFS(O651&lt;=0.3,"Low Risk",O651&lt;=0.4,"medium Risk",O651&lt;=0.5,"High Risk",O651&gt;0.5,"Very High Risk")</f>
        <v>Very High Risk</v>
      </c>
      <c r="Q651">
        <v>4060</v>
      </c>
      <c r="R651">
        <v>44291</v>
      </c>
      <c r="S651" t="str">
        <f t="shared" si="42"/>
        <v>Yes</v>
      </c>
      <c r="T651">
        <v>21175</v>
      </c>
      <c r="U651" t="str" cm="1">
        <f t="array" ref="U651">_xlfn.IFS(T651&lt;5000,"Small",T651&lt;20000,"Medium",T651&lt;35000,"Large",T651&gt;35000,"Very Large")</f>
        <v>Large</v>
      </c>
      <c r="V651">
        <v>12</v>
      </c>
      <c r="W651">
        <f t="shared" si="43"/>
        <v>1</v>
      </c>
      <c r="X651" t="s">
        <v>50</v>
      </c>
      <c r="Y651" t="s">
        <v>32</v>
      </c>
      <c r="Z651" t="s">
        <v>33</v>
      </c>
      <c r="AA651" t="s">
        <v>40</v>
      </c>
      <c r="AB651" t="s">
        <v>42</v>
      </c>
      <c r="AC651" t="s">
        <v>36</v>
      </c>
    </row>
    <row r="652" spans="1:29" x14ac:dyDescent="0.25">
      <c r="A652">
        <v>689</v>
      </c>
      <c r="B652">
        <v>3062</v>
      </c>
      <c r="C652">
        <v>7232</v>
      </c>
      <c r="D652">
        <f t="shared" si="40"/>
        <v>10294</v>
      </c>
      <c r="E652" t="s">
        <v>49</v>
      </c>
      <c r="F652">
        <v>22</v>
      </c>
      <c r="G652" t="str" cm="1">
        <f t="array" ref="G652">_xlfn.IFS(F652&lt;25,"18-24",F652&lt;35,"25-35",F652&lt;45,"35-44",F652&lt;55,"44-54",F652&gt;=55,"55+")</f>
        <v>18-24</v>
      </c>
      <c r="H652" t="s">
        <v>30</v>
      </c>
      <c r="I652">
        <v>3</v>
      </c>
      <c r="J652" t="str" cm="1">
        <f t="array" ref="J652">_xlfn.IFS(I652&lt;=0,"No Dependents",I652&lt;=1,"One",I652&lt;=2,"Two",I652&gt;=3,"Third")</f>
        <v>Third</v>
      </c>
      <c r="K652">
        <v>552</v>
      </c>
      <c r="L652" t="str" cm="1">
        <f t="array" ref="L652">_xlfn.IFS(K652&lt;=580,"Poor",K652&lt;=670,"fair",K652&lt;=740,"Good",K652&lt;=800,"Very Good",K652&gt;=800,"Excellent")</f>
        <v>Poor</v>
      </c>
      <c r="M652">
        <v>3</v>
      </c>
      <c r="N652" t="str">
        <f t="shared" si="41"/>
        <v>Yes</v>
      </c>
      <c r="O652">
        <v>0.35</v>
      </c>
      <c r="P652" t="str" cm="1">
        <f t="array" ref="P652">_xlfn.IFS(O652&lt;=0.3,"Low Risk",O652&lt;=0.4,"medium Risk",O652&lt;=0.5,"High Risk",O652&gt;0.5,"Very High Risk")</f>
        <v>medium Risk</v>
      </c>
      <c r="Q652">
        <v>4765</v>
      </c>
      <c r="R652">
        <v>43989</v>
      </c>
      <c r="S652" t="str">
        <f t="shared" si="42"/>
        <v>Yes</v>
      </c>
      <c r="T652">
        <v>12826</v>
      </c>
      <c r="U652" t="str" cm="1">
        <f t="array" ref="U652">_xlfn.IFS(T652&lt;5000,"Small",T652&lt;20000,"Medium",T652&lt;35000,"Large",T652&gt;35000,"Very Large")</f>
        <v>Medium</v>
      </c>
      <c r="V652">
        <v>48</v>
      </c>
      <c r="W652">
        <f t="shared" si="43"/>
        <v>4</v>
      </c>
      <c r="X652" t="s">
        <v>31</v>
      </c>
      <c r="Y652" t="s">
        <v>45</v>
      </c>
      <c r="Z652" t="s">
        <v>39</v>
      </c>
      <c r="AA652" t="s">
        <v>40</v>
      </c>
      <c r="AB652" t="s">
        <v>35</v>
      </c>
      <c r="AC652" t="s">
        <v>36</v>
      </c>
    </row>
    <row r="653" spans="1:29" x14ac:dyDescent="0.25">
      <c r="A653">
        <v>690</v>
      </c>
      <c r="B653">
        <v>19680</v>
      </c>
      <c r="C653">
        <v>4806</v>
      </c>
      <c r="D653">
        <f t="shared" si="40"/>
        <v>24486</v>
      </c>
      <c r="E653" t="s">
        <v>29</v>
      </c>
      <c r="F653">
        <v>50</v>
      </c>
      <c r="G653" t="str" cm="1">
        <f t="array" ref="G653">_xlfn.IFS(F653&lt;25,"18-24",F653&lt;35,"25-35",F653&lt;45,"35-44",F653&lt;55,"44-54",F653&gt;=55,"55+")</f>
        <v>44-54</v>
      </c>
      <c r="H653" t="s">
        <v>41</v>
      </c>
      <c r="I653">
        <v>3</v>
      </c>
      <c r="J653" t="str" cm="1">
        <f t="array" ref="J653">_xlfn.IFS(I653&lt;=0,"No Dependents",I653&lt;=1,"One",I653&lt;=2,"Two",I653&gt;=3,"Third")</f>
        <v>Third</v>
      </c>
      <c r="K653">
        <v>617</v>
      </c>
      <c r="L653" t="str" cm="1">
        <f t="array" ref="L653">_xlfn.IFS(K653&lt;=580,"Poor",K653&lt;=670,"fair",K653&lt;=740,"Good",K653&lt;=800,"Very Good",K653&gt;=800,"Excellent")</f>
        <v>fair</v>
      </c>
      <c r="M653">
        <v>3</v>
      </c>
      <c r="N653" t="str">
        <f t="shared" si="41"/>
        <v>Yes</v>
      </c>
      <c r="O653">
        <v>0.35</v>
      </c>
      <c r="P653" t="str" cm="1">
        <f t="array" ref="P653">_xlfn.IFS(O653&lt;=0.3,"Low Risk",O653&lt;=0.4,"medium Risk",O653&lt;=0.5,"High Risk",O653&gt;0.5,"Very High Risk")</f>
        <v>medium Risk</v>
      </c>
      <c r="Q653">
        <v>19996</v>
      </c>
      <c r="R653">
        <v>16484</v>
      </c>
      <c r="S653" t="str">
        <f t="shared" si="42"/>
        <v>Yes</v>
      </c>
      <c r="T653">
        <v>0</v>
      </c>
      <c r="U653" t="str" cm="1">
        <f t="array" ref="U653">_xlfn.IFS(T653&lt;5000,"Small",T653&lt;20000,"Medium",T653&lt;35000,"Large",T653&gt;35000,"Very Large")</f>
        <v>Small</v>
      </c>
      <c r="V653">
        <v>84</v>
      </c>
      <c r="W653">
        <f t="shared" si="43"/>
        <v>7</v>
      </c>
      <c r="X653" t="s">
        <v>42</v>
      </c>
      <c r="Y653" t="s">
        <v>45</v>
      </c>
      <c r="Z653" t="s">
        <v>39</v>
      </c>
      <c r="AA653" t="s">
        <v>40</v>
      </c>
      <c r="AB653" t="s">
        <v>35</v>
      </c>
      <c r="AC653" t="s">
        <v>36</v>
      </c>
    </row>
    <row r="654" spans="1:29" x14ac:dyDescent="0.25">
      <c r="A654">
        <v>691</v>
      </c>
      <c r="B654">
        <v>8229</v>
      </c>
      <c r="C654">
        <v>2190</v>
      </c>
      <c r="D654">
        <f t="shared" si="40"/>
        <v>10419</v>
      </c>
      <c r="E654" t="s">
        <v>49</v>
      </c>
      <c r="F654">
        <v>50</v>
      </c>
      <c r="G654" t="str" cm="1">
        <f t="array" ref="G654">_xlfn.IFS(F654&lt;25,"18-24",F654&lt;35,"25-35",F654&lt;45,"35-44",F654&lt;55,"44-54",F654&gt;=55,"55+")</f>
        <v>44-54</v>
      </c>
      <c r="H654" t="s">
        <v>30</v>
      </c>
      <c r="I654">
        <v>0</v>
      </c>
      <c r="J654" t="str" cm="1">
        <f t="array" ref="J654">_xlfn.IFS(I654&lt;=0,"No Dependents",I654&lt;=1,"One",I654&lt;=2,"Two",I654&gt;=3,"Third")</f>
        <v>No Dependents</v>
      </c>
      <c r="K654">
        <v>798</v>
      </c>
      <c r="L654" t="str" cm="1">
        <f t="array" ref="L654">_xlfn.IFS(K654&lt;=580,"Poor",K654&lt;=670,"fair",K654&lt;=740,"Good",K654&lt;=800,"Very Good",K654&gt;=800,"Excellent")</f>
        <v>Very Good</v>
      </c>
      <c r="M654">
        <v>2</v>
      </c>
      <c r="N654" t="str">
        <f t="shared" si="41"/>
        <v>Yes</v>
      </c>
      <c r="O654">
        <v>0.57999999999999996</v>
      </c>
      <c r="P654" t="str" cm="1">
        <f t="array" ref="P654">_xlfn.IFS(O654&lt;=0.3,"Low Risk",O654&lt;=0.4,"medium Risk",O654&lt;=0.5,"High Risk",O654&gt;0.5,"Very High Risk")</f>
        <v>Very High Risk</v>
      </c>
      <c r="Q654">
        <v>6553</v>
      </c>
      <c r="R654">
        <v>4646</v>
      </c>
      <c r="S654" t="str">
        <f t="shared" si="42"/>
        <v>Yes</v>
      </c>
      <c r="T654">
        <v>35129</v>
      </c>
      <c r="U654" t="str" cm="1">
        <f t="array" ref="U654">_xlfn.IFS(T654&lt;5000,"Small",T654&lt;20000,"Medium",T654&lt;35000,"Large",T654&gt;35000,"Very Large")</f>
        <v>Very Large</v>
      </c>
      <c r="V654">
        <v>24</v>
      </c>
      <c r="W654">
        <f t="shared" si="43"/>
        <v>2</v>
      </c>
      <c r="X654" t="s">
        <v>50</v>
      </c>
      <c r="Y654" t="s">
        <v>38</v>
      </c>
      <c r="Z654" t="s">
        <v>33</v>
      </c>
      <c r="AA654" t="s">
        <v>40</v>
      </c>
      <c r="AB654" t="s">
        <v>42</v>
      </c>
      <c r="AC654" t="s">
        <v>36</v>
      </c>
    </row>
    <row r="655" spans="1:29" x14ac:dyDescent="0.25">
      <c r="A655">
        <v>692</v>
      </c>
      <c r="B655">
        <v>18509</v>
      </c>
      <c r="C655">
        <v>9108</v>
      </c>
      <c r="D655">
        <f t="shared" si="40"/>
        <v>27617</v>
      </c>
      <c r="E655" t="s">
        <v>49</v>
      </c>
      <c r="F655">
        <v>32</v>
      </c>
      <c r="G655" t="str" cm="1">
        <f t="array" ref="G655">_xlfn.IFS(F655&lt;25,"18-24",F655&lt;35,"25-35",F655&lt;45,"35-44",F655&lt;55,"44-54",F655&gt;=55,"55+")</f>
        <v>25-35</v>
      </c>
      <c r="H655" t="s">
        <v>30</v>
      </c>
      <c r="I655">
        <v>0</v>
      </c>
      <c r="J655" t="str" cm="1">
        <f t="array" ref="J655">_xlfn.IFS(I655&lt;=0,"No Dependents",I655&lt;=1,"One",I655&lt;=2,"Two",I655&gt;=3,"Third")</f>
        <v>No Dependents</v>
      </c>
      <c r="K655">
        <v>650</v>
      </c>
      <c r="L655" t="str" cm="1">
        <f t="array" ref="L655">_xlfn.IFS(K655&lt;=580,"Poor",K655&lt;=670,"fair",K655&lt;=740,"Good",K655&lt;=800,"Very Good",K655&gt;=800,"Excellent")</f>
        <v>fair</v>
      </c>
      <c r="M655">
        <v>4</v>
      </c>
      <c r="N655" t="str">
        <f t="shared" si="41"/>
        <v>Yes</v>
      </c>
      <c r="O655">
        <v>0.41</v>
      </c>
      <c r="P655" t="str" cm="1">
        <f t="array" ref="P655">_xlfn.IFS(O655&lt;=0.3,"Low Risk",O655&lt;=0.4,"medium Risk",O655&lt;=0.5,"High Risk",O655&gt;0.5,"Very High Risk")</f>
        <v>High Risk</v>
      </c>
      <c r="Q655">
        <v>7378</v>
      </c>
      <c r="R655">
        <v>39713</v>
      </c>
      <c r="S655" t="str">
        <f t="shared" si="42"/>
        <v>Yes</v>
      </c>
      <c r="T655">
        <v>5473</v>
      </c>
      <c r="U655" t="str" cm="1">
        <f t="array" ref="U655">_xlfn.IFS(T655&lt;5000,"Small",T655&lt;20000,"Medium",T655&lt;35000,"Large",T655&gt;35000,"Very Large")</f>
        <v>Medium</v>
      </c>
      <c r="V655">
        <v>12</v>
      </c>
      <c r="W655">
        <f t="shared" si="43"/>
        <v>1</v>
      </c>
      <c r="X655" t="s">
        <v>42</v>
      </c>
      <c r="Y655" t="s">
        <v>32</v>
      </c>
      <c r="Z655" t="s">
        <v>39</v>
      </c>
      <c r="AA655" t="s">
        <v>34</v>
      </c>
      <c r="AB655" t="s">
        <v>35</v>
      </c>
      <c r="AC655" t="s">
        <v>36</v>
      </c>
    </row>
    <row r="656" spans="1:29" x14ac:dyDescent="0.25">
      <c r="A656">
        <v>693</v>
      </c>
      <c r="B656">
        <v>17147</v>
      </c>
      <c r="C656">
        <v>2875</v>
      </c>
      <c r="D656">
        <f t="shared" si="40"/>
        <v>20022</v>
      </c>
      <c r="E656" t="s">
        <v>29</v>
      </c>
      <c r="F656">
        <v>30</v>
      </c>
      <c r="G656" t="str" cm="1">
        <f t="array" ref="G656">_xlfn.IFS(F656&lt;25,"18-24",F656&lt;35,"25-35",F656&lt;45,"35-44",F656&lt;55,"44-54",F656&gt;=55,"55+")</f>
        <v>25-35</v>
      </c>
      <c r="H656" t="s">
        <v>30</v>
      </c>
      <c r="I656">
        <v>1</v>
      </c>
      <c r="J656" t="str" cm="1">
        <f t="array" ref="J656">_xlfn.IFS(I656&lt;=0,"No Dependents",I656&lt;=1,"One",I656&lt;=2,"Two",I656&gt;=3,"Third")</f>
        <v>One</v>
      </c>
      <c r="K656">
        <v>717</v>
      </c>
      <c r="L656" t="str" cm="1">
        <f t="array" ref="L656">_xlfn.IFS(K656&lt;=580,"Poor",K656&lt;=670,"fair",K656&lt;=740,"Good",K656&lt;=800,"Very Good",K656&gt;=800,"Excellent")</f>
        <v>Good</v>
      </c>
      <c r="M656">
        <v>3</v>
      </c>
      <c r="N656" t="str">
        <f t="shared" si="41"/>
        <v>Yes</v>
      </c>
      <c r="O656">
        <v>0.23</v>
      </c>
      <c r="P656" t="str" cm="1">
        <f t="array" ref="P656">_xlfn.IFS(O656&lt;=0.3,"Low Risk",O656&lt;=0.4,"medium Risk",O656&lt;=0.5,"High Risk",O656&gt;0.5,"Very High Risk")</f>
        <v>Low Risk</v>
      </c>
      <c r="Q656">
        <v>18073</v>
      </c>
      <c r="R656">
        <v>2400</v>
      </c>
      <c r="S656" t="str">
        <f t="shared" si="42"/>
        <v>Yes</v>
      </c>
      <c r="T656">
        <v>24490</v>
      </c>
      <c r="U656" t="str" cm="1">
        <f t="array" ref="U656">_xlfn.IFS(T656&lt;5000,"Small",T656&lt;20000,"Medium",T656&lt;35000,"Large",T656&gt;35000,"Very Large")</f>
        <v>Large</v>
      </c>
      <c r="V656">
        <v>84</v>
      </c>
      <c r="W656">
        <f t="shared" si="43"/>
        <v>7</v>
      </c>
      <c r="X656" t="s">
        <v>31</v>
      </c>
      <c r="Y656" t="s">
        <v>45</v>
      </c>
      <c r="Z656" t="s">
        <v>39</v>
      </c>
      <c r="AA656" t="s">
        <v>40</v>
      </c>
      <c r="AB656" t="s">
        <v>35</v>
      </c>
      <c r="AC656" t="s">
        <v>44</v>
      </c>
    </row>
    <row r="657" spans="1:29" x14ac:dyDescent="0.25">
      <c r="A657">
        <v>694</v>
      </c>
      <c r="B657">
        <v>6632</v>
      </c>
      <c r="C657">
        <v>5592</v>
      </c>
      <c r="D657">
        <f t="shared" si="40"/>
        <v>12224</v>
      </c>
      <c r="E657" t="s">
        <v>46</v>
      </c>
      <c r="F657">
        <v>31</v>
      </c>
      <c r="G657" t="str" cm="1">
        <f t="array" ref="G657">_xlfn.IFS(F657&lt;25,"18-24",F657&lt;35,"25-35",F657&lt;45,"35-44",F657&lt;55,"44-54",F657&gt;=55,"55+")</f>
        <v>25-35</v>
      </c>
      <c r="H657" t="s">
        <v>30</v>
      </c>
      <c r="I657">
        <v>0</v>
      </c>
      <c r="J657" t="str" cm="1">
        <f t="array" ref="J657">_xlfn.IFS(I657&lt;=0,"No Dependents",I657&lt;=1,"One",I657&lt;=2,"Two",I657&gt;=3,"Third")</f>
        <v>No Dependents</v>
      </c>
      <c r="K657">
        <v>725</v>
      </c>
      <c r="L657" t="str" cm="1">
        <f t="array" ref="L657">_xlfn.IFS(K657&lt;=580,"Poor",K657&lt;=670,"fair",K657&lt;=740,"Good",K657&lt;=800,"Very Good",K657&gt;=800,"Excellent")</f>
        <v>Good</v>
      </c>
      <c r="M657">
        <v>2</v>
      </c>
      <c r="N657" t="str">
        <f t="shared" si="41"/>
        <v>Yes</v>
      </c>
      <c r="O657">
        <v>0.13</v>
      </c>
      <c r="P657" t="str" cm="1">
        <f t="array" ref="P657">_xlfn.IFS(O657&lt;=0.3,"Low Risk",O657&lt;=0.4,"medium Risk",O657&lt;=0.5,"High Risk",O657&gt;0.5,"Very High Risk")</f>
        <v>Low Risk</v>
      </c>
      <c r="Q657">
        <v>17700</v>
      </c>
      <c r="R657">
        <v>44331</v>
      </c>
      <c r="S657" t="str">
        <f t="shared" si="42"/>
        <v>Yes</v>
      </c>
      <c r="T657">
        <v>10481</v>
      </c>
      <c r="U657" t="str" cm="1">
        <f t="array" ref="U657">_xlfn.IFS(T657&lt;5000,"Small",T657&lt;20000,"Medium",T657&lt;35000,"Large",T657&gt;35000,"Very Large")</f>
        <v>Medium</v>
      </c>
      <c r="V657">
        <v>48</v>
      </c>
      <c r="W657">
        <f t="shared" si="43"/>
        <v>4</v>
      </c>
      <c r="X657" t="s">
        <v>50</v>
      </c>
      <c r="Y657" t="s">
        <v>32</v>
      </c>
      <c r="Z657" t="s">
        <v>39</v>
      </c>
      <c r="AA657" t="s">
        <v>40</v>
      </c>
      <c r="AB657" t="s">
        <v>35</v>
      </c>
      <c r="AC657" t="s">
        <v>44</v>
      </c>
    </row>
    <row r="658" spans="1:29" x14ac:dyDescent="0.25">
      <c r="A658">
        <v>695</v>
      </c>
      <c r="B658">
        <v>8288</v>
      </c>
      <c r="C658">
        <v>1440</v>
      </c>
      <c r="D658">
        <f t="shared" si="40"/>
        <v>9728</v>
      </c>
      <c r="E658" t="s">
        <v>46</v>
      </c>
      <c r="F658">
        <v>35</v>
      </c>
      <c r="G658" t="str" cm="1">
        <f t="array" ref="G658">_xlfn.IFS(F658&lt;25,"18-24",F658&lt;35,"25-35",F658&lt;45,"35-44",F658&lt;55,"44-54",F658&gt;=55,"55+")</f>
        <v>35-44</v>
      </c>
      <c r="H658" t="s">
        <v>30</v>
      </c>
      <c r="I658">
        <v>0</v>
      </c>
      <c r="J658" t="str" cm="1">
        <f t="array" ref="J658">_xlfn.IFS(I658&lt;=0,"No Dependents",I658&lt;=1,"One",I658&lt;=2,"Two",I658&gt;=3,"Third")</f>
        <v>No Dependents</v>
      </c>
      <c r="K658">
        <v>603</v>
      </c>
      <c r="L658" t="str" cm="1">
        <f t="array" ref="L658">_xlfn.IFS(K658&lt;=580,"Poor",K658&lt;=670,"fair",K658&lt;=740,"Good",K658&lt;=800,"Very Good",K658&gt;=800,"Excellent")</f>
        <v>fair</v>
      </c>
      <c r="M658">
        <v>0</v>
      </c>
      <c r="N658" t="str">
        <f t="shared" si="41"/>
        <v>No</v>
      </c>
      <c r="O658">
        <v>0.11</v>
      </c>
      <c r="P658" t="str" cm="1">
        <f t="array" ref="P658">_xlfn.IFS(O658&lt;=0.3,"Low Risk",O658&lt;=0.4,"medium Risk",O658&lt;=0.5,"High Risk",O658&gt;0.5,"Very High Risk")</f>
        <v>Low Risk</v>
      </c>
      <c r="Q658">
        <v>7130</v>
      </c>
      <c r="R658">
        <v>22185</v>
      </c>
      <c r="S658" t="str">
        <f t="shared" si="42"/>
        <v>Yes</v>
      </c>
      <c r="T658">
        <v>9520</v>
      </c>
      <c r="U658" t="str" cm="1">
        <f t="array" ref="U658">_xlfn.IFS(T658&lt;5000,"Small",T658&lt;20000,"Medium",T658&lt;35000,"Large",T658&gt;35000,"Very Large")</f>
        <v>Medium</v>
      </c>
      <c r="V658">
        <v>12</v>
      </c>
      <c r="W658">
        <f t="shared" si="43"/>
        <v>1</v>
      </c>
      <c r="X658" t="s">
        <v>37</v>
      </c>
      <c r="Y658" t="s">
        <v>45</v>
      </c>
      <c r="Z658" t="s">
        <v>39</v>
      </c>
      <c r="AA658" t="s">
        <v>34</v>
      </c>
      <c r="AB658" t="s">
        <v>48</v>
      </c>
      <c r="AC658" t="s">
        <v>36</v>
      </c>
    </row>
    <row r="659" spans="1:29" x14ac:dyDescent="0.25">
      <c r="A659">
        <v>696</v>
      </c>
      <c r="B659">
        <v>0</v>
      </c>
      <c r="C659">
        <v>8927</v>
      </c>
      <c r="D659">
        <f t="shared" si="40"/>
        <v>8927</v>
      </c>
      <c r="E659" t="s">
        <v>29</v>
      </c>
      <c r="F659">
        <v>36</v>
      </c>
      <c r="G659" t="str" cm="1">
        <f t="array" ref="G659">_xlfn.IFS(F659&lt;25,"18-24",F659&lt;35,"25-35",F659&lt;45,"35-44",F659&lt;55,"44-54",F659&gt;=55,"55+")</f>
        <v>35-44</v>
      </c>
      <c r="H659" t="s">
        <v>30</v>
      </c>
      <c r="I659">
        <v>0</v>
      </c>
      <c r="J659" t="str" cm="1">
        <f t="array" ref="J659">_xlfn.IFS(I659&lt;=0,"No Dependents",I659&lt;=1,"One",I659&lt;=2,"Two",I659&gt;=3,"Third")</f>
        <v>No Dependents</v>
      </c>
      <c r="K659">
        <v>584</v>
      </c>
      <c r="L659" t="str" cm="1">
        <f t="array" ref="L659">_xlfn.IFS(K659&lt;=580,"Poor",K659&lt;=670,"fair",K659&lt;=740,"Good",K659&lt;=800,"Very Good",K659&gt;=800,"Excellent")</f>
        <v>fair</v>
      </c>
      <c r="M659">
        <v>4</v>
      </c>
      <c r="N659" t="str">
        <f t="shared" si="41"/>
        <v>Yes</v>
      </c>
      <c r="O659">
        <v>0.22</v>
      </c>
      <c r="P659" t="str" cm="1">
        <f t="array" ref="P659">_xlfn.IFS(O659&lt;=0.3,"Low Risk",O659&lt;=0.4,"medium Risk",O659&lt;=0.5,"High Risk",O659&gt;0.5,"Very High Risk")</f>
        <v>Low Risk</v>
      </c>
      <c r="Q659">
        <v>3186</v>
      </c>
      <c r="R659">
        <v>0</v>
      </c>
      <c r="S659" t="str">
        <f t="shared" si="42"/>
        <v>No</v>
      </c>
      <c r="T659">
        <v>0</v>
      </c>
      <c r="U659" t="str" cm="1">
        <f t="array" ref="U659">_xlfn.IFS(T659&lt;5000,"Small",T659&lt;20000,"Medium",T659&lt;35000,"Large",T659&gt;35000,"Very Large")</f>
        <v>Small</v>
      </c>
      <c r="V659">
        <v>48</v>
      </c>
      <c r="W659">
        <f t="shared" si="43"/>
        <v>4</v>
      </c>
      <c r="X659" t="s">
        <v>31</v>
      </c>
      <c r="Y659" t="s">
        <v>38</v>
      </c>
      <c r="Z659" t="s">
        <v>33</v>
      </c>
      <c r="AA659" t="s">
        <v>40</v>
      </c>
      <c r="AB659" t="s">
        <v>35</v>
      </c>
      <c r="AC659" t="s">
        <v>36</v>
      </c>
    </row>
    <row r="660" spans="1:29" x14ac:dyDescent="0.25">
      <c r="A660">
        <v>697</v>
      </c>
      <c r="B660">
        <v>13475</v>
      </c>
      <c r="C660">
        <v>6059</v>
      </c>
      <c r="D660">
        <f t="shared" si="40"/>
        <v>19534</v>
      </c>
      <c r="E660" t="s">
        <v>49</v>
      </c>
      <c r="F660">
        <v>37</v>
      </c>
      <c r="G660" t="str" cm="1">
        <f t="array" ref="G660">_xlfn.IFS(F660&lt;25,"18-24",F660&lt;35,"25-35",F660&lt;45,"35-44",F660&lt;55,"44-54",F660&gt;=55,"55+")</f>
        <v>35-44</v>
      </c>
      <c r="H660" t="s">
        <v>30</v>
      </c>
      <c r="I660">
        <v>1</v>
      </c>
      <c r="J660" t="str" cm="1">
        <f t="array" ref="J660">_xlfn.IFS(I660&lt;=0,"No Dependents",I660&lt;=1,"One",I660&lt;=2,"Two",I660&gt;=3,"Third")</f>
        <v>One</v>
      </c>
      <c r="K660">
        <v>772</v>
      </c>
      <c r="L660" t="str" cm="1">
        <f t="array" ref="L660">_xlfn.IFS(K660&lt;=580,"Poor",K660&lt;=670,"fair",K660&lt;=740,"Good",K660&lt;=800,"Very Good",K660&gt;=800,"Excellent")</f>
        <v>Very Good</v>
      </c>
      <c r="M660">
        <v>1</v>
      </c>
      <c r="N660" t="str">
        <f t="shared" si="41"/>
        <v>Yes</v>
      </c>
      <c r="O660">
        <v>0.54</v>
      </c>
      <c r="P660" t="str" cm="1">
        <f t="array" ref="P660">_xlfn.IFS(O660&lt;=0.3,"Low Risk",O660&lt;=0.4,"medium Risk",O660&lt;=0.5,"High Risk",O660&gt;0.5,"Very High Risk")</f>
        <v>Very High Risk</v>
      </c>
      <c r="Q660">
        <v>5789</v>
      </c>
      <c r="R660">
        <v>33120</v>
      </c>
      <c r="S660" t="str">
        <f t="shared" si="42"/>
        <v>Yes</v>
      </c>
      <c r="T660">
        <v>18570</v>
      </c>
      <c r="U660" t="str" cm="1">
        <f t="array" ref="U660">_xlfn.IFS(T660&lt;5000,"Small",T660&lt;20000,"Medium",T660&lt;35000,"Large",T660&gt;35000,"Very Large")</f>
        <v>Medium</v>
      </c>
      <c r="V660">
        <v>48</v>
      </c>
      <c r="W660">
        <f t="shared" si="43"/>
        <v>4</v>
      </c>
      <c r="X660" t="s">
        <v>50</v>
      </c>
      <c r="Y660" t="s">
        <v>32</v>
      </c>
      <c r="Z660" t="s">
        <v>39</v>
      </c>
      <c r="AA660" t="s">
        <v>34</v>
      </c>
      <c r="AB660" t="s">
        <v>48</v>
      </c>
      <c r="AC660" t="s">
        <v>36</v>
      </c>
    </row>
    <row r="661" spans="1:29" x14ac:dyDescent="0.25">
      <c r="A661">
        <v>698</v>
      </c>
      <c r="B661">
        <v>8168</v>
      </c>
      <c r="C661">
        <v>7010</v>
      </c>
      <c r="D661">
        <f t="shared" si="40"/>
        <v>15178</v>
      </c>
      <c r="E661" t="s">
        <v>52</v>
      </c>
      <c r="F661">
        <v>46</v>
      </c>
      <c r="G661" t="str" cm="1">
        <f t="array" ref="G661">_xlfn.IFS(F661&lt;25,"18-24",F661&lt;35,"25-35",F661&lt;45,"35-44",F661&lt;55,"44-54",F661&gt;=55,"55+")</f>
        <v>44-54</v>
      </c>
      <c r="H661" t="s">
        <v>30</v>
      </c>
      <c r="I661">
        <v>1</v>
      </c>
      <c r="J661" t="str" cm="1">
        <f t="array" ref="J661">_xlfn.IFS(I661&lt;=0,"No Dependents",I661&lt;=1,"One",I661&lt;=2,"Two",I661&gt;=3,"Third")</f>
        <v>One</v>
      </c>
      <c r="K661">
        <v>550</v>
      </c>
      <c r="L661" t="str" cm="1">
        <f t="array" ref="L661">_xlfn.IFS(K661&lt;=580,"Poor",K661&lt;=670,"fair",K661&lt;=740,"Good",K661&lt;=800,"Very Good",K661&gt;=800,"Excellent")</f>
        <v>Poor</v>
      </c>
      <c r="M661">
        <v>2</v>
      </c>
      <c r="N661" t="str">
        <f t="shared" si="41"/>
        <v>Yes</v>
      </c>
      <c r="O661">
        <v>0.31</v>
      </c>
      <c r="P661" t="str" cm="1">
        <f t="array" ref="P661">_xlfn.IFS(O661&lt;=0.3,"Low Risk",O661&lt;=0.4,"medium Risk",O661&lt;=0.5,"High Risk",O661&gt;0.5,"Very High Risk")</f>
        <v>medium Risk</v>
      </c>
      <c r="Q661">
        <v>16122</v>
      </c>
      <c r="R661">
        <v>48257</v>
      </c>
      <c r="S661" t="str">
        <f t="shared" si="42"/>
        <v>Yes</v>
      </c>
      <c r="T661">
        <v>20798</v>
      </c>
      <c r="U661" t="str" cm="1">
        <f t="array" ref="U661">_xlfn.IFS(T661&lt;5000,"Small",T661&lt;20000,"Medium",T661&lt;35000,"Large",T661&gt;35000,"Very Large")</f>
        <v>Large</v>
      </c>
      <c r="V661">
        <v>48</v>
      </c>
      <c r="W661">
        <f t="shared" si="43"/>
        <v>4</v>
      </c>
      <c r="X661" t="s">
        <v>42</v>
      </c>
      <c r="Y661" t="s">
        <v>32</v>
      </c>
      <c r="Z661" t="s">
        <v>33</v>
      </c>
      <c r="AA661" t="s">
        <v>40</v>
      </c>
      <c r="AB661" t="s">
        <v>35</v>
      </c>
      <c r="AC661" t="s">
        <v>36</v>
      </c>
    </row>
    <row r="662" spans="1:29" x14ac:dyDescent="0.25">
      <c r="A662">
        <v>699</v>
      </c>
      <c r="B662">
        <v>11795</v>
      </c>
      <c r="C662">
        <v>7117</v>
      </c>
      <c r="D662">
        <f t="shared" si="40"/>
        <v>18912</v>
      </c>
      <c r="E662" t="s">
        <v>29</v>
      </c>
      <c r="F662">
        <v>22</v>
      </c>
      <c r="G662" t="str" cm="1">
        <f t="array" ref="G662">_xlfn.IFS(F662&lt;25,"18-24",F662&lt;35,"25-35",F662&lt;45,"35-44",F662&lt;55,"44-54",F662&gt;=55,"55+")</f>
        <v>18-24</v>
      </c>
      <c r="H662" t="s">
        <v>41</v>
      </c>
      <c r="I662">
        <v>3</v>
      </c>
      <c r="J662" t="str" cm="1">
        <f t="array" ref="J662">_xlfn.IFS(I662&lt;=0,"No Dependents",I662&lt;=1,"One",I662&lt;=2,"Two",I662&gt;=3,"Third")</f>
        <v>Third</v>
      </c>
      <c r="K662">
        <v>657</v>
      </c>
      <c r="L662" t="str" cm="1">
        <f t="array" ref="L662">_xlfn.IFS(K662&lt;=580,"Poor",K662&lt;=670,"fair",K662&lt;=740,"Good",K662&lt;=800,"Very Good",K662&gt;=800,"Excellent")</f>
        <v>fair</v>
      </c>
      <c r="M662">
        <v>2</v>
      </c>
      <c r="N662" t="str">
        <f t="shared" si="41"/>
        <v>Yes</v>
      </c>
      <c r="O662">
        <v>0.46</v>
      </c>
      <c r="P662" t="str" cm="1">
        <f t="array" ref="P662">_xlfn.IFS(O662&lt;=0.3,"Low Risk",O662&lt;=0.4,"medium Risk",O662&lt;=0.5,"High Risk",O662&gt;0.5,"Very High Risk")</f>
        <v>High Risk</v>
      </c>
      <c r="Q662">
        <v>17529</v>
      </c>
      <c r="R662">
        <v>1018</v>
      </c>
      <c r="S662" t="str">
        <f t="shared" si="42"/>
        <v>Yes</v>
      </c>
      <c r="T662">
        <v>4536</v>
      </c>
      <c r="U662" t="str" cm="1">
        <f t="array" ref="U662">_xlfn.IFS(T662&lt;5000,"Small",T662&lt;20000,"Medium",T662&lt;35000,"Large",T662&gt;35000,"Very Large")</f>
        <v>Small</v>
      </c>
      <c r="V662">
        <v>12</v>
      </c>
      <c r="W662">
        <f t="shared" si="43"/>
        <v>1</v>
      </c>
      <c r="X662" t="s">
        <v>42</v>
      </c>
      <c r="Y662" t="s">
        <v>45</v>
      </c>
      <c r="Z662" t="s">
        <v>39</v>
      </c>
      <c r="AA662" t="s">
        <v>40</v>
      </c>
      <c r="AB662" t="s">
        <v>51</v>
      </c>
      <c r="AC662" t="s">
        <v>36</v>
      </c>
    </row>
    <row r="663" spans="1:29" x14ac:dyDescent="0.25">
      <c r="A663">
        <v>700</v>
      </c>
      <c r="B663">
        <v>9561</v>
      </c>
      <c r="C663">
        <v>9153</v>
      </c>
      <c r="D663">
        <f t="shared" si="40"/>
        <v>18714</v>
      </c>
      <c r="E663" t="s">
        <v>46</v>
      </c>
      <c r="F663">
        <v>40</v>
      </c>
      <c r="G663" t="str" cm="1">
        <f t="array" ref="G663">_xlfn.IFS(F663&lt;25,"18-24",F663&lt;35,"25-35",F663&lt;45,"35-44",F663&lt;55,"44-54",F663&gt;=55,"55+")</f>
        <v>35-44</v>
      </c>
      <c r="H663" t="s">
        <v>30</v>
      </c>
      <c r="I663">
        <v>3</v>
      </c>
      <c r="J663" t="str" cm="1">
        <f t="array" ref="J663">_xlfn.IFS(I663&lt;=0,"No Dependents",I663&lt;=1,"One",I663&lt;=2,"Two",I663&gt;=3,"Third")</f>
        <v>Third</v>
      </c>
      <c r="K663">
        <v>766</v>
      </c>
      <c r="L663" t="str" cm="1">
        <f t="array" ref="L663">_xlfn.IFS(K663&lt;=580,"Poor",K663&lt;=670,"fair",K663&lt;=740,"Good",K663&lt;=800,"Very Good",K663&gt;=800,"Excellent")</f>
        <v>Very Good</v>
      </c>
      <c r="M663">
        <v>4</v>
      </c>
      <c r="N663" t="str">
        <f t="shared" si="41"/>
        <v>Yes</v>
      </c>
      <c r="O663">
        <v>0.56000000000000005</v>
      </c>
      <c r="P663" t="str" cm="1">
        <f t="array" ref="P663">_xlfn.IFS(O663&lt;=0.3,"Low Risk",O663&lt;=0.4,"medium Risk",O663&lt;=0.5,"High Risk",O663&gt;0.5,"Very High Risk")</f>
        <v>Very High Risk</v>
      </c>
      <c r="Q663">
        <v>7942</v>
      </c>
      <c r="R663">
        <v>17563</v>
      </c>
      <c r="S663" t="str">
        <f t="shared" si="42"/>
        <v>Yes</v>
      </c>
      <c r="T663">
        <v>2773</v>
      </c>
      <c r="U663" t="str" cm="1">
        <f t="array" ref="U663">_xlfn.IFS(T663&lt;5000,"Small",T663&lt;20000,"Medium",T663&lt;35000,"Large",T663&gt;35000,"Very Large")</f>
        <v>Small</v>
      </c>
      <c r="V663">
        <v>72</v>
      </c>
      <c r="W663">
        <f t="shared" si="43"/>
        <v>6</v>
      </c>
      <c r="X663" t="s">
        <v>50</v>
      </c>
      <c r="Y663" t="s">
        <v>45</v>
      </c>
      <c r="Z663" t="s">
        <v>39</v>
      </c>
      <c r="AA663" t="s">
        <v>34</v>
      </c>
      <c r="AB663" t="s">
        <v>35</v>
      </c>
      <c r="AC663" t="s">
        <v>36</v>
      </c>
    </row>
    <row r="664" spans="1:29" x14ac:dyDescent="0.25">
      <c r="A664">
        <v>701</v>
      </c>
      <c r="B664">
        <v>10258</v>
      </c>
      <c r="C664">
        <v>2989</v>
      </c>
      <c r="D664">
        <f t="shared" si="40"/>
        <v>13247</v>
      </c>
      <c r="E664" t="s">
        <v>48</v>
      </c>
      <c r="F664">
        <v>46</v>
      </c>
      <c r="G664" t="str" cm="1">
        <f t="array" ref="G664">_xlfn.IFS(F664&lt;25,"18-24",F664&lt;35,"25-35",F664&lt;45,"35-44",F664&lt;55,"44-54",F664&gt;=55,"55+")</f>
        <v>44-54</v>
      </c>
      <c r="H664" t="s">
        <v>41</v>
      </c>
      <c r="I664">
        <v>1</v>
      </c>
      <c r="J664" t="str" cm="1">
        <f t="array" ref="J664">_xlfn.IFS(I664&lt;=0,"No Dependents",I664&lt;=1,"One",I664&lt;=2,"Two",I664&gt;=3,"Third")</f>
        <v>One</v>
      </c>
      <c r="K664">
        <v>589</v>
      </c>
      <c r="L664" t="str" cm="1">
        <f t="array" ref="L664">_xlfn.IFS(K664&lt;=580,"Poor",K664&lt;=670,"fair",K664&lt;=740,"Good",K664&lt;=800,"Very Good",K664&gt;=800,"Excellent")</f>
        <v>fair</v>
      </c>
      <c r="M664">
        <v>3</v>
      </c>
      <c r="N664" t="str">
        <f t="shared" si="41"/>
        <v>Yes</v>
      </c>
      <c r="O664">
        <v>0.3</v>
      </c>
      <c r="P664" t="str" cm="1">
        <f t="array" ref="P664">_xlfn.IFS(O664&lt;=0.3,"Low Risk",O664&lt;=0.4,"medium Risk",O664&lt;=0.5,"High Risk",O664&gt;0.5,"Very High Risk")</f>
        <v>Low Risk</v>
      </c>
      <c r="Q664">
        <v>0</v>
      </c>
      <c r="R664">
        <v>5193</v>
      </c>
      <c r="S664" t="str">
        <f t="shared" si="42"/>
        <v>Yes</v>
      </c>
      <c r="T664">
        <v>30894</v>
      </c>
      <c r="U664" t="str" cm="1">
        <f t="array" ref="U664">_xlfn.IFS(T664&lt;5000,"Small",T664&lt;20000,"Medium",T664&lt;35000,"Large",T664&gt;35000,"Very Large")</f>
        <v>Large</v>
      </c>
      <c r="V664">
        <v>48</v>
      </c>
      <c r="W664">
        <f t="shared" si="43"/>
        <v>4</v>
      </c>
      <c r="X664" t="s">
        <v>42</v>
      </c>
      <c r="Y664" t="s">
        <v>32</v>
      </c>
      <c r="Z664" t="s">
        <v>39</v>
      </c>
      <c r="AA664" t="s">
        <v>34</v>
      </c>
      <c r="AB664" t="s">
        <v>43</v>
      </c>
      <c r="AC664" t="s">
        <v>36</v>
      </c>
    </row>
    <row r="665" spans="1:29" x14ac:dyDescent="0.25">
      <c r="A665">
        <v>702</v>
      </c>
      <c r="B665">
        <v>18616</v>
      </c>
      <c r="C665">
        <v>9218</v>
      </c>
      <c r="D665">
        <f t="shared" si="40"/>
        <v>27834</v>
      </c>
      <c r="E665" t="s">
        <v>52</v>
      </c>
      <c r="F665">
        <v>43</v>
      </c>
      <c r="G665" t="str" cm="1">
        <f t="array" ref="G665">_xlfn.IFS(F665&lt;25,"18-24",F665&lt;35,"25-35",F665&lt;45,"35-44",F665&lt;55,"44-54",F665&gt;=55,"55+")</f>
        <v>35-44</v>
      </c>
      <c r="H665" t="s">
        <v>30</v>
      </c>
      <c r="I665">
        <v>3</v>
      </c>
      <c r="J665" t="str" cm="1">
        <f t="array" ref="J665">_xlfn.IFS(I665&lt;=0,"No Dependents",I665&lt;=1,"One",I665&lt;=2,"Two",I665&gt;=3,"Third")</f>
        <v>Third</v>
      </c>
      <c r="K665">
        <v>754</v>
      </c>
      <c r="L665" t="str" cm="1">
        <f t="array" ref="L665">_xlfn.IFS(K665&lt;=580,"Poor",K665&lt;=670,"fair",K665&lt;=740,"Good",K665&lt;=800,"Very Good",K665&gt;=800,"Excellent")</f>
        <v>Very Good</v>
      </c>
      <c r="M665">
        <v>3</v>
      </c>
      <c r="N665" t="str">
        <f t="shared" si="41"/>
        <v>Yes</v>
      </c>
      <c r="O665">
        <v>0.2</v>
      </c>
      <c r="P665" t="str" cm="1">
        <f t="array" ref="P665">_xlfn.IFS(O665&lt;=0.3,"Low Risk",O665&lt;=0.4,"medium Risk",O665&lt;=0.5,"High Risk",O665&gt;0.5,"Very High Risk")</f>
        <v>Low Risk</v>
      </c>
      <c r="Q665">
        <v>16944</v>
      </c>
      <c r="R665">
        <v>15701</v>
      </c>
      <c r="S665" t="str">
        <f t="shared" si="42"/>
        <v>Yes</v>
      </c>
      <c r="T665">
        <v>36326</v>
      </c>
      <c r="U665" t="str" cm="1">
        <f t="array" ref="U665">_xlfn.IFS(T665&lt;5000,"Small",T665&lt;20000,"Medium",T665&lt;35000,"Large",T665&gt;35000,"Very Large")</f>
        <v>Very Large</v>
      </c>
      <c r="V665">
        <v>72</v>
      </c>
      <c r="W665">
        <f t="shared" si="43"/>
        <v>6</v>
      </c>
      <c r="X665" t="s">
        <v>50</v>
      </c>
      <c r="Y665" t="s">
        <v>32</v>
      </c>
      <c r="Z665" t="s">
        <v>39</v>
      </c>
      <c r="AA665" t="s">
        <v>40</v>
      </c>
      <c r="AB665" t="s">
        <v>51</v>
      </c>
      <c r="AC665" t="s">
        <v>36</v>
      </c>
    </row>
    <row r="666" spans="1:29" x14ac:dyDescent="0.25">
      <c r="A666">
        <v>703</v>
      </c>
      <c r="B666">
        <v>8371</v>
      </c>
      <c r="C666">
        <v>6228</v>
      </c>
      <c r="D666">
        <f t="shared" si="40"/>
        <v>14599</v>
      </c>
      <c r="E666" t="s">
        <v>49</v>
      </c>
      <c r="F666">
        <v>38</v>
      </c>
      <c r="G666" t="str" cm="1">
        <f t="array" ref="G666">_xlfn.IFS(F666&lt;25,"18-24",F666&lt;35,"25-35",F666&lt;45,"35-44",F666&lt;55,"44-54",F666&gt;=55,"55+")</f>
        <v>35-44</v>
      </c>
      <c r="H666" t="s">
        <v>30</v>
      </c>
      <c r="I666">
        <v>0</v>
      </c>
      <c r="J666" t="str" cm="1">
        <f t="array" ref="J666">_xlfn.IFS(I666&lt;=0,"No Dependents",I666&lt;=1,"One",I666&lt;=2,"Two",I666&gt;=3,"Third")</f>
        <v>No Dependents</v>
      </c>
      <c r="K666">
        <v>617</v>
      </c>
      <c r="L666" t="str" cm="1">
        <f t="array" ref="L666">_xlfn.IFS(K666&lt;=580,"Poor",K666&lt;=670,"fair",K666&lt;=740,"Good",K666&lt;=800,"Very Good",K666&gt;=800,"Excellent")</f>
        <v>fair</v>
      </c>
      <c r="M666">
        <v>3</v>
      </c>
      <c r="N666" t="str">
        <f t="shared" si="41"/>
        <v>Yes</v>
      </c>
      <c r="O666">
        <v>0.36</v>
      </c>
      <c r="P666" t="str" cm="1">
        <f t="array" ref="P666">_xlfn.IFS(O666&lt;=0.3,"Low Risk",O666&lt;=0.4,"medium Risk",O666&lt;=0.5,"High Risk",O666&gt;0.5,"Very High Risk")</f>
        <v>medium Risk</v>
      </c>
      <c r="Q666">
        <v>18296</v>
      </c>
      <c r="R666">
        <v>3536</v>
      </c>
      <c r="S666" t="str">
        <f t="shared" si="42"/>
        <v>Yes</v>
      </c>
      <c r="T666">
        <v>6079</v>
      </c>
      <c r="U666" t="str" cm="1">
        <f t="array" ref="U666">_xlfn.IFS(T666&lt;5000,"Small",T666&lt;20000,"Medium",T666&lt;35000,"Large",T666&gt;35000,"Very Large")</f>
        <v>Medium</v>
      </c>
      <c r="V666">
        <v>84</v>
      </c>
      <c r="W666">
        <f t="shared" si="43"/>
        <v>7</v>
      </c>
      <c r="X666" t="s">
        <v>50</v>
      </c>
      <c r="Y666" t="s">
        <v>45</v>
      </c>
      <c r="Z666" t="s">
        <v>39</v>
      </c>
      <c r="AA666" t="s">
        <v>34</v>
      </c>
      <c r="AB666" t="s">
        <v>35</v>
      </c>
      <c r="AC666" t="s">
        <v>36</v>
      </c>
    </row>
    <row r="667" spans="1:29" x14ac:dyDescent="0.25">
      <c r="A667">
        <v>704</v>
      </c>
      <c r="B667">
        <v>16369</v>
      </c>
      <c r="C667">
        <v>6471</v>
      </c>
      <c r="D667">
        <f t="shared" si="40"/>
        <v>22840</v>
      </c>
      <c r="E667" t="s">
        <v>29</v>
      </c>
      <c r="F667">
        <v>52</v>
      </c>
      <c r="G667" t="str" cm="1">
        <f t="array" ref="G667">_xlfn.IFS(F667&lt;25,"18-24",F667&lt;35,"25-35",F667&lt;45,"35-44",F667&lt;55,"44-54",F667&gt;=55,"55+")</f>
        <v>44-54</v>
      </c>
      <c r="H667" t="s">
        <v>41</v>
      </c>
      <c r="I667">
        <v>0</v>
      </c>
      <c r="J667" t="str" cm="1">
        <f t="array" ref="J667">_xlfn.IFS(I667&lt;=0,"No Dependents",I667&lt;=1,"One",I667&lt;=2,"Two",I667&gt;=3,"Third")</f>
        <v>No Dependents</v>
      </c>
      <c r="K667">
        <v>595</v>
      </c>
      <c r="L667" t="str" cm="1">
        <f t="array" ref="L667">_xlfn.IFS(K667&lt;=580,"Poor",K667&lt;=670,"fair",K667&lt;=740,"Good",K667&lt;=800,"Very Good",K667&gt;=800,"Excellent")</f>
        <v>fair</v>
      </c>
      <c r="M667">
        <v>0</v>
      </c>
      <c r="N667" t="str">
        <f t="shared" si="41"/>
        <v>No</v>
      </c>
      <c r="O667">
        <v>0.55000000000000004</v>
      </c>
      <c r="P667" t="str" cm="1">
        <f t="array" ref="P667">_xlfn.IFS(O667&lt;=0.3,"Low Risk",O667&lt;=0.4,"medium Risk",O667&lt;=0.5,"High Risk",O667&gt;0.5,"Very High Risk")</f>
        <v>Very High Risk</v>
      </c>
      <c r="Q667">
        <v>18248</v>
      </c>
      <c r="R667">
        <v>48217</v>
      </c>
      <c r="S667" t="str">
        <f t="shared" si="42"/>
        <v>Yes</v>
      </c>
      <c r="T667">
        <v>26838</v>
      </c>
      <c r="U667" t="str" cm="1">
        <f t="array" ref="U667">_xlfn.IFS(T667&lt;5000,"Small",T667&lt;20000,"Medium",T667&lt;35000,"Large",T667&gt;35000,"Very Large")</f>
        <v>Large</v>
      </c>
      <c r="V667">
        <v>84</v>
      </c>
      <c r="W667">
        <f t="shared" si="43"/>
        <v>7</v>
      </c>
      <c r="X667" t="s">
        <v>42</v>
      </c>
      <c r="Y667" t="s">
        <v>38</v>
      </c>
      <c r="Z667" t="s">
        <v>39</v>
      </c>
      <c r="AA667" t="s">
        <v>34</v>
      </c>
      <c r="AB667" t="s">
        <v>51</v>
      </c>
      <c r="AC667" t="s">
        <v>36</v>
      </c>
    </row>
    <row r="668" spans="1:29" x14ac:dyDescent="0.25">
      <c r="A668">
        <v>705</v>
      </c>
      <c r="B668">
        <v>0</v>
      </c>
      <c r="C668">
        <v>0</v>
      </c>
      <c r="D668">
        <f t="shared" si="40"/>
        <v>0</v>
      </c>
      <c r="E668" t="s">
        <v>49</v>
      </c>
      <c r="F668">
        <v>40</v>
      </c>
      <c r="G668" t="str" cm="1">
        <f t="array" ref="G668">_xlfn.IFS(F668&lt;25,"18-24",F668&lt;35,"25-35",F668&lt;45,"35-44",F668&lt;55,"44-54",F668&gt;=55,"55+")</f>
        <v>35-44</v>
      </c>
      <c r="H668" t="s">
        <v>41</v>
      </c>
      <c r="I668">
        <v>3</v>
      </c>
      <c r="J668" t="str" cm="1">
        <f t="array" ref="J668">_xlfn.IFS(I668&lt;=0,"No Dependents",I668&lt;=1,"One",I668&lt;=2,"Two",I668&gt;=3,"Third")</f>
        <v>Third</v>
      </c>
      <c r="K668">
        <v>627</v>
      </c>
      <c r="L668" t="str" cm="1">
        <f t="array" ref="L668">_xlfn.IFS(K668&lt;=580,"Poor",K668&lt;=670,"fair",K668&lt;=740,"Good",K668&lt;=800,"Very Good",K668&gt;=800,"Excellent")</f>
        <v>fair</v>
      </c>
      <c r="M668">
        <v>4</v>
      </c>
      <c r="N668" t="str">
        <f t="shared" si="41"/>
        <v>Yes</v>
      </c>
      <c r="O668">
        <v>0.5</v>
      </c>
      <c r="P668" t="str" cm="1">
        <f t="array" ref="P668">_xlfn.IFS(O668&lt;=0.3,"Low Risk",O668&lt;=0.4,"medium Risk",O668&lt;=0.5,"High Risk",O668&gt;0.5,"Very High Risk")</f>
        <v>High Risk</v>
      </c>
      <c r="Q668">
        <v>296</v>
      </c>
      <c r="R668">
        <v>44610</v>
      </c>
      <c r="S668" t="str">
        <f t="shared" si="42"/>
        <v>Yes</v>
      </c>
      <c r="T668">
        <v>22804</v>
      </c>
      <c r="U668" t="str" cm="1">
        <f t="array" ref="U668">_xlfn.IFS(T668&lt;5000,"Small",T668&lt;20000,"Medium",T668&lt;35000,"Large",T668&gt;35000,"Very Large")</f>
        <v>Large</v>
      </c>
      <c r="V668">
        <v>24</v>
      </c>
      <c r="W668">
        <f t="shared" si="43"/>
        <v>2</v>
      </c>
      <c r="X668" t="s">
        <v>47</v>
      </c>
      <c r="Y668" t="s">
        <v>32</v>
      </c>
      <c r="Z668" t="s">
        <v>33</v>
      </c>
      <c r="AA668" t="s">
        <v>40</v>
      </c>
      <c r="AB668" t="s">
        <v>51</v>
      </c>
      <c r="AC668" t="s">
        <v>36</v>
      </c>
    </row>
    <row r="669" spans="1:29" x14ac:dyDescent="0.25">
      <c r="A669">
        <v>706</v>
      </c>
      <c r="B669">
        <v>9943</v>
      </c>
      <c r="C669">
        <v>1177</v>
      </c>
      <c r="D669">
        <f t="shared" si="40"/>
        <v>11120</v>
      </c>
      <c r="E669" t="s">
        <v>49</v>
      </c>
      <c r="F669">
        <v>23</v>
      </c>
      <c r="G669" t="str" cm="1">
        <f t="array" ref="G669">_xlfn.IFS(F669&lt;25,"18-24",F669&lt;35,"25-35",F669&lt;45,"35-44",F669&lt;55,"44-54",F669&gt;=55,"55+")</f>
        <v>18-24</v>
      </c>
      <c r="H669" t="s">
        <v>41</v>
      </c>
      <c r="I669">
        <v>1</v>
      </c>
      <c r="J669" t="str" cm="1">
        <f t="array" ref="J669">_xlfn.IFS(I669&lt;=0,"No Dependents",I669&lt;=1,"One",I669&lt;=2,"Two",I669&gt;=3,"Third")</f>
        <v>One</v>
      </c>
      <c r="K669">
        <v>690</v>
      </c>
      <c r="L669" t="str" cm="1">
        <f t="array" ref="L669">_xlfn.IFS(K669&lt;=580,"Poor",K669&lt;=670,"fair",K669&lt;=740,"Good",K669&lt;=800,"Very Good",K669&gt;=800,"Excellent")</f>
        <v>Good</v>
      </c>
      <c r="M669">
        <v>4</v>
      </c>
      <c r="N669" t="str">
        <f t="shared" si="41"/>
        <v>Yes</v>
      </c>
      <c r="O669">
        <v>0.13</v>
      </c>
      <c r="P669" t="str" cm="1">
        <f t="array" ref="P669">_xlfn.IFS(O669&lt;=0.3,"Low Risk",O669&lt;=0.4,"medium Risk",O669&lt;=0.5,"High Risk",O669&gt;0.5,"Very High Risk")</f>
        <v>Low Risk</v>
      </c>
      <c r="Q669">
        <v>2409</v>
      </c>
      <c r="R669">
        <v>18886</v>
      </c>
      <c r="S669" t="str">
        <f t="shared" si="42"/>
        <v>Yes</v>
      </c>
      <c r="T669">
        <v>20675</v>
      </c>
      <c r="U669" t="str" cm="1">
        <f t="array" ref="U669">_xlfn.IFS(T669&lt;5000,"Small",T669&lt;20000,"Medium",T669&lt;35000,"Large",T669&gt;35000,"Very Large")</f>
        <v>Large</v>
      </c>
      <c r="V669">
        <v>60</v>
      </c>
      <c r="W669">
        <f t="shared" si="43"/>
        <v>5</v>
      </c>
      <c r="X669" t="s">
        <v>37</v>
      </c>
      <c r="Y669" t="s">
        <v>38</v>
      </c>
      <c r="Z669" t="s">
        <v>33</v>
      </c>
      <c r="AA669" t="s">
        <v>40</v>
      </c>
      <c r="AB669" t="s">
        <v>35</v>
      </c>
      <c r="AC669" t="s">
        <v>44</v>
      </c>
    </row>
    <row r="670" spans="1:29" x14ac:dyDescent="0.25">
      <c r="A670">
        <v>707</v>
      </c>
      <c r="B670">
        <v>14199</v>
      </c>
      <c r="C670">
        <v>4760</v>
      </c>
      <c r="D670">
        <f t="shared" si="40"/>
        <v>18959</v>
      </c>
      <c r="E670" t="s">
        <v>29</v>
      </c>
      <c r="F670">
        <v>58</v>
      </c>
      <c r="G670" t="str" cm="1">
        <f t="array" ref="G670">_xlfn.IFS(F670&lt;25,"18-24",F670&lt;35,"25-35",F670&lt;45,"35-44",F670&lt;55,"44-54",F670&gt;=55,"55+")</f>
        <v>55+</v>
      </c>
      <c r="H670" t="s">
        <v>30</v>
      </c>
      <c r="I670">
        <v>3</v>
      </c>
      <c r="J670" t="str" cm="1">
        <f t="array" ref="J670">_xlfn.IFS(I670&lt;=0,"No Dependents",I670&lt;=1,"One",I670&lt;=2,"Two",I670&gt;=3,"Third")</f>
        <v>Third</v>
      </c>
      <c r="K670">
        <v>704</v>
      </c>
      <c r="L670" t="str" cm="1">
        <f t="array" ref="L670">_xlfn.IFS(K670&lt;=580,"Poor",K670&lt;=670,"fair",K670&lt;=740,"Good",K670&lt;=800,"Very Good",K670&gt;=800,"Excellent")</f>
        <v>Good</v>
      </c>
      <c r="M670">
        <v>3</v>
      </c>
      <c r="N670" t="str">
        <f t="shared" si="41"/>
        <v>Yes</v>
      </c>
      <c r="O670">
        <v>0.45</v>
      </c>
      <c r="P670" t="str" cm="1">
        <f t="array" ref="P670">_xlfn.IFS(O670&lt;=0.3,"Low Risk",O670&lt;=0.4,"medium Risk",O670&lt;=0.5,"High Risk",O670&gt;0.5,"Very High Risk")</f>
        <v>High Risk</v>
      </c>
      <c r="Q670">
        <v>1461</v>
      </c>
      <c r="R670">
        <v>36587</v>
      </c>
      <c r="S670" t="str">
        <f t="shared" si="42"/>
        <v>Yes</v>
      </c>
      <c r="T670">
        <v>26594</v>
      </c>
      <c r="U670" t="str" cm="1">
        <f t="array" ref="U670">_xlfn.IFS(T670&lt;5000,"Small",T670&lt;20000,"Medium",T670&lt;35000,"Large",T670&gt;35000,"Very Large")</f>
        <v>Large</v>
      </c>
      <c r="V670">
        <v>72</v>
      </c>
      <c r="W670">
        <f t="shared" si="43"/>
        <v>6</v>
      </c>
      <c r="X670" t="s">
        <v>31</v>
      </c>
      <c r="Y670" t="s">
        <v>32</v>
      </c>
      <c r="Z670" t="s">
        <v>39</v>
      </c>
      <c r="AA670" t="s">
        <v>40</v>
      </c>
      <c r="AB670" t="s">
        <v>43</v>
      </c>
      <c r="AC670" t="s">
        <v>36</v>
      </c>
    </row>
    <row r="671" spans="1:29" x14ac:dyDescent="0.25">
      <c r="A671">
        <v>708</v>
      </c>
      <c r="B671">
        <v>17728</v>
      </c>
      <c r="C671">
        <v>11</v>
      </c>
      <c r="D671">
        <f t="shared" si="40"/>
        <v>17739</v>
      </c>
      <c r="E671" t="s">
        <v>29</v>
      </c>
      <c r="F671">
        <v>23</v>
      </c>
      <c r="G671" t="str" cm="1">
        <f t="array" ref="G671">_xlfn.IFS(F671&lt;25,"18-24",F671&lt;35,"25-35",F671&lt;45,"35-44",F671&lt;55,"44-54",F671&gt;=55,"55+")</f>
        <v>18-24</v>
      </c>
      <c r="H671" t="s">
        <v>41</v>
      </c>
      <c r="I671">
        <v>3</v>
      </c>
      <c r="J671" t="str" cm="1">
        <f t="array" ref="J671">_xlfn.IFS(I671&lt;=0,"No Dependents",I671&lt;=1,"One",I671&lt;=2,"Two",I671&gt;=3,"Third")</f>
        <v>Third</v>
      </c>
      <c r="K671">
        <v>555</v>
      </c>
      <c r="L671" t="str" cm="1">
        <f t="array" ref="L671">_xlfn.IFS(K671&lt;=580,"Poor",K671&lt;=670,"fair",K671&lt;=740,"Good",K671&lt;=800,"Very Good",K671&gt;=800,"Excellent")</f>
        <v>Poor</v>
      </c>
      <c r="M671">
        <v>3</v>
      </c>
      <c r="N671" t="str">
        <f t="shared" si="41"/>
        <v>Yes</v>
      </c>
      <c r="O671">
        <v>0.39</v>
      </c>
      <c r="P671" t="str" cm="1">
        <f t="array" ref="P671">_xlfn.IFS(O671&lt;=0.3,"Low Risk",O671&lt;=0.4,"medium Risk",O671&lt;=0.5,"High Risk",O671&gt;0.5,"Very High Risk")</f>
        <v>medium Risk</v>
      </c>
      <c r="Q671">
        <v>2268</v>
      </c>
      <c r="R671">
        <v>29410</v>
      </c>
      <c r="S671" t="str">
        <f t="shared" si="42"/>
        <v>Yes</v>
      </c>
      <c r="T671">
        <v>37292</v>
      </c>
      <c r="U671" t="str" cm="1">
        <f t="array" ref="U671">_xlfn.IFS(T671&lt;5000,"Small",T671&lt;20000,"Medium",T671&lt;35000,"Large",T671&gt;35000,"Very Large")</f>
        <v>Very Large</v>
      </c>
      <c r="V671">
        <v>84</v>
      </c>
      <c r="W671">
        <f t="shared" si="43"/>
        <v>7</v>
      </c>
      <c r="X671" t="s">
        <v>37</v>
      </c>
      <c r="Y671" t="s">
        <v>32</v>
      </c>
      <c r="Z671" t="s">
        <v>39</v>
      </c>
      <c r="AA671" t="s">
        <v>40</v>
      </c>
      <c r="AB671" t="s">
        <v>43</v>
      </c>
      <c r="AC671" t="s">
        <v>36</v>
      </c>
    </row>
    <row r="672" spans="1:29" x14ac:dyDescent="0.25">
      <c r="A672">
        <v>709</v>
      </c>
      <c r="B672">
        <v>8738</v>
      </c>
      <c r="C672">
        <v>5252</v>
      </c>
      <c r="D672">
        <f t="shared" si="40"/>
        <v>13990</v>
      </c>
      <c r="E672" t="s">
        <v>49</v>
      </c>
      <c r="F672">
        <v>50</v>
      </c>
      <c r="G672" t="str" cm="1">
        <f t="array" ref="G672">_xlfn.IFS(F672&lt;25,"18-24",F672&lt;35,"25-35",F672&lt;45,"35-44",F672&lt;55,"44-54",F672&gt;=55,"55+")</f>
        <v>44-54</v>
      </c>
      <c r="H672" t="s">
        <v>30</v>
      </c>
      <c r="I672">
        <v>3</v>
      </c>
      <c r="J672" t="str" cm="1">
        <f t="array" ref="J672">_xlfn.IFS(I672&lt;=0,"No Dependents",I672&lt;=1,"One",I672&lt;=2,"Two",I672&gt;=3,"Third")</f>
        <v>Third</v>
      </c>
      <c r="K672">
        <v>566</v>
      </c>
      <c r="L672" t="str" cm="1">
        <f t="array" ref="L672">_xlfn.IFS(K672&lt;=580,"Poor",K672&lt;=670,"fair",K672&lt;=740,"Good",K672&lt;=800,"Very Good",K672&gt;=800,"Excellent")</f>
        <v>Poor</v>
      </c>
      <c r="M672">
        <v>0</v>
      </c>
      <c r="N672" t="str">
        <f t="shared" si="41"/>
        <v>No</v>
      </c>
      <c r="O672">
        <v>0.55000000000000004</v>
      </c>
      <c r="P672" t="str" cm="1">
        <f t="array" ref="P672">_xlfn.IFS(O672&lt;=0.3,"Low Risk",O672&lt;=0.4,"medium Risk",O672&lt;=0.5,"High Risk",O672&gt;0.5,"Very High Risk")</f>
        <v>Very High Risk</v>
      </c>
      <c r="Q672">
        <v>17378</v>
      </c>
      <c r="R672">
        <v>33744</v>
      </c>
      <c r="S672" t="str">
        <f t="shared" si="42"/>
        <v>Yes</v>
      </c>
      <c r="T672">
        <v>9998</v>
      </c>
      <c r="U672" t="str" cm="1">
        <f t="array" ref="U672">_xlfn.IFS(T672&lt;5000,"Small",T672&lt;20000,"Medium",T672&lt;35000,"Large",T672&gt;35000,"Very Large")</f>
        <v>Medium</v>
      </c>
      <c r="V672">
        <v>60</v>
      </c>
      <c r="W672">
        <f t="shared" si="43"/>
        <v>5</v>
      </c>
      <c r="X672" t="s">
        <v>31</v>
      </c>
      <c r="Y672" t="s">
        <v>32</v>
      </c>
      <c r="Z672" t="s">
        <v>33</v>
      </c>
      <c r="AA672" t="s">
        <v>40</v>
      </c>
      <c r="AB672" t="s">
        <v>51</v>
      </c>
      <c r="AC672" t="s">
        <v>36</v>
      </c>
    </row>
    <row r="673" spans="1:29" x14ac:dyDescent="0.25">
      <c r="A673">
        <v>710</v>
      </c>
      <c r="B673">
        <v>17913</v>
      </c>
      <c r="C673">
        <v>4399</v>
      </c>
      <c r="D673">
        <f t="shared" si="40"/>
        <v>22312</v>
      </c>
      <c r="E673" t="s">
        <v>52</v>
      </c>
      <c r="F673">
        <v>21</v>
      </c>
      <c r="G673" t="str" cm="1">
        <f t="array" ref="G673">_xlfn.IFS(F673&lt;25,"18-24",F673&lt;35,"25-35",F673&lt;45,"35-44",F673&lt;55,"44-54",F673&gt;=55,"55+")</f>
        <v>18-24</v>
      </c>
      <c r="H673" t="s">
        <v>41</v>
      </c>
      <c r="I673">
        <v>2</v>
      </c>
      <c r="J673" t="str" cm="1">
        <f t="array" ref="J673">_xlfn.IFS(I673&lt;=0,"No Dependents",I673&lt;=1,"One",I673&lt;=2,"Two",I673&gt;=3,"Third")</f>
        <v>Two</v>
      </c>
      <c r="K673">
        <v>550</v>
      </c>
      <c r="L673" t="str" cm="1">
        <f t="array" ref="L673">_xlfn.IFS(K673&lt;=580,"Poor",K673&lt;=670,"fair",K673&lt;=740,"Good",K673&lt;=800,"Very Good",K673&gt;=800,"Excellent")</f>
        <v>Poor</v>
      </c>
      <c r="M673">
        <v>0</v>
      </c>
      <c r="N673" t="str">
        <f t="shared" si="41"/>
        <v>No</v>
      </c>
      <c r="O673">
        <v>0.35</v>
      </c>
      <c r="P673" t="str" cm="1">
        <f t="array" ref="P673">_xlfn.IFS(O673&lt;=0.3,"Low Risk",O673&lt;=0.4,"medium Risk",O673&lt;=0.5,"High Risk",O673&gt;0.5,"Very High Risk")</f>
        <v>medium Risk</v>
      </c>
      <c r="Q673">
        <v>6554</v>
      </c>
      <c r="R673">
        <v>38665</v>
      </c>
      <c r="S673" t="str">
        <f t="shared" si="42"/>
        <v>Yes</v>
      </c>
      <c r="T673">
        <v>14697</v>
      </c>
      <c r="U673" t="str" cm="1">
        <f t="array" ref="U673">_xlfn.IFS(T673&lt;5000,"Small",T673&lt;20000,"Medium",T673&lt;35000,"Large",T673&gt;35000,"Very Large")</f>
        <v>Medium</v>
      </c>
      <c r="V673">
        <v>48</v>
      </c>
      <c r="W673">
        <f t="shared" si="43"/>
        <v>4</v>
      </c>
      <c r="X673" t="s">
        <v>31</v>
      </c>
      <c r="Y673" t="s">
        <v>38</v>
      </c>
      <c r="Z673" t="s">
        <v>39</v>
      </c>
      <c r="AA673" t="s">
        <v>40</v>
      </c>
      <c r="AB673" t="s">
        <v>35</v>
      </c>
      <c r="AC673" t="s">
        <v>44</v>
      </c>
    </row>
    <row r="674" spans="1:29" x14ac:dyDescent="0.25">
      <c r="A674">
        <v>711</v>
      </c>
      <c r="B674">
        <v>4472</v>
      </c>
      <c r="C674">
        <v>8234</v>
      </c>
      <c r="D674">
        <f t="shared" si="40"/>
        <v>12706</v>
      </c>
      <c r="E674" t="s">
        <v>49</v>
      </c>
      <c r="F674">
        <v>50</v>
      </c>
      <c r="G674" t="str" cm="1">
        <f t="array" ref="G674">_xlfn.IFS(F674&lt;25,"18-24",F674&lt;35,"25-35",F674&lt;45,"35-44",F674&lt;55,"44-54",F674&gt;=55,"55+")</f>
        <v>44-54</v>
      </c>
      <c r="H674" t="s">
        <v>41</v>
      </c>
      <c r="I674">
        <v>0</v>
      </c>
      <c r="J674" t="str" cm="1">
        <f t="array" ref="J674">_xlfn.IFS(I674&lt;=0,"No Dependents",I674&lt;=1,"One",I674&lt;=2,"Two",I674&gt;=3,"Third")</f>
        <v>No Dependents</v>
      </c>
      <c r="K674">
        <v>781</v>
      </c>
      <c r="L674" t="str" cm="1">
        <f t="array" ref="L674">_xlfn.IFS(K674&lt;=580,"Poor",K674&lt;=670,"fair",K674&lt;=740,"Good",K674&lt;=800,"Very Good",K674&gt;=800,"Excellent")</f>
        <v>Very Good</v>
      </c>
      <c r="M674">
        <v>2</v>
      </c>
      <c r="N674" t="str">
        <f t="shared" si="41"/>
        <v>Yes</v>
      </c>
      <c r="O674">
        <v>0.37</v>
      </c>
      <c r="P674" t="str" cm="1">
        <f t="array" ref="P674">_xlfn.IFS(O674&lt;=0.3,"Low Risk",O674&lt;=0.4,"medium Risk",O674&lt;=0.5,"High Risk",O674&gt;0.5,"Very High Risk")</f>
        <v>medium Risk</v>
      </c>
      <c r="Q674">
        <v>16391</v>
      </c>
      <c r="R674">
        <v>15957</v>
      </c>
      <c r="S674" t="str">
        <f t="shared" si="42"/>
        <v>Yes</v>
      </c>
      <c r="T674">
        <v>14429</v>
      </c>
      <c r="U674" t="str" cm="1">
        <f t="array" ref="U674">_xlfn.IFS(T674&lt;5000,"Small",T674&lt;20000,"Medium",T674&lt;35000,"Large",T674&gt;35000,"Very Large")</f>
        <v>Medium</v>
      </c>
      <c r="V674">
        <v>48</v>
      </c>
      <c r="W674">
        <f t="shared" si="43"/>
        <v>4</v>
      </c>
      <c r="X674" t="s">
        <v>37</v>
      </c>
      <c r="Y674" t="s">
        <v>32</v>
      </c>
      <c r="Z674" t="s">
        <v>39</v>
      </c>
      <c r="AA674" t="s">
        <v>40</v>
      </c>
      <c r="AB674" t="s">
        <v>48</v>
      </c>
      <c r="AC674" t="s">
        <v>44</v>
      </c>
    </row>
    <row r="675" spans="1:29" x14ac:dyDescent="0.25">
      <c r="A675">
        <v>712</v>
      </c>
      <c r="B675">
        <v>17679</v>
      </c>
      <c r="C675">
        <v>9135</v>
      </c>
      <c r="D675">
        <f t="shared" si="40"/>
        <v>26814</v>
      </c>
      <c r="E675" t="s">
        <v>29</v>
      </c>
      <c r="F675">
        <v>52</v>
      </c>
      <c r="G675" t="str" cm="1">
        <f t="array" ref="G675">_xlfn.IFS(F675&lt;25,"18-24",F675&lt;35,"25-35",F675&lt;45,"35-44",F675&lt;55,"44-54",F675&gt;=55,"55+")</f>
        <v>44-54</v>
      </c>
      <c r="H675" t="s">
        <v>30</v>
      </c>
      <c r="I675">
        <v>1</v>
      </c>
      <c r="J675" t="str" cm="1">
        <f t="array" ref="J675">_xlfn.IFS(I675&lt;=0,"No Dependents",I675&lt;=1,"One",I675&lt;=2,"Two",I675&gt;=3,"Third")</f>
        <v>One</v>
      </c>
      <c r="K675">
        <v>790</v>
      </c>
      <c r="L675" t="str" cm="1">
        <f t="array" ref="L675">_xlfn.IFS(K675&lt;=580,"Poor",K675&lt;=670,"fair",K675&lt;=740,"Good",K675&lt;=800,"Very Good",K675&gt;=800,"Excellent")</f>
        <v>Very Good</v>
      </c>
      <c r="M675">
        <v>2</v>
      </c>
      <c r="N675" t="str">
        <f t="shared" si="41"/>
        <v>Yes</v>
      </c>
      <c r="O675">
        <v>0.54</v>
      </c>
      <c r="P675" t="str" cm="1">
        <f t="array" ref="P675">_xlfn.IFS(O675&lt;=0.3,"Low Risk",O675&lt;=0.4,"medium Risk",O675&lt;=0.5,"High Risk",O675&gt;0.5,"Very High Risk")</f>
        <v>Very High Risk</v>
      </c>
      <c r="Q675">
        <v>18899</v>
      </c>
      <c r="R675">
        <v>48127</v>
      </c>
      <c r="S675" t="str">
        <f t="shared" si="42"/>
        <v>Yes</v>
      </c>
      <c r="T675">
        <v>8140</v>
      </c>
      <c r="U675" t="str" cm="1">
        <f t="array" ref="U675">_xlfn.IFS(T675&lt;5000,"Small",T675&lt;20000,"Medium",T675&lt;35000,"Large",T675&gt;35000,"Very Large")</f>
        <v>Medium</v>
      </c>
      <c r="V675">
        <v>48</v>
      </c>
      <c r="W675">
        <f t="shared" si="43"/>
        <v>4</v>
      </c>
      <c r="X675" t="s">
        <v>50</v>
      </c>
      <c r="Y675" t="s">
        <v>45</v>
      </c>
      <c r="Z675" t="s">
        <v>33</v>
      </c>
      <c r="AA675" t="s">
        <v>34</v>
      </c>
      <c r="AB675" t="s">
        <v>43</v>
      </c>
      <c r="AC675" t="s">
        <v>36</v>
      </c>
    </row>
    <row r="676" spans="1:29" x14ac:dyDescent="0.25">
      <c r="A676">
        <v>713</v>
      </c>
      <c r="B676">
        <v>3761</v>
      </c>
      <c r="C676">
        <v>5445</v>
      </c>
      <c r="D676">
        <f t="shared" si="40"/>
        <v>9206</v>
      </c>
      <c r="E676" t="s">
        <v>49</v>
      </c>
      <c r="F676">
        <v>48</v>
      </c>
      <c r="G676" t="str" cm="1">
        <f t="array" ref="G676">_xlfn.IFS(F676&lt;25,"18-24",F676&lt;35,"25-35",F676&lt;45,"35-44",F676&lt;55,"44-54",F676&gt;=55,"55+")</f>
        <v>44-54</v>
      </c>
      <c r="H676" t="s">
        <v>41</v>
      </c>
      <c r="I676">
        <v>2</v>
      </c>
      <c r="J676" t="str" cm="1">
        <f t="array" ref="J676">_xlfn.IFS(I676&lt;=0,"No Dependents",I676&lt;=1,"One",I676&lt;=2,"Two",I676&gt;=3,"Third")</f>
        <v>Two</v>
      </c>
      <c r="K676">
        <v>648</v>
      </c>
      <c r="L676" t="str" cm="1">
        <f t="array" ref="L676">_xlfn.IFS(K676&lt;=580,"Poor",K676&lt;=670,"fair",K676&lt;=740,"Good",K676&lt;=800,"Very Good",K676&gt;=800,"Excellent")</f>
        <v>fair</v>
      </c>
      <c r="M676">
        <v>4</v>
      </c>
      <c r="N676" t="str">
        <f t="shared" si="41"/>
        <v>Yes</v>
      </c>
      <c r="O676">
        <v>0.35</v>
      </c>
      <c r="P676" t="str" cm="1">
        <f t="array" ref="P676">_xlfn.IFS(O676&lt;=0.3,"Low Risk",O676&lt;=0.4,"medium Risk",O676&lt;=0.5,"High Risk",O676&gt;0.5,"Very High Risk")</f>
        <v>medium Risk</v>
      </c>
      <c r="Q676">
        <v>17801</v>
      </c>
      <c r="R676">
        <v>46008</v>
      </c>
      <c r="S676" t="str">
        <f t="shared" si="42"/>
        <v>Yes</v>
      </c>
      <c r="T676">
        <v>15901</v>
      </c>
      <c r="U676" t="str" cm="1">
        <f t="array" ref="U676">_xlfn.IFS(T676&lt;5000,"Small",T676&lt;20000,"Medium",T676&lt;35000,"Large",T676&gt;35000,"Very Large")</f>
        <v>Medium</v>
      </c>
      <c r="V676">
        <v>48</v>
      </c>
      <c r="W676">
        <f t="shared" si="43"/>
        <v>4</v>
      </c>
      <c r="X676" t="s">
        <v>42</v>
      </c>
      <c r="Y676" t="s">
        <v>32</v>
      </c>
      <c r="Z676" t="s">
        <v>39</v>
      </c>
      <c r="AA676" t="s">
        <v>40</v>
      </c>
      <c r="AB676" t="s">
        <v>42</v>
      </c>
      <c r="AC676" t="s">
        <v>36</v>
      </c>
    </row>
    <row r="677" spans="1:29" x14ac:dyDescent="0.25">
      <c r="A677">
        <v>714</v>
      </c>
      <c r="B677">
        <v>12167</v>
      </c>
      <c r="C677">
        <v>6570</v>
      </c>
      <c r="D677">
        <f t="shared" si="40"/>
        <v>18737</v>
      </c>
      <c r="E677" t="s">
        <v>49</v>
      </c>
      <c r="F677">
        <v>41</v>
      </c>
      <c r="G677" t="str" cm="1">
        <f t="array" ref="G677">_xlfn.IFS(F677&lt;25,"18-24",F677&lt;35,"25-35",F677&lt;45,"35-44",F677&lt;55,"44-54",F677&gt;=55,"55+")</f>
        <v>35-44</v>
      </c>
      <c r="H677" t="s">
        <v>30</v>
      </c>
      <c r="I677">
        <v>1</v>
      </c>
      <c r="J677" t="str" cm="1">
        <f t="array" ref="J677">_xlfn.IFS(I677&lt;=0,"No Dependents",I677&lt;=1,"One",I677&lt;=2,"Two",I677&gt;=3,"Third")</f>
        <v>One</v>
      </c>
      <c r="K677">
        <v>630</v>
      </c>
      <c r="L677" t="str" cm="1">
        <f t="array" ref="L677">_xlfn.IFS(K677&lt;=580,"Poor",K677&lt;=670,"fair",K677&lt;=740,"Good",K677&lt;=800,"Very Good",K677&gt;=800,"Excellent")</f>
        <v>fair</v>
      </c>
      <c r="M677">
        <v>4</v>
      </c>
      <c r="N677" t="str">
        <f t="shared" si="41"/>
        <v>Yes</v>
      </c>
      <c r="O677">
        <v>0.34</v>
      </c>
      <c r="P677" t="str" cm="1">
        <f t="array" ref="P677">_xlfn.IFS(O677&lt;=0.3,"Low Risk",O677&lt;=0.4,"medium Risk",O677&lt;=0.5,"High Risk",O677&gt;0.5,"Very High Risk")</f>
        <v>medium Risk</v>
      </c>
      <c r="Q677">
        <v>18700</v>
      </c>
      <c r="R677">
        <v>32875</v>
      </c>
      <c r="S677" t="str">
        <f t="shared" si="42"/>
        <v>Yes</v>
      </c>
      <c r="T677">
        <v>24279</v>
      </c>
      <c r="U677" t="str" cm="1">
        <f t="array" ref="U677">_xlfn.IFS(T677&lt;5000,"Small",T677&lt;20000,"Medium",T677&lt;35000,"Large",T677&gt;35000,"Very Large")</f>
        <v>Large</v>
      </c>
      <c r="V677">
        <v>48</v>
      </c>
      <c r="W677">
        <f t="shared" si="43"/>
        <v>4</v>
      </c>
      <c r="X677" t="s">
        <v>47</v>
      </c>
      <c r="Y677" t="s">
        <v>38</v>
      </c>
      <c r="Z677" t="s">
        <v>39</v>
      </c>
      <c r="AA677" t="s">
        <v>40</v>
      </c>
      <c r="AB677" t="s">
        <v>35</v>
      </c>
      <c r="AC677" t="s">
        <v>36</v>
      </c>
    </row>
    <row r="678" spans="1:29" x14ac:dyDescent="0.25">
      <c r="A678">
        <v>715</v>
      </c>
      <c r="B678">
        <v>12554</v>
      </c>
      <c r="C678">
        <v>9196</v>
      </c>
      <c r="D678">
        <f t="shared" si="40"/>
        <v>21750</v>
      </c>
      <c r="E678" t="s">
        <v>48</v>
      </c>
      <c r="F678">
        <v>33</v>
      </c>
      <c r="G678" t="str" cm="1">
        <f t="array" ref="G678">_xlfn.IFS(F678&lt;25,"18-24",F678&lt;35,"25-35",F678&lt;45,"35-44",F678&lt;55,"44-54",F678&gt;=55,"55+")</f>
        <v>25-35</v>
      </c>
      <c r="H678" t="s">
        <v>30</v>
      </c>
      <c r="I678">
        <v>1</v>
      </c>
      <c r="J678" t="str" cm="1">
        <f t="array" ref="J678">_xlfn.IFS(I678&lt;=0,"No Dependents",I678&lt;=1,"One",I678&lt;=2,"Two",I678&gt;=3,"Third")</f>
        <v>One</v>
      </c>
      <c r="K678">
        <v>782</v>
      </c>
      <c r="L678" t="str" cm="1">
        <f t="array" ref="L678">_xlfn.IFS(K678&lt;=580,"Poor",K678&lt;=670,"fair",K678&lt;=740,"Good",K678&lt;=800,"Very Good",K678&gt;=800,"Excellent")</f>
        <v>Very Good</v>
      </c>
      <c r="M678">
        <v>1</v>
      </c>
      <c r="N678" t="str">
        <f t="shared" si="41"/>
        <v>Yes</v>
      </c>
      <c r="O678">
        <v>0.14000000000000001</v>
      </c>
      <c r="P678" t="str" cm="1">
        <f t="array" ref="P678">_xlfn.IFS(O678&lt;=0.3,"Low Risk",O678&lt;=0.4,"medium Risk",O678&lt;=0.5,"High Risk",O678&gt;0.5,"Very High Risk")</f>
        <v>Low Risk</v>
      </c>
      <c r="Q678">
        <v>7358</v>
      </c>
      <c r="R678">
        <v>48292</v>
      </c>
      <c r="S678" t="str">
        <f t="shared" si="42"/>
        <v>Yes</v>
      </c>
      <c r="T678">
        <v>29525</v>
      </c>
      <c r="U678" t="str" cm="1">
        <f t="array" ref="U678">_xlfn.IFS(T678&lt;5000,"Small",T678&lt;20000,"Medium",T678&lt;35000,"Large",T678&gt;35000,"Very Large")</f>
        <v>Large</v>
      </c>
      <c r="V678">
        <v>48</v>
      </c>
      <c r="W678">
        <f t="shared" si="43"/>
        <v>4</v>
      </c>
      <c r="X678" t="s">
        <v>47</v>
      </c>
      <c r="Y678" t="s">
        <v>38</v>
      </c>
      <c r="Z678" t="s">
        <v>39</v>
      </c>
      <c r="AA678" t="s">
        <v>34</v>
      </c>
      <c r="AB678" t="s">
        <v>43</v>
      </c>
      <c r="AC678" t="s">
        <v>36</v>
      </c>
    </row>
    <row r="679" spans="1:29" x14ac:dyDescent="0.25">
      <c r="A679">
        <v>716</v>
      </c>
      <c r="B679">
        <v>19260</v>
      </c>
      <c r="C679">
        <v>8212</v>
      </c>
      <c r="D679">
        <f t="shared" si="40"/>
        <v>27472</v>
      </c>
      <c r="E679" t="s">
        <v>29</v>
      </c>
      <c r="F679">
        <v>47</v>
      </c>
      <c r="G679" t="str" cm="1">
        <f t="array" ref="G679">_xlfn.IFS(F679&lt;25,"18-24",F679&lt;35,"25-35",F679&lt;45,"35-44",F679&lt;55,"44-54",F679&gt;=55,"55+")</f>
        <v>44-54</v>
      </c>
      <c r="H679" t="s">
        <v>30</v>
      </c>
      <c r="I679">
        <v>1</v>
      </c>
      <c r="J679" t="str" cm="1">
        <f t="array" ref="J679">_xlfn.IFS(I679&lt;=0,"No Dependents",I679&lt;=1,"One",I679&lt;=2,"Two",I679&gt;=3,"Third")</f>
        <v>One</v>
      </c>
      <c r="K679">
        <v>551</v>
      </c>
      <c r="L679" t="str" cm="1">
        <f t="array" ref="L679">_xlfn.IFS(K679&lt;=580,"Poor",K679&lt;=670,"fair",K679&lt;=740,"Good",K679&lt;=800,"Very Good",K679&gt;=800,"Excellent")</f>
        <v>Poor</v>
      </c>
      <c r="M679">
        <v>1</v>
      </c>
      <c r="N679" t="str">
        <f t="shared" si="41"/>
        <v>Yes</v>
      </c>
      <c r="O679">
        <v>0.24</v>
      </c>
      <c r="P679" t="str" cm="1">
        <f t="array" ref="P679">_xlfn.IFS(O679&lt;=0.3,"Low Risk",O679&lt;=0.4,"medium Risk",O679&lt;=0.5,"High Risk",O679&gt;0.5,"Very High Risk")</f>
        <v>Low Risk</v>
      </c>
      <c r="Q679">
        <v>17671</v>
      </c>
      <c r="R679">
        <v>1626</v>
      </c>
      <c r="S679" t="str">
        <f t="shared" si="42"/>
        <v>Yes</v>
      </c>
      <c r="T679">
        <v>21491</v>
      </c>
      <c r="U679" t="str" cm="1">
        <f t="array" ref="U679">_xlfn.IFS(T679&lt;5000,"Small",T679&lt;20000,"Medium",T679&lt;35000,"Large",T679&gt;35000,"Very Large")</f>
        <v>Large</v>
      </c>
      <c r="V679">
        <v>24</v>
      </c>
      <c r="W679">
        <f t="shared" si="43"/>
        <v>2</v>
      </c>
      <c r="X679" t="s">
        <v>47</v>
      </c>
      <c r="Y679" t="s">
        <v>45</v>
      </c>
      <c r="Z679" t="s">
        <v>39</v>
      </c>
      <c r="AA679" t="s">
        <v>40</v>
      </c>
      <c r="AB679" t="s">
        <v>42</v>
      </c>
      <c r="AC679" t="s">
        <v>36</v>
      </c>
    </row>
    <row r="680" spans="1:29" x14ac:dyDescent="0.25">
      <c r="A680">
        <v>717</v>
      </c>
      <c r="B680">
        <v>16277</v>
      </c>
      <c r="C680">
        <v>406</v>
      </c>
      <c r="D680">
        <f t="shared" si="40"/>
        <v>16683</v>
      </c>
      <c r="E680" t="s">
        <v>46</v>
      </c>
      <c r="F680">
        <v>56</v>
      </c>
      <c r="G680" t="str" cm="1">
        <f t="array" ref="G680">_xlfn.IFS(F680&lt;25,"18-24",F680&lt;35,"25-35",F680&lt;45,"35-44",F680&lt;55,"44-54",F680&gt;=55,"55+")</f>
        <v>55+</v>
      </c>
      <c r="H680" t="s">
        <v>30</v>
      </c>
      <c r="I680">
        <v>2</v>
      </c>
      <c r="J680" t="str" cm="1">
        <f t="array" ref="J680">_xlfn.IFS(I680&lt;=0,"No Dependents",I680&lt;=1,"One",I680&lt;=2,"Two",I680&gt;=3,"Third")</f>
        <v>Two</v>
      </c>
      <c r="K680">
        <v>798</v>
      </c>
      <c r="L680" t="str" cm="1">
        <f t="array" ref="L680">_xlfn.IFS(K680&lt;=580,"Poor",K680&lt;=670,"fair",K680&lt;=740,"Good",K680&lt;=800,"Very Good",K680&gt;=800,"Excellent")</f>
        <v>Very Good</v>
      </c>
      <c r="M680">
        <v>0</v>
      </c>
      <c r="N680" t="str">
        <f t="shared" si="41"/>
        <v>No</v>
      </c>
      <c r="O680">
        <v>0.26</v>
      </c>
      <c r="P680" t="str" cm="1">
        <f t="array" ref="P680">_xlfn.IFS(O680&lt;=0.3,"Low Risk",O680&lt;=0.4,"medium Risk",O680&lt;=0.5,"High Risk",O680&gt;0.5,"Very High Risk")</f>
        <v>Low Risk</v>
      </c>
      <c r="Q680">
        <v>17502</v>
      </c>
      <c r="R680">
        <v>25279</v>
      </c>
      <c r="S680" t="str">
        <f t="shared" si="42"/>
        <v>Yes</v>
      </c>
      <c r="T680">
        <v>4280</v>
      </c>
      <c r="U680" t="str" cm="1">
        <f t="array" ref="U680">_xlfn.IFS(T680&lt;5000,"Small",T680&lt;20000,"Medium",T680&lt;35000,"Large",T680&gt;35000,"Very Large")</f>
        <v>Small</v>
      </c>
      <c r="V680">
        <v>36</v>
      </c>
      <c r="W680">
        <f t="shared" si="43"/>
        <v>3</v>
      </c>
      <c r="X680" t="s">
        <v>37</v>
      </c>
      <c r="Y680" t="s">
        <v>38</v>
      </c>
      <c r="Z680" t="s">
        <v>39</v>
      </c>
      <c r="AA680" t="s">
        <v>40</v>
      </c>
      <c r="AB680" t="s">
        <v>43</v>
      </c>
      <c r="AC680" t="s">
        <v>44</v>
      </c>
    </row>
    <row r="681" spans="1:29" x14ac:dyDescent="0.25">
      <c r="A681">
        <v>718</v>
      </c>
      <c r="B681">
        <v>5812</v>
      </c>
      <c r="C681">
        <v>9206</v>
      </c>
      <c r="D681">
        <f t="shared" si="40"/>
        <v>15018</v>
      </c>
      <c r="E681" t="s">
        <v>46</v>
      </c>
      <c r="F681">
        <v>40</v>
      </c>
      <c r="G681" t="str" cm="1">
        <f t="array" ref="G681">_xlfn.IFS(F681&lt;25,"18-24",F681&lt;35,"25-35",F681&lt;45,"35-44",F681&lt;55,"44-54",F681&gt;=55,"55+")</f>
        <v>35-44</v>
      </c>
      <c r="H681" t="s">
        <v>41</v>
      </c>
      <c r="I681">
        <v>0</v>
      </c>
      <c r="J681" t="str" cm="1">
        <f t="array" ref="J681">_xlfn.IFS(I681&lt;=0,"No Dependents",I681&lt;=1,"One",I681&lt;=2,"Two",I681&gt;=3,"Third")</f>
        <v>No Dependents</v>
      </c>
      <c r="K681">
        <v>626</v>
      </c>
      <c r="L681" t="str" cm="1">
        <f t="array" ref="L681">_xlfn.IFS(K681&lt;=580,"Poor",K681&lt;=670,"fair",K681&lt;=740,"Good",K681&lt;=800,"Very Good",K681&gt;=800,"Excellent")</f>
        <v>fair</v>
      </c>
      <c r="M681">
        <v>2</v>
      </c>
      <c r="N681" t="str">
        <f t="shared" si="41"/>
        <v>Yes</v>
      </c>
      <c r="O681">
        <v>0.56999999999999995</v>
      </c>
      <c r="P681" t="str" cm="1">
        <f t="array" ref="P681">_xlfn.IFS(O681&lt;=0.3,"Low Risk",O681&lt;=0.4,"medium Risk",O681&lt;=0.5,"High Risk",O681&gt;0.5,"Very High Risk")</f>
        <v>Very High Risk</v>
      </c>
      <c r="Q681">
        <v>7637</v>
      </c>
      <c r="R681">
        <v>6229</v>
      </c>
      <c r="S681" t="str">
        <f t="shared" si="42"/>
        <v>Yes</v>
      </c>
      <c r="T681">
        <v>35980</v>
      </c>
      <c r="U681" t="str" cm="1">
        <f t="array" ref="U681">_xlfn.IFS(T681&lt;5000,"Small",T681&lt;20000,"Medium",T681&lt;35000,"Large",T681&gt;35000,"Very Large")</f>
        <v>Very Large</v>
      </c>
      <c r="V681">
        <v>12</v>
      </c>
      <c r="W681">
        <f t="shared" si="43"/>
        <v>1</v>
      </c>
      <c r="X681" t="s">
        <v>37</v>
      </c>
      <c r="Y681" t="s">
        <v>45</v>
      </c>
      <c r="Z681" t="s">
        <v>39</v>
      </c>
      <c r="AA681" t="s">
        <v>40</v>
      </c>
      <c r="AB681" t="s">
        <v>48</v>
      </c>
      <c r="AC681" t="s">
        <v>36</v>
      </c>
    </row>
    <row r="682" spans="1:29" x14ac:dyDescent="0.25">
      <c r="A682">
        <v>719</v>
      </c>
      <c r="B682">
        <v>19844</v>
      </c>
      <c r="C682">
        <v>4431</v>
      </c>
      <c r="D682">
        <f t="shared" si="40"/>
        <v>24275</v>
      </c>
      <c r="E682" t="s">
        <v>29</v>
      </c>
      <c r="F682">
        <v>42</v>
      </c>
      <c r="G682" t="str" cm="1">
        <f t="array" ref="G682">_xlfn.IFS(F682&lt;25,"18-24",F682&lt;35,"25-35",F682&lt;45,"35-44",F682&lt;55,"44-54",F682&gt;=55,"55+")</f>
        <v>35-44</v>
      </c>
      <c r="H682" t="s">
        <v>41</v>
      </c>
      <c r="I682">
        <v>1</v>
      </c>
      <c r="J682" t="str" cm="1">
        <f t="array" ref="J682">_xlfn.IFS(I682&lt;=0,"No Dependents",I682&lt;=1,"One",I682&lt;=2,"Two",I682&gt;=3,"Third")</f>
        <v>One</v>
      </c>
      <c r="K682">
        <v>729</v>
      </c>
      <c r="L682" t="str" cm="1">
        <f t="array" ref="L682">_xlfn.IFS(K682&lt;=580,"Poor",K682&lt;=670,"fair",K682&lt;=740,"Good",K682&lt;=800,"Very Good",K682&gt;=800,"Excellent")</f>
        <v>Good</v>
      </c>
      <c r="M682">
        <v>0</v>
      </c>
      <c r="N682" t="str">
        <f t="shared" si="41"/>
        <v>No</v>
      </c>
      <c r="O682">
        <v>0.24</v>
      </c>
      <c r="P682" t="str" cm="1">
        <f t="array" ref="P682">_xlfn.IFS(O682&lt;=0.3,"Low Risk",O682&lt;=0.4,"medium Risk",O682&lt;=0.5,"High Risk",O682&gt;0.5,"Very High Risk")</f>
        <v>Low Risk</v>
      </c>
      <c r="Q682">
        <v>660</v>
      </c>
      <c r="R682">
        <v>6877</v>
      </c>
      <c r="S682" t="str">
        <f t="shared" si="42"/>
        <v>Yes</v>
      </c>
      <c r="T682">
        <v>30989</v>
      </c>
      <c r="U682" t="str" cm="1">
        <f t="array" ref="U682">_xlfn.IFS(T682&lt;5000,"Small",T682&lt;20000,"Medium",T682&lt;35000,"Large",T682&gt;35000,"Very Large")</f>
        <v>Large</v>
      </c>
      <c r="V682">
        <v>48</v>
      </c>
      <c r="W682">
        <f t="shared" si="43"/>
        <v>4</v>
      </c>
      <c r="X682" t="s">
        <v>50</v>
      </c>
      <c r="Y682" t="s">
        <v>38</v>
      </c>
      <c r="Z682" t="s">
        <v>33</v>
      </c>
      <c r="AA682" t="s">
        <v>34</v>
      </c>
      <c r="AB682" t="s">
        <v>42</v>
      </c>
      <c r="AC682" t="s">
        <v>44</v>
      </c>
    </row>
    <row r="683" spans="1:29" x14ac:dyDescent="0.25">
      <c r="A683">
        <v>720</v>
      </c>
      <c r="B683">
        <v>3605</v>
      </c>
      <c r="C683">
        <v>5243</v>
      </c>
      <c r="D683">
        <f t="shared" si="40"/>
        <v>8848</v>
      </c>
      <c r="E683" t="s">
        <v>29</v>
      </c>
      <c r="F683">
        <v>30</v>
      </c>
      <c r="G683" t="str" cm="1">
        <f t="array" ref="G683">_xlfn.IFS(F683&lt;25,"18-24",F683&lt;35,"25-35",F683&lt;45,"35-44",F683&lt;55,"44-54",F683&gt;=55,"55+")</f>
        <v>25-35</v>
      </c>
      <c r="H683" t="s">
        <v>30</v>
      </c>
      <c r="I683">
        <v>0</v>
      </c>
      <c r="J683" t="str" cm="1">
        <f t="array" ref="J683">_xlfn.IFS(I683&lt;=0,"No Dependents",I683&lt;=1,"One",I683&lt;=2,"Two",I683&gt;=3,"Third")</f>
        <v>No Dependents</v>
      </c>
      <c r="K683">
        <v>615</v>
      </c>
      <c r="L683" t="str" cm="1">
        <f t="array" ref="L683">_xlfn.IFS(K683&lt;=580,"Poor",K683&lt;=670,"fair",K683&lt;=740,"Good",K683&lt;=800,"Very Good",K683&gt;=800,"Excellent")</f>
        <v>fair</v>
      </c>
      <c r="M683">
        <v>0</v>
      </c>
      <c r="N683" t="str">
        <f t="shared" si="41"/>
        <v>No</v>
      </c>
      <c r="O683">
        <v>0.33</v>
      </c>
      <c r="P683" t="str" cm="1">
        <f t="array" ref="P683">_xlfn.IFS(O683&lt;=0.3,"Low Risk",O683&lt;=0.4,"medium Risk",O683&lt;=0.5,"High Risk",O683&gt;0.5,"Very High Risk")</f>
        <v>medium Risk</v>
      </c>
      <c r="Q683">
        <v>8907</v>
      </c>
      <c r="R683">
        <v>33642</v>
      </c>
      <c r="S683" t="str">
        <f t="shared" si="42"/>
        <v>Yes</v>
      </c>
      <c r="T683">
        <v>9078</v>
      </c>
      <c r="U683" t="str" cm="1">
        <f t="array" ref="U683">_xlfn.IFS(T683&lt;5000,"Small",T683&lt;20000,"Medium",T683&lt;35000,"Large",T683&gt;35000,"Very Large")</f>
        <v>Medium</v>
      </c>
      <c r="V683">
        <v>48</v>
      </c>
      <c r="W683">
        <f t="shared" si="43"/>
        <v>4</v>
      </c>
      <c r="X683" t="s">
        <v>47</v>
      </c>
      <c r="Y683" t="s">
        <v>32</v>
      </c>
      <c r="Z683" t="s">
        <v>39</v>
      </c>
      <c r="AA683" t="s">
        <v>40</v>
      </c>
      <c r="AB683" t="s">
        <v>43</v>
      </c>
      <c r="AC683" t="s">
        <v>36</v>
      </c>
    </row>
    <row r="684" spans="1:29" x14ac:dyDescent="0.25">
      <c r="A684">
        <v>721</v>
      </c>
      <c r="B684">
        <v>7622</v>
      </c>
      <c r="C684">
        <v>6542</v>
      </c>
      <c r="D684">
        <f t="shared" si="40"/>
        <v>14164</v>
      </c>
      <c r="E684" t="s">
        <v>29</v>
      </c>
      <c r="F684">
        <v>59</v>
      </c>
      <c r="G684" t="str" cm="1">
        <f t="array" ref="G684">_xlfn.IFS(F684&lt;25,"18-24",F684&lt;35,"25-35",F684&lt;45,"35-44",F684&lt;55,"44-54",F684&gt;=55,"55+")</f>
        <v>55+</v>
      </c>
      <c r="H684" t="s">
        <v>41</v>
      </c>
      <c r="I684">
        <v>0</v>
      </c>
      <c r="J684" t="str" cm="1">
        <f t="array" ref="J684">_xlfn.IFS(I684&lt;=0,"No Dependents",I684&lt;=1,"One",I684&lt;=2,"Two",I684&gt;=3,"Third")</f>
        <v>No Dependents</v>
      </c>
      <c r="K684">
        <v>601</v>
      </c>
      <c r="L684" t="str" cm="1">
        <f t="array" ref="L684">_xlfn.IFS(K684&lt;=580,"Poor",K684&lt;=670,"fair",K684&lt;=740,"Good",K684&lt;=800,"Very Good",K684&gt;=800,"Excellent")</f>
        <v>fair</v>
      </c>
      <c r="M684">
        <v>2</v>
      </c>
      <c r="N684" t="str">
        <f t="shared" si="41"/>
        <v>Yes</v>
      </c>
      <c r="O684">
        <v>0.44</v>
      </c>
      <c r="P684" t="str" cm="1">
        <f t="array" ref="P684">_xlfn.IFS(O684&lt;=0.3,"Low Risk",O684&lt;=0.4,"medium Risk",O684&lt;=0.5,"High Risk",O684&gt;0.5,"Very High Risk")</f>
        <v>High Risk</v>
      </c>
      <c r="Q684">
        <v>6922</v>
      </c>
      <c r="R684">
        <v>38311</v>
      </c>
      <c r="S684" t="str">
        <f t="shared" si="42"/>
        <v>Yes</v>
      </c>
      <c r="T684">
        <v>27118</v>
      </c>
      <c r="U684" t="str" cm="1">
        <f t="array" ref="U684">_xlfn.IFS(T684&lt;5000,"Small",T684&lt;20000,"Medium",T684&lt;35000,"Large",T684&gt;35000,"Very Large")</f>
        <v>Large</v>
      </c>
      <c r="V684">
        <v>60</v>
      </c>
      <c r="W684">
        <f t="shared" si="43"/>
        <v>5</v>
      </c>
      <c r="X684" t="s">
        <v>50</v>
      </c>
      <c r="Y684" t="s">
        <v>32</v>
      </c>
      <c r="Z684" t="s">
        <v>39</v>
      </c>
      <c r="AA684" t="s">
        <v>40</v>
      </c>
      <c r="AB684" t="s">
        <v>35</v>
      </c>
      <c r="AC684" t="s">
        <v>36</v>
      </c>
    </row>
    <row r="685" spans="1:29" x14ac:dyDescent="0.25">
      <c r="A685">
        <v>722</v>
      </c>
      <c r="B685">
        <v>8767</v>
      </c>
      <c r="C685">
        <v>6936</v>
      </c>
      <c r="D685">
        <f t="shared" si="40"/>
        <v>15703</v>
      </c>
      <c r="E685" t="s">
        <v>49</v>
      </c>
      <c r="F685">
        <v>35</v>
      </c>
      <c r="G685" t="str" cm="1">
        <f t="array" ref="G685">_xlfn.IFS(F685&lt;25,"18-24",F685&lt;35,"25-35",F685&lt;45,"35-44",F685&lt;55,"44-54",F685&gt;=55,"55+")</f>
        <v>35-44</v>
      </c>
      <c r="H685" t="s">
        <v>41</v>
      </c>
      <c r="I685">
        <v>3</v>
      </c>
      <c r="J685" t="str" cm="1">
        <f t="array" ref="J685">_xlfn.IFS(I685&lt;=0,"No Dependents",I685&lt;=1,"One",I685&lt;=2,"Two",I685&gt;=3,"Third")</f>
        <v>Third</v>
      </c>
      <c r="K685">
        <v>641</v>
      </c>
      <c r="L685" t="str" cm="1">
        <f t="array" ref="L685">_xlfn.IFS(K685&lt;=580,"Poor",K685&lt;=670,"fair",K685&lt;=740,"Good",K685&lt;=800,"Very Good",K685&gt;=800,"Excellent")</f>
        <v>fair</v>
      </c>
      <c r="M685">
        <v>1</v>
      </c>
      <c r="N685" t="str">
        <f t="shared" si="41"/>
        <v>Yes</v>
      </c>
      <c r="O685">
        <v>0.18</v>
      </c>
      <c r="P685" t="str" cm="1">
        <f t="array" ref="P685">_xlfn.IFS(O685&lt;=0.3,"Low Risk",O685&lt;=0.4,"medium Risk",O685&lt;=0.5,"High Risk",O685&gt;0.5,"Very High Risk")</f>
        <v>Low Risk</v>
      </c>
      <c r="Q685">
        <v>11953</v>
      </c>
      <c r="R685">
        <v>32356</v>
      </c>
      <c r="S685" t="str">
        <f t="shared" si="42"/>
        <v>Yes</v>
      </c>
      <c r="T685">
        <v>24985</v>
      </c>
      <c r="U685" t="str" cm="1">
        <f t="array" ref="U685">_xlfn.IFS(T685&lt;5000,"Small",T685&lt;20000,"Medium",T685&lt;35000,"Large",T685&gt;35000,"Very Large")</f>
        <v>Large</v>
      </c>
      <c r="V685">
        <v>24</v>
      </c>
      <c r="W685">
        <f t="shared" si="43"/>
        <v>2</v>
      </c>
      <c r="X685" t="s">
        <v>47</v>
      </c>
      <c r="Y685" t="s">
        <v>45</v>
      </c>
      <c r="Z685" t="s">
        <v>39</v>
      </c>
      <c r="AA685" t="s">
        <v>34</v>
      </c>
      <c r="AB685" t="s">
        <v>42</v>
      </c>
      <c r="AC685" t="s">
        <v>36</v>
      </c>
    </row>
    <row r="686" spans="1:29" x14ac:dyDescent="0.25">
      <c r="A686">
        <v>723</v>
      </c>
      <c r="B686">
        <v>13613</v>
      </c>
      <c r="C686">
        <v>8906</v>
      </c>
      <c r="D686">
        <f t="shared" si="40"/>
        <v>22519</v>
      </c>
      <c r="E686" t="s">
        <v>46</v>
      </c>
      <c r="F686">
        <v>35</v>
      </c>
      <c r="G686" t="str" cm="1">
        <f t="array" ref="G686">_xlfn.IFS(F686&lt;25,"18-24",F686&lt;35,"25-35",F686&lt;45,"35-44",F686&lt;55,"44-54",F686&gt;=55,"55+")</f>
        <v>35-44</v>
      </c>
      <c r="H686" t="s">
        <v>30</v>
      </c>
      <c r="I686">
        <v>2</v>
      </c>
      <c r="J686" t="str" cm="1">
        <f t="array" ref="J686">_xlfn.IFS(I686&lt;=0,"No Dependents",I686&lt;=1,"One",I686&lt;=2,"Two",I686&gt;=3,"Third")</f>
        <v>Two</v>
      </c>
      <c r="K686">
        <v>720</v>
      </c>
      <c r="L686" t="str" cm="1">
        <f t="array" ref="L686">_xlfn.IFS(K686&lt;=580,"Poor",K686&lt;=670,"fair",K686&lt;=740,"Good",K686&lt;=800,"Very Good",K686&gt;=800,"Excellent")</f>
        <v>Good</v>
      </c>
      <c r="M686">
        <v>2</v>
      </c>
      <c r="N686" t="str">
        <f t="shared" si="41"/>
        <v>Yes</v>
      </c>
      <c r="O686">
        <v>0.34</v>
      </c>
      <c r="P686" t="str" cm="1">
        <f t="array" ref="P686">_xlfn.IFS(O686&lt;=0.3,"Low Risk",O686&lt;=0.4,"medium Risk",O686&lt;=0.5,"High Risk",O686&gt;0.5,"Very High Risk")</f>
        <v>medium Risk</v>
      </c>
      <c r="Q686">
        <v>18913</v>
      </c>
      <c r="R686">
        <v>3809</v>
      </c>
      <c r="S686" t="str">
        <f t="shared" si="42"/>
        <v>Yes</v>
      </c>
      <c r="T686">
        <v>17997</v>
      </c>
      <c r="U686" t="str" cm="1">
        <f t="array" ref="U686">_xlfn.IFS(T686&lt;5000,"Small",T686&lt;20000,"Medium",T686&lt;35000,"Large",T686&gt;35000,"Very Large")</f>
        <v>Medium</v>
      </c>
      <c r="V686">
        <v>84</v>
      </c>
      <c r="W686">
        <f t="shared" si="43"/>
        <v>7</v>
      </c>
      <c r="X686" t="s">
        <v>37</v>
      </c>
      <c r="Y686" t="s">
        <v>32</v>
      </c>
      <c r="Z686" t="s">
        <v>33</v>
      </c>
      <c r="AA686" t="s">
        <v>34</v>
      </c>
      <c r="AB686" t="s">
        <v>42</v>
      </c>
      <c r="AC686" t="s">
        <v>44</v>
      </c>
    </row>
    <row r="687" spans="1:29" x14ac:dyDescent="0.25">
      <c r="A687">
        <v>724</v>
      </c>
      <c r="B687">
        <v>12589</v>
      </c>
      <c r="C687">
        <v>4146</v>
      </c>
      <c r="D687">
        <f t="shared" si="40"/>
        <v>16735</v>
      </c>
      <c r="E687" t="s">
        <v>29</v>
      </c>
      <c r="F687">
        <v>24</v>
      </c>
      <c r="G687" t="str" cm="1">
        <f t="array" ref="G687">_xlfn.IFS(F687&lt;25,"18-24",F687&lt;35,"25-35",F687&lt;45,"35-44",F687&lt;55,"44-54",F687&gt;=55,"55+")</f>
        <v>18-24</v>
      </c>
      <c r="H687" t="s">
        <v>41</v>
      </c>
      <c r="I687">
        <v>2</v>
      </c>
      <c r="J687" t="str" cm="1">
        <f t="array" ref="J687">_xlfn.IFS(I687&lt;=0,"No Dependents",I687&lt;=1,"One",I687&lt;=2,"Two",I687&gt;=3,"Third")</f>
        <v>Two</v>
      </c>
      <c r="K687">
        <v>767</v>
      </c>
      <c r="L687" t="str" cm="1">
        <f t="array" ref="L687">_xlfn.IFS(K687&lt;=580,"Poor",K687&lt;=670,"fair",K687&lt;=740,"Good",K687&lt;=800,"Very Good",K687&gt;=800,"Excellent")</f>
        <v>Very Good</v>
      </c>
      <c r="M687">
        <v>3</v>
      </c>
      <c r="N687" t="str">
        <f t="shared" si="41"/>
        <v>Yes</v>
      </c>
      <c r="O687">
        <v>0.47</v>
      </c>
      <c r="P687" t="str" cm="1">
        <f t="array" ref="P687">_xlfn.IFS(O687&lt;=0.3,"Low Risk",O687&lt;=0.4,"medium Risk",O687&lt;=0.5,"High Risk",O687&gt;0.5,"Very High Risk")</f>
        <v>High Risk</v>
      </c>
      <c r="Q687">
        <v>3970</v>
      </c>
      <c r="R687">
        <v>43371</v>
      </c>
      <c r="S687" t="str">
        <f t="shared" si="42"/>
        <v>Yes</v>
      </c>
      <c r="T687">
        <v>15274</v>
      </c>
      <c r="U687" t="str" cm="1">
        <f t="array" ref="U687">_xlfn.IFS(T687&lt;5000,"Small",T687&lt;20000,"Medium",T687&lt;35000,"Large",T687&gt;35000,"Very Large")</f>
        <v>Medium</v>
      </c>
      <c r="V687">
        <v>84</v>
      </c>
      <c r="W687">
        <f t="shared" si="43"/>
        <v>7</v>
      </c>
      <c r="X687" t="s">
        <v>42</v>
      </c>
      <c r="Y687" t="s">
        <v>32</v>
      </c>
      <c r="Z687" t="s">
        <v>33</v>
      </c>
      <c r="AA687" t="s">
        <v>40</v>
      </c>
      <c r="AB687" t="s">
        <v>35</v>
      </c>
      <c r="AC687" t="s">
        <v>36</v>
      </c>
    </row>
    <row r="688" spans="1:29" x14ac:dyDescent="0.25">
      <c r="A688">
        <v>725</v>
      </c>
      <c r="B688">
        <v>15918</v>
      </c>
      <c r="C688">
        <v>140</v>
      </c>
      <c r="D688">
        <f t="shared" si="40"/>
        <v>16058</v>
      </c>
      <c r="E688" t="s">
        <v>46</v>
      </c>
      <c r="F688">
        <v>52</v>
      </c>
      <c r="G688" t="str" cm="1">
        <f t="array" ref="G688">_xlfn.IFS(F688&lt;25,"18-24",F688&lt;35,"25-35",F688&lt;45,"35-44",F688&lt;55,"44-54",F688&gt;=55,"55+")</f>
        <v>44-54</v>
      </c>
      <c r="H688" t="s">
        <v>30</v>
      </c>
      <c r="I688">
        <v>3</v>
      </c>
      <c r="J688" t="str" cm="1">
        <f t="array" ref="J688">_xlfn.IFS(I688&lt;=0,"No Dependents",I688&lt;=1,"One",I688&lt;=2,"Two",I688&gt;=3,"Third")</f>
        <v>Third</v>
      </c>
      <c r="K688">
        <v>571</v>
      </c>
      <c r="L688" t="str" cm="1">
        <f t="array" ref="L688">_xlfn.IFS(K688&lt;=580,"Poor",K688&lt;=670,"fair",K688&lt;=740,"Good",K688&lt;=800,"Very Good",K688&gt;=800,"Excellent")</f>
        <v>Poor</v>
      </c>
      <c r="M688">
        <v>3</v>
      </c>
      <c r="N688" t="str">
        <f t="shared" si="41"/>
        <v>Yes</v>
      </c>
      <c r="O688">
        <v>0.53</v>
      </c>
      <c r="P688" t="str" cm="1">
        <f t="array" ref="P688">_xlfn.IFS(O688&lt;=0.3,"Low Risk",O688&lt;=0.4,"medium Risk",O688&lt;=0.5,"High Risk",O688&gt;0.5,"Very High Risk")</f>
        <v>Very High Risk</v>
      </c>
      <c r="Q688">
        <v>3407</v>
      </c>
      <c r="R688">
        <v>34875</v>
      </c>
      <c r="S688" t="str">
        <f t="shared" si="42"/>
        <v>Yes</v>
      </c>
      <c r="T688">
        <v>1868</v>
      </c>
      <c r="U688" t="str" cm="1">
        <f t="array" ref="U688">_xlfn.IFS(T688&lt;5000,"Small",T688&lt;20000,"Medium",T688&lt;35000,"Large",T688&gt;35000,"Very Large")</f>
        <v>Small</v>
      </c>
      <c r="V688">
        <v>60</v>
      </c>
      <c r="W688">
        <f t="shared" si="43"/>
        <v>5</v>
      </c>
      <c r="X688" t="s">
        <v>42</v>
      </c>
      <c r="Y688" t="s">
        <v>45</v>
      </c>
      <c r="Z688" t="s">
        <v>33</v>
      </c>
      <c r="AA688" t="s">
        <v>40</v>
      </c>
      <c r="AB688" t="s">
        <v>35</v>
      </c>
      <c r="AC688" t="s">
        <v>36</v>
      </c>
    </row>
    <row r="689" spans="1:29" x14ac:dyDescent="0.25">
      <c r="A689">
        <v>726</v>
      </c>
      <c r="B689">
        <v>15046</v>
      </c>
      <c r="C689">
        <v>4882</v>
      </c>
      <c r="D689">
        <f t="shared" si="40"/>
        <v>19928</v>
      </c>
      <c r="E689" t="s">
        <v>29</v>
      </c>
      <c r="F689">
        <v>43</v>
      </c>
      <c r="G689" t="str" cm="1">
        <f t="array" ref="G689">_xlfn.IFS(F689&lt;25,"18-24",F689&lt;35,"25-35",F689&lt;45,"35-44",F689&lt;55,"44-54",F689&gt;=55,"55+")</f>
        <v>35-44</v>
      </c>
      <c r="H689" t="s">
        <v>30</v>
      </c>
      <c r="I689">
        <v>3</v>
      </c>
      <c r="J689" t="str" cm="1">
        <f t="array" ref="J689">_xlfn.IFS(I689&lt;=0,"No Dependents",I689&lt;=1,"One",I689&lt;=2,"Two",I689&gt;=3,"Third")</f>
        <v>Third</v>
      </c>
      <c r="K689">
        <v>660</v>
      </c>
      <c r="L689" t="str" cm="1">
        <f t="array" ref="L689">_xlfn.IFS(K689&lt;=580,"Poor",K689&lt;=670,"fair",K689&lt;=740,"Good",K689&lt;=800,"Very Good",K689&gt;=800,"Excellent")</f>
        <v>fair</v>
      </c>
      <c r="M689">
        <v>3</v>
      </c>
      <c r="N689" t="str">
        <f t="shared" si="41"/>
        <v>Yes</v>
      </c>
      <c r="O689">
        <v>0.41</v>
      </c>
      <c r="P689" t="str" cm="1">
        <f t="array" ref="P689">_xlfn.IFS(O689&lt;=0.3,"Low Risk",O689&lt;=0.4,"medium Risk",O689&lt;=0.5,"High Risk",O689&gt;0.5,"Very High Risk")</f>
        <v>High Risk</v>
      </c>
      <c r="Q689">
        <v>0</v>
      </c>
      <c r="R689">
        <v>44513</v>
      </c>
      <c r="S689" t="str">
        <f t="shared" si="42"/>
        <v>Yes</v>
      </c>
      <c r="T689">
        <v>27398</v>
      </c>
      <c r="U689" t="str" cm="1">
        <f t="array" ref="U689">_xlfn.IFS(T689&lt;5000,"Small",T689&lt;20000,"Medium",T689&lt;35000,"Large",T689&gt;35000,"Very Large")</f>
        <v>Large</v>
      </c>
      <c r="V689">
        <v>72</v>
      </c>
      <c r="W689">
        <f t="shared" si="43"/>
        <v>6</v>
      </c>
      <c r="X689" t="s">
        <v>42</v>
      </c>
      <c r="Y689" t="s">
        <v>32</v>
      </c>
      <c r="Z689" t="s">
        <v>39</v>
      </c>
      <c r="AA689" t="s">
        <v>34</v>
      </c>
      <c r="AB689" t="s">
        <v>42</v>
      </c>
      <c r="AC689" t="s">
        <v>36</v>
      </c>
    </row>
    <row r="690" spans="1:29" x14ac:dyDescent="0.25">
      <c r="A690">
        <v>727</v>
      </c>
      <c r="B690">
        <v>4590</v>
      </c>
      <c r="C690">
        <v>6012</v>
      </c>
      <c r="D690">
        <f t="shared" si="40"/>
        <v>10602</v>
      </c>
      <c r="E690" t="s">
        <v>29</v>
      </c>
      <c r="F690">
        <v>26</v>
      </c>
      <c r="G690" t="str" cm="1">
        <f t="array" ref="G690">_xlfn.IFS(F690&lt;25,"18-24",F690&lt;35,"25-35",F690&lt;45,"35-44",F690&lt;55,"44-54",F690&gt;=55,"55+")</f>
        <v>25-35</v>
      </c>
      <c r="H690" t="s">
        <v>30</v>
      </c>
      <c r="I690">
        <v>0</v>
      </c>
      <c r="J690" t="str" cm="1">
        <f t="array" ref="J690">_xlfn.IFS(I690&lt;=0,"No Dependents",I690&lt;=1,"One",I690&lt;=2,"Two",I690&gt;=3,"Third")</f>
        <v>No Dependents</v>
      </c>
      <c r="K690">
        <v>656</v>
      </c>
      <c r="L690" t="str" cm="1">
        <f t="array" ref="L690">_xlfn.IFS(K690&lt;=580,"Poor",K690&lt;=670,"fair",K690&lt;=740,"Good",K690&lt;=800,"Very Good",K690&gt;=800,"Excellent")</f>
        <v>fair</v>
      </c>
      <c r="M690">
        <v>4</v>
      </c>
      <c r="N690" t="str">
        <f t="shared" si="41"/>
        <v>Yes</v>
      </c>
      <c r="O690">
        <v>0.43</v>
      </c>
      <c r="P690" t="str" cm="1">
        <f t="array" ref="P690">_xlfn.IFS(O690&lt;=0.3,"Low Risk",O690&lt;=0.4,"medium Risk",O690&lt;=0.5,"High Risk",O690&gt;0.5,"Very High Risk")</f>
        <v>High Risk</v>
      </c>
      <c r="Q690">
        <v>14547</v>
      </c>
      <c r="R690">
        <v>9465</v>
      </c>
      <c r="S690" t="str">
        <f t="shared" si="42"/>
        <v>Yes</v>
      </c>
      <c r="T690">
        <v>17042</v>
      </c>
      <c r="U690" t="str" cm="1">
        <f t="array" ref="U690">_xlfn.IFS(T690&lt;5000,"Small",T690&lt;20000,"Medium",T690&lt;35000,"Large",T690&gt;35000,"Very Large")</f>
        <v>Medium</v>
      </c>
      <c r="V690">
        <v>48</v>
      </c>
      <c r="W690">
        <f t="shared" si="43"/>
        <v>4</v>
      </c>
      <c r="X690" t="s">
        <v>42</v>
      </c>
      <c r="Y690" t="s">
        <v>45</v>
      </c>
      <c r="Z690" t="s">
        <v>33</v>
      </c>
      <c r="AA690" t="s">
        <v>34</v>
      </c>
      <c r="AB690" t="s">
        <v>51</v>
      </c>
      <c r="AC690" t="s">
        <v>36</v>
      </c>
    </row>
    <row r="691" spans="1:29" x14ac:dyDescent="0.25">
      <c r="A691">
        <v>728</v>
      </c>
      <c r="B691">
        <v>19447</v>
      </c>
      <c r="C691">
        <v>963</v>
      </c>
      <c r="D691">
        <f t="shared" si="40"/>
        <v>20410</v>
      </c>
      <c r="E691" t="s">
        <v>48</v>
      </c>
      <c r="F691">
        <v>44</v>
      </c>
      <c r="G691" t="str" cm="1">
        <f t="array" ref="G691">_xlfn.IFS(F691&lt;25,"18-24",F691&lt;35,"25-35",F691&lt;45,"35-44",F691&lt;55,"44-54",F691&gt;=55,"55+")</f>
        <v>35-44</v>
      </c>
      <c r="H691" t="s">
        <v>30</v>
      </c>
      <c r="I691">
        <v>1</v>
      </c>
      <c r="J691" t="str" cm="1">
        <f t="array" ref="J691">_xlfn.IFS(I691&lt;=0,"No Dependents",I691&lt;=1,"One",I691&lt;=2,"Two",I691&gt;=3,"Third")</f>
        <v>One</v>
      </c>
      <c r="K691">
        <v>732</v>
      </c>
      <c r="L691" t="str" cm="1">
        <f t="array" ref="L691">_xlfn.IFS(K691&lt;=580,"Poor",K691&lt;=670,"fair",K691&lt;=740,"Good",K691&lt;=800,"Very Good",K691&gt;=800,"Excellent")</f>
        <v>Good</v>
      </c>
      <c r="M691">
        <v>1</v>
      </c>
      <c r="N691" t="str">
        <f t="shared" si="41"/>
        <v>Yes</v>
      </c>
      <c r="O691">
        <v>0.16</v>
      </c>
      <c r="P691" t="str" cm="1">
        <f t="array" ref="P691">_xlfn.IFS(O691&lt;=0.3,"Low Risk",O691&lt;=0.4,"medium Risk",O691&lt;=0.5,"High Risk",O691&gt;0.5,"Very High Risk")</f>
        <v>Low Risk</v>
      </c>
      <c r="Q691">
        <v>4760</v>
      </c>
      <c r="R691">
        <v>559</v>
      </c>
      <c r="S691" t="str">
        <f t="shared" si="42"/>
        <v>Yes</v>
      </c>
      <c r="T691">
        <v>32820</v>
      </c>
      <c r="U691" t="str" cm="1">
        <f t="array" ref="U691">_xlfn.IFS(T691&lt;5000,"Small",T691&lt;20000,"Medium",T691&lt;35000,"Large",T691&gt;35000,"Very Large")</f>
        <v>Large</v>
      </c>
      <c r="V691">
        <v>48</v>
      </c>
      <c r="W691">
        <f t="shared" si="43"/>
        <v>4</v>
      </c>
      <c r="X691" t="s">
        <v>31</v>
      </c>
      <c r="Y691" t="s">
        <v>32</v>
      </c>
      <c r="Z691" t="s">
        <v>39</v>
      </c>
      <c r="AA691" t="s">
        <v>40</v>
      </c>
      <c r="AB691" t="s">
        <v>35</v>
      </c>
      <c r="AC691" t="s">
        <v>44</v>
      </c>
    </row>
    <row r="692" spans="1:29" x14ac:dyDescent="0.25">
      <c r="A692">
        <v>729</v>
      </c>
      <c r="B692">
        <v>6324</v>
      </c>
      <c r="C692">
        <v>7151</v>
      </c>
      <c r="D692">
        <f t="shared" si="40"/>
        <v>13475</v>
      </c>
      <c r="E692" t="s">
        <v>48</v>
      </c>
      <c r="F692">
        <v>40</v>
      </c>
      <c r="G692" t="str" cm="1">
        <f t="array" ref="G692">_xlfn.IFS(F692&lt;25,"18-24",F692&lt;35,"25-35",F692&lt;45,"35-44",F692&lt;55,"44-54",F692&gt;=55,"55+")</f>
        <v>35-44</v>
      </c>
      <c r="H692" t="s">
        <v>30</v>
      </c>
      <c r="I692">
        <v>2</v>
      </c>
      <c r="J692" t="str" cm="1">
        <f t="array" ref="J692">_xlfn.IFS(I692&lt;=0,"No Dependents",I692&lt;=1,"One",I692&lt;=2,"Two",I692&gt;=3,"Third")</f>
        <v>Two</v>
      </c>
      <c r="K692">
        <v>616</v>
      </c>
      <c r="L692" t="str" cm="1">
        <f t="array" ref="L692">_xlfn.IFS(K692&lt;=580,"Poor",K692&lt;=670,"fair",K692&lt;=740,"Good",K692&lt;=800,"Very Good",K692&gt;=800,"Excellent")</f>
        <v>fair</v>
      </c>
      <c r="M692">
        <v>1</v>
      </c>
      <c r="N692" t="str">
        <f t="shared" si="41"/>
        <v>Yes</v>
      </c>
      <c r="O692">
        <v>0.56999999999999995</v>
      </c>
      <c r="P692" t="str" cm="1">
        <f t="array" ref="P692">_xlfn.IFS(O692&lt;=0.3,"Low Risk",O692&lt;=0.4,"medium Risk",O692&lt;=0.5,"High Risk",O692&gt;0.5,"Very High Risk")</f>
        <v>Very High Risk</v>
      </c>
      <c r="Q692">
        <v>18281</v>
      </c>
      <c r="R692">
        <v>8308</v>
      </c>
      <c r="S692" t="str">
        <f t="shared" si="42"/>
        <v>Yes</v>
      </c>
      <c r="T692">
        <v>22246</v>
      </c>
      <c r="U692" t="str" cm="1">
        <f t="array" ref="U692">_xlfn.IFS(T692&lt;5000,"Small",T692&lt;20000,"Medium",T692&lt;35000,"Large",T692&gt;35000,"Very Large")</f>
        <v>Large</v>
      </c>
      <c r="V692">
        <v>60</v>
      </c>
      <c r="W692">
        <f t="shared" si="43"/>
        <v>5</v>
      </c>
      <c r="X692" t="s">
        <v>47</v>
      </c>
      <c r="Y692" t="s">
        <v>38</v>
      </c>
      <c r="Z692" t="s">
        <v>39</v>
      </c>
      <c r="AA692" t="s">
        <v>40</v>
      </c>
      <c r="AB692" t="s">
        <v>35</v>
      </c>
      <c r="AC692" t="s">
        <v>36</v>
      </c>
    </row>
    <row r="693" spans="1:29" x14ac:dyDescent="0.25">
      <c r="A693">
        <v>730</v>
      </c>
      <c r="B693">
        <v>12787</v>
      </c>
      <c r="C693">
        <v>8564</v>
      </c>
      <c r="D693">
        <f t="shared" si="40"/>
        <v>21351</v>
      </c>
      <c r="E693" t="s">
        <v>46</v>
      </c>
      <c r="F693">
        <v>57</v>
      </c>
      <c r="G693" t="str" cm="1">
        <f t="array" ref="G693">_xlfn.IFS(F693&lt;25,"18-24",F693&lt;35,"25-35",F693&lt;45,"35-44",F693&lt;55,"44-54",F693&gt;=55,"55+")</f>
        <v>55+</v>
      </c>
      <c r="H693" t="s">
        <v>41</v>
      </c>
      <c r="I693">
        <v>0</v>
      </c>
      <c r="J693" t="str" cm="1">
        <f t="array" ref="J693">_xlfn.IFS(I693&lt;=0,"No Dependents",I693&lt;=1,"One",I693&lt;=2,"Two",I693&gt;=3,"Third")</f>
        <v>No Dependents</v>
      </c>
      <c r="K693">
        <v>776</v>
      </c>
      <c r="L693" t="str" cm="1">
        <f t="array" ref="L693">_xlfn.IFS(K693&lt;=580,"Poor",K693&lt;=670,"fair",K693&lt;=740,"Good",K693&lt;=800,"Very Good",K693&gt;=800,"Excellent")</f>
        <v>Very Good</v>
      </c>
      <c r="M693">
        <v>4</v>
      </c>
      <c r="N693" t="str">
        <f t="shared" si="41"/>
        <v>Yes</v>
      </c>
      <c r="O693">
        <v>0.17</v>
      </c>
      <c r="P693" t="str" cm="1">
        <f t="array" ref="P693">_xlfn.IFS(O693&lt;=0.3,"Low Risk",O693&lt;=0.4,"medium Risk",O693&lt;=0.5,"High Risk",O693&gt;0.5,"Very High Risk")</f>
        <v>Low Risk</v>
      </c>
      <c r="Q693">
        <v>13465</v>
      </c>
      <c r="R693">
        <v>21353</v>
      </c>
      <c r="S693" t="str">
        <f t="shared" si="42"/>
        <v>Yes</v>
      </c>
      <c r="T693">
        <v>21561</v>
      </c>
      <c r="U693" t="str" cm="1">
        <f t="array" ref="U693">_xlfn.IFS(T693&lt;5000,"Small",T693&lt;20000,"Medium",T693&lt;35000,"Large",T693&gt;35000,"Very Large")</f>
        <v>Large</v>
      </c>
      <c r="V693">
        <v>48</v>
      </c>
      <c r="W693">
        <f t="shared" si="43"/>
        <v>4</v>
      </c>
      <c r="X693" t="s">
        <v>42</v>
      </c>
      <c r="Y693" t="s">
        <v>38</v>
      </c>
      <c r="Z693" t="s">
        <v>39</v>
      </c>
      <c r="AA693" t="s">
        <v>34</v>
      </c>
      <c r="AB693" t="s">
        <v>43</v>
      </c>
      <c r="AC693" t="s">
        <v>44</v>
      </c>
    </row>
    <row r="694" spans="1:29" x14ac:dyDescent="0.25">
      <c r="A694">
        <v>731</v>
      </c>
      <c r="B694">
        <v>11111</v>
      </c>
      <c r="C694">
        <v>3610</v>
      </c>
      <c r="D694">
        <f t="shared" si="40"/>
        <v>14721</v>
      </c>
      <c r="E694" t="s">
        <v>29</v>
      </c>
      <c r="F694">
        <v>40</v>
      </c>
      <c r="G694" t="str" cm="1">
        <f t="array" ref="G694">_xlfn.IFS(F694&lt;25,"18-24",F694&lt;35,"25-35",F694&lt;45,"35-44",F694&lt;55,"44-54",F694&gt;=55,"55+")</f>
        <v>35-44</v>
      </c>
      <c r="H694" t="s">
        <v>30</v>
      </c>
      <c r="I694">
        <v>1</v>
      </c>
      <c r="J694" t="str" cm="1">
        <f t="array" ref="J694">_xlfn.IFS(I694&lt;=0,"No Dependents",I694&lt;=1,"One",I694&lt;=2,"Two",I694&gt;=3,"Third")</f>
        <v>One</v>
      </c>
      <c r="K694">
        <v>737</v>
      </c>
      <c r="L694" t="str" cm="1">
        <f t="array" ref="L694">_xlfn.IFS(K694&lt;=580,"Poor",K694&lt;=670,"fair",K694&lt;=740,"Good",K694&lt;=800,"Very Good",K694&gt;=800,"Excellent")</f>
        <v>Good</v>
      </c>
      <c r="M694">
        <v>0</v>
      </c>
      <c r="N694" t="str">
        <f t="shared" si="41"/>
        <v>No</v>
      </c>
      <c r="O694">
        <v>0.49</v>
      </c>
      <c r="P694" t="str" cm="1">
        <f t="array" ref="P694">_xlfn.IFS(O694&lt;=0.3,"Low Risk",O694&lt;=0.4,"medium Risk",O694&lt;=0.5,"High Risk",O694&gt;0.5,"Very High Risk")</f>
        <v>High Risk</v>
      </c>
      <c r="Q694">
        <v>4087</v>
      </c>
      <c r="R694">
        <v>15250</v>
      </c>
      <c r="S694" t="str">
        <f t="shared" si="42"/>
        <v>Yes</v>
      </c>
      <c r="T694">
        <v>0</v>
      </c>
      <c r="U694" t="str" cm="1">
        <f t="array" ref="U694">_xlfn.IFS(T694&lt;5000,"Small",T694&lt;20000,"Medium",T694&lt;35000,"Large",T694&gt;35000,"Very Large")</f>
        <v>Small</v>
      </c>
      <c r="V694">
        <v>48</v>
      </c>
      <c r="W694">
        <f t="shared" si="43"/>
        <v>4</v>
      </c>
      <c r="X694" t="s">
        <v>31</v>
      </c>
      <c r="Y694" t="s">
        <v>38</v>
      </c>
      <c r="Z694" t="s">
        <v>39</v>
      </c>
      <c r="AA694" t="s">
        <v>34</v>
      </c>
      <c r="AB694" t="s">
        <v>35</v>
      </c>
      <c r="AC694" t="s">
        <v>36</v>
      </c>
    </row>
    <row r="695" spans="1:29" x14ac:dyDescent="0.25">
      <c r="A695">
        <v>732</v>
      </c>
      <c r="B695">
        <v>7342</v>
      </c>
      <c r="C695">
        <v>9884</v>
      </c>
      <c r="D695">
        <f t="shared" si="40"/>
        <v>17226</v>
      </c>
      <c r="E695" t="s">
        <v>49</v>
      </c>
      <c r="F695">
        <v>32</v>
      </c>
      <c r="G695" t="str" cm="1">
        <f t="array" ref="G695">_xlfn.IFS(F695&lt;25,"18-24",F695&lt;35,"25-35",F695&lt;45,"35-44",F695&lt;55,"44-54",F695&gt;=55,"55+")</f>
        <v>25-35</v>
      </c>
      <c r="H695" t="s">
        <v>30</v>
      </c>
      <c r="I695">
        <v>3</v>
      </c>
      <c r="J695" t="str" cm="1">
        <f t="array" ref="J695">_xlfn.IFS(I695&lt;=0,"No Dependents",I695&lt;=1,"One",I695&lt;=2,"Two",I695&gt;=3,"Third")</f>
        <v>Third</v>
      </c>
      <c r="K695">
        <v>735</v>
      </c>
      <c r="L695" t="str" cm="1">
        <f t="array" ref="L695">_xlfn.IFS(K695&lt;=580,"Poor",K695&lt;=670,"fair",K695&lt;=740,"Good",K695&lt;=800,"Very Good",K695&gt;=800,"Excellent")</f>
        <v>Good</v>
      </c>
      <c r="M695">
        <v>3</v>
      </c>
      <c r="N695" t="str">
        <f t="shared" si="41"/>
        <v>Yes</v>
      </c>
      <c r="O695">
        <v>0.23</v>
      </c>
      <c r="P695" t="str" cm="1">
        <f t="array" ref="P695">_xlfn.IFS(O695&lt;=0.3,"Low Risk",O695&lt;=0.4,"medium Risk",O695&lt;=0.5,"High Risk",O695&gt;0.5,"Very High Risk")</f>
        <v>Low Risk</v>
      </c>
      <c r="Q695">
        <v>7607</v>
      </c>
      <c r="R695">
        <v>46023</v>
      </c>
      <c r="S695" t="str">
        <f t="shared" si="42"/>
        <v>Yes</v>
      </c>
      <c r="T695">
        <v>35512</v>
      </c>
      <c r="U695" t="str" cm="1">
        <f t="array" ref="U695">_xlfn.IFS(T695&lt;5000,"Small",T695&lt;20000,"Medium",T695&lt;35000,"Large",T695&gt;35000,"Very Large")</f>
        <v>Very Large</v>
      </c>
      <c r="V695">
        <v>36</v>
      </c>
      <c r="W695">
        <f t="shared" si="43"/>
        <v>3</v>
      </c>
      <c r="X695" t="s">
        <v>31</v>
      </c>
      <c r="Y695" t="s">
        <v>32</v>
      </c>
      <c r="Z695" t="s">
        <v>33</v>
      </c>
      <c r="AA695" t="s">
        <v>34</v>
      </c>
      <c r="AB695" t="s">
        <v>42</v>
      </c>
      <c r="AC695" t="s">
        <v>44</v>
      </c>
    </row>
    <row r="696" spans="1:29" x14ac:dyDescent="0.25">
      <c r="A696">
        <v>733</v>
      </c>
      <c r="B696">
        <v>18389</v>
      </c>
      <c r="C696">
        <v>6894</v>
      </c>
      <c r="D696">
        <f t="shared" si="40"/>
        <v>25283</v>
      </c>
      <c r="E696" t="s">
        <v>29</v>
      </c>
      <c r="F696">
        <v>53</v>
      </c>
      <c r="G696" t="str" cm="1">
        <f t="array" ref="G696">_xlfn.IFS(F696&lt;25,"18-24",F696&lt;35,"25-35",F696&lt;45,"35-44",F696&lt;55,"44-54",F696&gt;=55,"55+")</f>
        <v>44-54</v>
      </c>
      <c r="H696" t="s">
        <v>30</v>
      </c>
      <c r="I696">
        <v>1</v>
      </c>
      <c r="J696" t="str" cm="1">
        <f t="array" ref="J696">_xlfn.IFS(I696&lt;=0,"No Dependents",I696&lt;=1,"One",I696&lt;=2,"Two",I696&gt;=3,"Third")</f>
        <v>One</v>
      </c>
      <c r="K696">
        <v>689</v>
      </c>
      <c r="L696" t="str" cm="1">
        <f t="array" ref="L696">_xlfn.IFS(K696&lt;=580,"Poor",K696&lt;=670,"fair",K696&lt;=740,"Good",K696&lt;=800,"Very Good",K696&gt;=800,"Excellent")</f>
        <v>Good</v>
      </c>
      <c r="M696">
        <v>0</v>
      </c>
      <c r="N696" t="str">
        <f t="shared" si="41"/>
        <v>No</v>
      </c>
      <c r="O696">
        <v>0.35</v>
      </c>
      <c r="P696" t="str" cm="1">
        <f t="array" ref="P696">_xlfn.IFS(O696&lt;=0.3,"Low Risk",O696&lt;=0.4,"medium Risk",O696&lt;=0.5,"High Risk",O696&gt;0.5,"Very High Risk")</f>
        <v>medium Risk</v>
      </c>
      <c r="Q696">
        <v>4019</v>
      </c>
      <c r="R696">
        <v>35814</v>
      </c>
      <c r="S696" t="str">
        <f t="shared" si="42"/>
        <v>Yes</v>
      </c>
      <c r="T696">
        <v>36024</v>
      </c>
      <c r="U696" t="str" cm="1">
        <f t="array" ref="U696">_xlfn.IFS(T696&lt;5000,"Small",T696&lt;20000,"Medium",T696&lt;35000,"Large",T696&gt;35000,"Very Large")</f>
        <v>Very Large</v>
      </c>
      <c r="V696">
        <v>12</v>
      </c>
      <c r="W696">
        <f t="shared" si="43"/>
        <v>1</v>
      </c>
      <c r="X696" t="s">
        <v>31</v>
      </c>
      <c r="Y696" t="s">
        <v>45</v>
      </c>
      <c r="Z696" t="s">
        <v>39</v>
      </c>
      <c r="AA696" t="s">
        <v>40</v>
      </c>
      <c r="AB696" t="s">
        <v>42</v>
      </c>
      <c r="AC696" t="s">
        <v>36</v>
      </c>
    </row>
    <row r="697" spans="1:29" x14ac:dyDescent="0.25">
      <c r="A697">
        <v>734</v>
      </c>
      <c r="B697">
        <v>10659</v>
      </c>
      <c r="C697">
        <v>7311</v>
      </c>
      <c r="D697">
        <f t="shared" si="40"/>
        <v>17970</v>
      </c>
      <c r="E697" t="s">
        <v>52</v>
      </c>
      <c r="F697">
        <v>48</v>
      </c>
      <c r="G697" t="str" cm="1">
        <f t="array" ref="G697">_xlfn.IFS(F697&lt;25,"18-24",F697&lt;35,"25-35",F697&lt;45,"35-44",F697&lt;55,"44-54",F697&gt;=55,"55+")</f>
        <v>44-54</v>
      </c>
      <c r="H697" t="s">
        <v>41</v>
      </c>
      <c r="I697">
        <v>0</v>
      </c>
      <c r="J697" t="str" cm="1">
        <f t="array" ref="J697">_xlfn.IFS(I697&lt;=0,"No Dependents",I697&lt;=1,"One",I697&lt;=2,"Two",I697&gt;=3,"Third")</f>
        <v>No Dependents</v>
      </c>
      <c r="K697">
        <v>765</v>
      </c>
      <c r="L697" t="str" cm="1">
        <f t="array" ref="L697">_xlfn.IFS(K697&lt;=580,"Poor",K697&lt;=670,"fair",K697&lt;=740,"Good",K697&lt;=800,"Very Good",K697&gt;=800,"Excellent")</f>
        <v>Very Good</v>
      </c>
      <c r="M697">
        <v>0</v>
      </c>
      <c r="N697" t="str">
        <f t="shared" si="41"/>
        <v>No</v>
      </c>
      <c r="O697">
        <v>0.46</v>
      </c>
      <c r="P697" t="str" cm="1">
        <f t="array" ref="P697">_xlfn.IFS(O697&lt;=0.3,"Low Risk",O697&lt;=0.4,"medium Risk",O697&lt;=0.5,"High Risk",O697&gt;0.5,"Very High Risk")</f>
        <v>High Risk</v>
      </c>
      <c r="Q697">
        <v>815</v>
      </c>
      <c r="R697">
        <v>46624</v>
      </c>
      <c r="S697" t="str">
        <f t="shared" si="42"/>
        <v>Yes</v>
      </c>
      <c r="T697">
        <v>24996</v>
      </c>
      <c r="U697" t="str" cm="1">
        <f t="array" ref="U697">_xlfn.IFS(T697&lt;5000,"Small",T697&lt;20000,"Medium",T697&lt;35000,"Large",T697&gt;35000,"Very Large")</f>
        <v>Large</v>
      </c>
      <c r="V697">
        <v>12</v>
      </c>
      <c r="W697">
        <f t="shared" si="43"/>
        <v>1</v>
      </c>
      <c r="X697" t="s">
        <v>50</v>
      </c>
      <c r="Y697" t="s">
        <v>38</v>
      </c>
      <c r="Z697" t="s">
        <v>39</v>
      </c>
      <c r="AA697" t="s">
        <v>40</v>
      </c>
      <c r="AB697" t="s">
        <v>35</v>
      </c>
      <c r="AC697" t="s">
        <v>36</v>
      </c>
    </row>
    <row r="698" spans="1:29" x14ac:dyDescent="0.25">
      <c r="A698">
        <v>735</v>
      </c>
      <c r="B698">
        <v>16043</v>
      </c>
      <c r="C698">
        <v>105</v>
      </c>
      <c r="D698">
        <f t="shared" si="40"/>
        <v>16148</v>
      </c>
      <c r="E698" t="s">
        <v>29</v>
      </c>
      <c r="F698">
        <v>28</v>
      </c>
      <c r="G698" t="str" cm="1">
        <f t="array" ref="G698">_xlfn.IFS(F698&lt;25,"18-24",F698&lt;35,"25-35",F698&lt;45,"35-44",F698&lt;55,"44-54",F698&gt;=55,"55+")</f>
        <v>25-35</v>
      </c>
      <c r="H698" t="s">
        <v>30</v>
      </c>
      <c r="I698">
        <v>3</v>
      </c>
      <c r="J698" t="str" cm="1">
        <f t="array" ref="J698">_xlfn.IFS(I698&lt;=0,"No Dependents",I698&lt;=1,"One",I698&lt;=2,"Two",I698&gt;=3,"Third")</f>
        <v>Third</v>
      </c>
      <c r="K698">
        <v>618</v>
      </c>
      <c r="L698" t="str" cm="1">
        <f t="array" ref="L698">_xlfn.IFS(K698&lt;=580,"Poor",K698&lt;=670,"fair",K698&lt;=740,"Good",K698&lt;=800,"Very Good",K698&gt;=800,"Excellent")</f>
        <v>fair</v>
      </c>
      <c r="M698">
        <v>0</v>
      </c>
      <c r="N698" t="str">
        <f t="shared" si="41"/>
        <v>No</v>
      </c>
      <c r="O698">
        <v>0.48</v>
      </c>
      <c r="P698" t="str" cm="1">
        <f t="array" ref="P698">_xlfn.IFS(O698&lt;=0.3,"Low Risk",O698&lt;=0.4,"medium Risk",O698&lt;=0.5,"High Risk",O698&gt;0.5,"Very High Risk")</f>
        <v>High Risk</v>
      </c>
      <c r="Q698">
        <v>12563</v>
      </c>
      <c r="R698">
        <v>16427</v>
      </c>
      <c r="S698" t="str">
        <f t="shared" si="42"/>
        <v>Yes</v>
      </c>
      <c r="T698">
        <v>29618</v>
      </c>
      <c r="U698" t="str" cm="1">
        <f t="array" ref="U698">_xlfn.IFS(T698&lt;5000,"Small",T698&lt;20000,"Medium",T698&lt;35000,"Large",T698&gt;35000,"Very Large")</f>
        <v>Large</v>
      </c>
      <c r="V698">
        <v>12</v>
      </c>
      <c r="W698">
        <f t="shared" si="43"/>
        <v>1</v>
      </c>
      <c r="X698" t="s">
        <v>50</v>
      </c>
      <c r="Y698" t="s">
        <v>38</v>
      </c>
      <c r="Z698" t="s">
        <v>39</v>
      </c>
      <c r="AA698" t="s">
        <v>34</v>
      </c>
      <c r="AB698" t="s">
        <v>51</v>
      </c>
      <c r="AC698" t="s">
        <v>36</v>
      </c>
    </row>
    <row r="699" spans="1:29" x14ac:dyDescent="0.25">
      <c r="A699">
        <v>736</v>
      </c>
      <c r="B699">
        <v>10837</v>
      </c>
      <c r="C699">
        <v>5539</v>
      </c>
      <c r="D699">
        <f t="shared" si="40"/>
        <v>16376</v>
      </c>
      <c r="E699" t="s">
        <v>46</v>
      </c>
      <c r="F699">
        <v>21</v>
      </c>
      <c r="G699" t="str" cm="1">
        <f t="array" ref="G699">_xlfn.IFS(F699&lt;25,"18-24",F699&lt;35,"25-35",F699&lt;45,"35-44",F699&lt;55,"44-54",F699&gt;=55,"55+")</f>
        <v>18-24</v>
      </c>
      <c r="H699" t="s">
        <v>30</v>
      </c>
      <c r="I699">
        <v>1</v>
      </c>
      <c r="J699" t="str" cm="1">
        <f t="array" ref="J699">_xlfn.IFS(I699&lt;=0,"No Dependents",I699&lt;=1,"One",I699&lt;=2,"Two",I699&gt;=3,"Third")</f>
        <v>One</v>
      </c>
      <c r="K699">
        <v>633</v>
      </c>
      <c r="L699" t="str" cm="1">
        <f t="array" ref="L699">_xlfn.IFS(K699&lt;=580,"Poor",K699&lt;=670,"fair",K699&lt;=740,"Good",K699&lt;=800,"Very Good",K699&gt;=800,"Excellent")</f>
        <v>fair</v>
      </c>
      <c r="M699">
        <v>2</v>
      </c>
      <c r="N699" t="str">
        <f t="shared" si="41"/>
        <v>Yes</v>
      </c>
      <c r="O699">
        <v>0.35</v>
      </c>
      <c r="P699" t="str" cm="1">
        <f t="array" ref="P699">_xlfn.IFS(O699&lt;=0.3,"Low Risk",O699&lt;=0.4,"medium Risk",O699&lt;=0.5,"High Risk",O699&gt;0.5,"Very High Risk")</f>
        <v>medium Risk</v>
      </c>
      <c r="Q699">
        <v>13292</v>
      </c>
      <c r="R699">
        <v>33276</v>
      </c>
      <c r="S699" t="str">
        <f t="shared" si="42"/>
        <v>Yes</v>
      </c>
      <c r="T699">
        <v>12859</v>
      </c>
      <c r="U699" t="str" cm="1">
        <f t="array" ref="U699">_xlfn.IFS(T699&lt;5000,"Small",T699&lt;20000,"Medium",T699&lt;35000,"Large",T699&gt;35000,"Very Large")</f>
        <v>Medium</v>
      </c>
      <c r="V699">
        <v>36</v>
      </c>
      <c r="W699">
        <f t="shared" si="43"/>
        <v>3</v>
      </c>
      <c r="X699" t="s">
        <v>31</v>
      </c>
      <c r="Y699" t="s">
        <v>45</v>
      </c>
      <c r="Z699" t="s">
        <v>39</v>
      </c>
      <c r="AA699" t="s">
        <v>40</v>
      </c>
      <c r="AB699" t="s">
        <v>43</v>
      </c>
      <c r="AC699" t="s">
        <v>36</v>
      </c>
    </row>
    <row r="700" spans="1:29" x14ac:dyDescent="0.25">
      <c r="A700">
        <v>737</v>
      </c>
      <c r="B700">
        <v>2117</v>
      </c>
      <c r="C700">
        <v>9873</v>
      </c>
      <c r="D700">
        <f t="shared" si="40"/>
        <v>11990</v>
      </c>
      <c r="E700" t="s">
        <v>46</v>
      </c>
      <c r="F700">
        <v>57</v>
      </c>
      <c r="G700" t="str" cm="1">
        <f t="array" ref="G700">_xlfn.IFS(F700&lt;25,"18-24",F700&lt;35,"25-35",F700&lt;45,"35-44",F700&lt;55,"44-54",F700&gt;=55,"55+")</f>
        <v>55+</v>
      </c>
      <c r="H700" t="s">
        <v>30</v>
      </c>
      <c r="I700">
        <v>3</v>
      </c>
      <c r="J700" t="str" cm="1">
        <f t="array" ref="J700">_xlfn.IFS(I700&lt;=0,"No Dependents",I700&lt;=1,"One",I700&lt;=2,"Two",I700&gt;=3,"Third")</f>
        <v>Third</v>
      </c>
      <c r="K700">
        <v>652</v>
      </c>
      <c r="L700" t="str" cm="1">
        <f t="array" ref="L700">_xlfn.IFS(K700&lt;=580,"Poor",K700&lt;=670,"fair",K700&lt;=740,"Good",K700&lt;=800,"Very Good",K700&gt;=800,"Excellent")</f>
        <v>fair</v>
      </c>
      <c r="M700">
        <v>1</v>
      </c>
      <c r="N700" t="str">
        <f t="shared" si="41"/>
        <v>Yes</v>
      </c>
      <c r="O700">
        <v>0.32</v>
      </c>
      <c r="P700" t="str" cm="1">
        <f t="array" ref="P700">_xlfn.IFS(O700&lt;=0.3,"Low Risk",O700&lt;=0.4,"medium Risk",O700&lt;=0.5,"High Risk",O700&gt;0.5,"Very High Risk")</f>
        <v>medium Risk</v>
      </c>
      <c r="Q700">
        <v>16158</v>
      </c>
      <c r="R700">
        <v>6107</v>
      </c>
      <c r="S700" t="str">
        <f t="shared" si="42"/>
        <v>Yes</v>
      </c>
      <c r="T700">
        <v>24580</v>
      </c>
      <c r="U700" t="str" cm="1">
        <f t="array" ref="U700">_xlfn.IFS(T700&lt;5000,"Small",T700&lt;20000,"Medium",T700&lt;35000,"Large",T700&gt;35000,"Very Large")</f>
        <v>Large</v>
      </c>
      <c r="V700">
        <v>48</v>
      </c>
      <c r="W700">
        <f t="shared" si="43"/>
        <v>4</v>
      </c>
      <c r="X700" t="s">
        <v>42</v>
      </c>
      <c r="Y700" t="s">
        <v>32</v>
      </c>
      <c r="Z700" t="s">
        <v>39</v>
      </c>
      <c r="AA700" t="s">
        <v>40</v>
      </c>
      <c r="AB700" t="s">
        <v>42</v>
      </c>
      <c r="AC700" t="s">
        <v>36</v>
      </c>
    </row>
    <row r="701" spans="1:29" x14ac:dyDescent="0.25">
      <c r="A701">
        <v>738</v>
      </c>
      <c r="B701">
        <v>15917</v>
      </c>
      <c r="C701">
        <v>6787</v>
      </c>
      <c r="D701">
        <f t="shared" si="40"/>
        <v>22704</v>
      </c>
      <c r="E701" t="s">
        <v>29</v>
      </c>
      <c r="F701">
        <v>42</v>
      </c>
      <c r="G701" t="str" cm="1">
        <f t="array" ref="G701">_xlfn.IFS(F701&lt;25,"18-24",F701&lt;35,"25-35",F701&lt;45,"35-44",F701&lt;55,"44-54",F701&gt;=55,"55+")</f>
        <v>35-44</v>
      </c>
      <c r="H701" t="s">
        <v>30</v>
      </c>
      <c r="I701">
        <v>0</v>
      </c>
      <c r="J701" t="str" cm="1">
        <f t="array" ref="J701">_xlfn.IFS(I701&lt;=0,"No Dependents",I701&lt;=1,"One",I701&lt;=2,"Two",I701&gt;=3,"Third")</f>
        <v>No Dependents</v>
      </c>
      <c r="K701">
        <v>588</v>
      </c>
      <c r="L701" t="str" cm="1">
        <f t="array" ref="L701">_xlfn.IFS(K701&lt;=580,"Poor",K701&lt;=670,"fair",K701&lt;=740,"Good",K701&lt;=800,"Very Good",K701&gt;=800,"Excellent")</f>
        <v>fair</v>
      </c>
      <c r="M701">
        <v>4</v>
      </c>
      <c r="N701" t="str">
        <f t="shared" si="41"/>
        <v>Yes</v>
      </c>
      <c r="O701">
        <v>0.41</v>
      </c>
      <c r="P701" t="str" cm="1">
        <f t="array" ref="P701">_xlfn.IFS(O701&lt;=0.3,"Low Risk",O701&lt;=0.4,"medium Risk",O701&lt;=0.5,"High Risk",O701&gt;0.5,"Very High Risk")</f>
        <v>High Risk</v>
      </c>
      <c r="Q701">
        <v>922</v>
      </c>
      <c r="R701">
        <v>13476</v>
      </c>
      <c r="S701" t="str">
        <f t="shared" si="42"/>
        <v>Yes</v>
      </c>
      <c r="T701">
        <v>0</v>
      </c>
      <c r="U701" t="str" cm="1">
        <f t="array" ref="U701">_xlfn.IFS(T701&lt;5000,"Small",T701&lt;20000,"Medium",T701&lt;35000,"Large",T701&gt;35000,"Very Large")</f>
        <v>Small</v>
      </c>
      <c r="V701">
        <v>60</v>
      </c>
      <c r="W701">
        <f t="shared" si="43"/>
        <v>5</v>
      </c>
      <c r="X701" t="s">
        <v>47</v>
      </c>
      <c r="Y701" t="s">
        <v>45</v>
      </c>
      <c r="Z701" t="s">
        <v>39</v>
      </c>
      <c r="AA701" t="s">
        <v>40</v>
      </c>
      <c r="AB701" t="s">
        <v>35</v>
      </c>
      <c r="AC701" t="s">
        <v>36</v>
      </c>
    </row>
    <row r="702" spans="1:29" x14ac:dyDescent="0.25">
      <c r="A702">
        <v>739</v>
      </c>
      <c r="B702">
        <v>16309</v>
      </c>
      <c r="C702">
        <v>2137</v>
      </c>
      <c r="D702">
        <f t="shared" si="40"/>
        <v>18446</v>
      </c>
      <c r="E702" t="s">
        <v>46</v>
      </c>
      <c r="F702">
        <v>26</v>
      </c>
      <c r="G702" t="str" cm="1">
        <f t="array" ref="G702">_xlfn.IFS(F702&lt;25,"18-24",F702&lt;35,"25-35",F702&lt;45,"35-44",F702&lt;55,"44-54",F702&gt;=55,"55+")</f>
        <v>25-35</v>
      </c>
      <c r="H702" t="s">
        <v>41</v>
      </c>
      <c r="I702">
        <v>0</v>
      </c>
      <c r="J702" t="str" cm="1">
        <f t="array" ref="J702">_xlfn.IFS(I702&lt;=0,"No Dependents",I702&lt;=1,"One",I702&lt;=2,"Two",I702&gt;=3,"Third")</f>
        <v>No Dependents</v>
      </c>
      <c r="K702">
        <v>562</v>
      </c>
      <c r="L702" t="str" cm="1">
        <f t="array" ref="L702">_xlfn.IFS(K702&lt;=580,"Poor",K702&lt;=670,"fair",K702&lt;=740,"Good",K702&lt;=800,"Very Good",K702&gt;=800,"Excellent")</f>
        <v>Poor</v>
      </c>
      <c r="M702">
        <v>1</v>
      </c>
      <c r="N702" t="str">
        <f t="shared" si="41"/>
        <v>Yes</v>
      </c>
      <c r="O702">
        <v>0.48</v>
      </c>
      <c r="P702" t="str" cm="1">
        <f t="array" ref="P702">_xlfn.IFS(O702&lt;=0.3,"Low Risk",O702&lt;=0.4,"medium Risk",O702&lt;=0.5,"High Risk",O702&gt;0.5,"Very High Risk")</f>
        <v>High Risk</v>
      </c>
      <c r="Q702">
        <v>12929</v>
      </c>
      <c r="R702">
        <v>0</v>
      </c>
      <c r="S702" t="str">
        <f t="shared" si="42"/>
        <v>No</v>
      </c>
      <c r="T702">
        <v>38857</v>
      </c>
      <c r="U702" t="str" cm="1">
        <f t="array" ref="U702">_xlfn.IFS(T702&lt;5000,"Small",T702&lt;20000,"Medium",T702&lt;35000,"Large",T702&gt;35000,"Very Large")</f>
        <v>Very Large</v>
      </c>
      <c r="V702">
        <v>84</v>
      </c>
      <c r="W702">
        <f t="shared" si="43"/>
        <v>7</v>
      </c>
      <c r="X702" t="s">
        <v>37</v>
      </c>
      <c r="Y702" t="s">
        <v>45</v>
      </c>
      <c r="Z702" t="s">
        <v>39</v>
      </c>
      <c r="AA702" t="s">
        <v>40</v>
      </c>
      <c r="AB702" t="s">
        <v>43</v>
      </c>
      <c r="AC702" t="s">
        <v>36</v>
      </c>
    </row>
    <row r="703" spans="1:29" x14ac:dyDescent="0.25">
      <c r="A703">
        <v>741</v>
      </c>
      <c r="B703">
        <v>7560</v>
      </c>
      <c r="C703">
        <v>3530</v>
      </c>
      <c r="D703">
        <f t="shared" si="40"/>
        <v>11090</v>
      </c>
      <c r="E703" t="s">
        <v>29</v>
      </c>
      <c r="F703">
        <v>52</v>
      </c>
      <c r="G703" t="str" cm="1">
        <f t="array" ref="G703">_xlfn.IFS(F703&lt;25,"18-24",F703&lt;35,"25-35",F703&lt;45,"35-44",F703&lt;55,"44-54",F703&gt;=55,"55+")</f>
        <v>44-54</v>
      </c>
      <c r="H703" t="s">
        <v>30</v>
      </c>
      <c r="I703">
        <v>3</v>
      </c>
      <c r="J703" t="str" cm="1">
        <f t="array" ref="J703">_xlfn.IFS(I703&lt;=0,"No Dependents",I703&lt;=1,"One",I703&lt;=2,"Two",I703&gt;=3,"Third")</f>
        <v>Third</v>
      </c>
      <c r="K703">
        <v>606</v>
      </c>
      <c r="L703" t="str" cm="1">
        <f t="array" ref="L703">_xlfn.IFS(K703&lt;=580,"Poor",K703&lt;=670,"fair",K703&lt;=740,"Good",K703&lt;=800,"Very Good",K703&gt;=800,"Excellent")</f>
        <v>fair</v>
      </c>
      <c r="M703">
        <v>0</v>
      </c>
      <c r="N703" t="str">
        <f t="shared" si="41"/>
        <v>No</v>
      </c>
      <c r="O703">
        <v>0.57999999999999996</v>
      </c>
      <c r="P703" t="str" cm="1">
        <f t="array" ref="P703">_xlfn.IFS(O703&lt;=0.3,"Low Risk",O703&lt;=0.4,"medium Risk",O703&lt;=0.5,"High Risk",O703&gt;0.5,"Very High Risk")</f>
        <v>Very High Risk</v>
      </c>
      <c r="Q703">
        <v>0</v>
      </c>
      <c r="R703">
        <v>21795</v>
      </c>
      <c r="S703" t="str">
        <f t="shared" si="42"/>
        <v>Yes</v>
      </c>
      <c r="T703">
        <v>5876</v>
      </c>
      <c r="U703" t="str" cm="1">
        <f t="array" ref="U703">_xlfn.IFS(T703&lt;5000,"Small",T703&lt;20000,"Medium",T703&lt;35000,"Large",T703&gt;35000,"Very Large")</f>
        <v>Medium</v>
      </c>
      <c r="V703">
        <v>48</v>
      </c>
      <c r="W703">
        <f t="shared" si="43"/>
        <v>4</v>
      </c>
      <c r="X703" t="s">
        <v>42</v>
      </c>
      <c r="Y703" t="s">
        <v>45</v>
      </c>
      <c r="Z703" t="s">
        <v>33</v>
      </c>
      <c r="AA703" t="s">
        <v>34</v>
      </c>
      <c r="AB703" t="s">
        <v>35</v>
      </c>
      <c r="AC703" t="s">
        <v>36</v>
      </c>
    </row>
    <row r="704" spans="1:29" x14ac:dyDescent="0.25">
      <c r="A704">
        <v>743</v>
      </c>
      <c r="B704">
        <v>12954</v>
      </c>
      <c r="C704">
        <v>7052</v>
      </c>
      <c r="D704">
        <f t="shared" si="40"/>
        <v>20006</v>
      </c>
      <c r="E704" t="s">
        <v>52</v>
      </c>
      <c r="F704">
        <v>35</v>
      </c>
      <c r="G704" t="str" cm="1">
        <f t="array" ref="G704">_xlfn.IFS(F704&lt;25,"18-24",F704&lt;35,"25-35",F704&lt;45,"35-44",F704&lt;55,"44-54",F704&gt;=55,"55+")</f>
        <v>35-44</v>
      </c>
      <c r="H704" t="s">
        <v>41</v>
      </c>
      <c r="I704">
        <v>1</v>
      </c>
      <c r="J704" t="str" cm="1">
        <f t="array" ref="J704">_xlfn.IFS(I704&lt;=0,"No Dependents",I704&lt;=1,"One",I704&lt;=2,"Two",I704&gt;=3,"Third")</f>
        <v>One</v>
      </c>
      <c r="K704">
        <v>550</v>
      </c>
      <c r="L704" t="str" cm="1">
        <f t="array" ref="L704">_xlfn.IFS(K704&lt;=580,"Poor",K704&lt;=670,"fair",K704&lt;=740,"Good",K704&lt;=800,"Very Good",K704&gt;=800,"Excellent")</f>
        <v>Poor</v>
      </c>
      <c r="M704">
        <v>3</v>
      </c>
      <c r="N704" t="str">
        <f t="shared" si="41"/>
        <v>Yes</v>
      </c>
      <c r="O704">
        <v>0.24</v>
      </c>
      <c r="P704" t="str" cm="1">
        <f t="array" ref="P704">_xlfn.IFS(O704&lt;=0.3,"Low Risk",O704&lt;=0.4,"medium Risk",O704&lt;=0.5,"High Risk",O704&gt;0.5,"Very High Risk")</f>
        <v>Low Risk</v>
      </c>
      <c r="Q704">
        <v>2722</v>
      </c>
      <c r="R704">
        <v>14167</v>
      </c>
      <c r="S704" t="str">
        <f t="shared" si="42"/>
        <v>Yes</v>
      </c>
      <c r="T704">
        <v>29006</v>
      </c>
      <c r="U704" t="str" cm="1">
        <f t="array" ref="U704">_xlfn.IFS(T704&lt;5000,"Small",T704&lt;20000,"Medium",T704&lt;35000,"Large",T704&gt;35000,"Very Large")</f>
        <v>Large</v>
      </c>
      <c r="V704">
        <v>72</v>
      </c>
      <c r="W704">
        <f t="shared" si="43"/>
        <v>6</v>
      </c>
      <c r="X704" t="s">
        <v>42</v>
      </c>
      <c r="Y704" t="s">
        <v>45</v>
      </c>
      <c r="Z704" t="s">
        <v>33</v>
      </c>
      <c r="AA704" t="s">
        <v>34</v>
      </c>
      <c r="AB704" t="s">
        <v>35</v>
      </c>
      <c r="AC704" t="s">
        <v>44</v>
      </c>
    </row>
    <row r="705" spans="1:29" x14ac:dyDescent="0.25">
      <c r="A705">
        <v>744</v>
      </c>
      <c r="B705">
        <v>15703</v>
      </c>
      <c r="C705">
        <v>3654</v>
      </c>
      <c r="D705">
        <f t="shared" si="40"/>
        <v>19357</v>
      </c>
      <c r="E705" t="s">
        <v>29</v>
      </c>
      <c r="F705">
        <v>25</v>
      </c>
      <c r="G705" t="str" cm="1">
        <f t="array" ref="G705">_xlfn.IFS(F705&lt;25,"18-24",F705&lt;35,"25-35",F705&lt;45,"35-44",F705&lt;55,"44-54",F705&gt;=55,"55+")</f>
        <v>25-35</v>
      </c>
      <c r="H705" t="s">
        <v>30</v>
      </c>
      <c r="I705">
        <v>3</v>
      </c>
      <c r="J705" t="str" cm="1">
        <f t="array" ref="J705">_xlfn.IFS(I705&lt;=0,"No Dependents",I705&lt;=1,"One",I705&lt;=2,"Two",I705&gt;=3,"Third")</f>
        <v>Third</v>
      </c>
      <c r="K705">
        <v>550</v>
      </c>
      <c r="L705" t="str" cm="1">
        <f t="array" ref="L705">_xlfn.IFS(K705&lt;=580,"Poor",K705&lt;=670,"fair",K705&lt;=740,"Good",K705&lt;=800,"Very Good",K705&gt;=800,"Excellent")</f>
        <v>Poor</v>
      </c>
      <c r="M705">
        <v>0</v>
      </c>
      <c r="N705" t="str">
        <f t="shared" si="41"/>
        <v>No</v>
      </c>
      <c r="O705">
        <v>0.51</v>
      </c>
      <c r="P705" t="str" cm="1">
        <f t="array" ref="P705">_xlfn.IFS(O705&lt;=0.3,"Low Risk",O705&lt;=0.4,"medium Risk",O705&lt;=0.5,"High Risk",O705&gt;0.5,"Very High Risk")</f>
        <v>Very High Risk</v>
      </c>
      <c r="Q705">
        <v>5355</v>
      </c>
      <c r="R705">
        <v>17300</v>
      </c>
      <c r="S705" t="str">
        <f t="shared" si="42"/>
        <v>Yes</v>
      </c>
      <c r="T705">
        <v>36775</v>
      </c>
      <c r="U705" t="str" cm="1">
        <f t="array" ref="U705">_xlfn.IFS(T705&lt;5000,"Small",T705&lt;20000,"Medium",T705&lt;35000,"Large",T705&gt;35000,"Very Large")</f>
        <v>Very Large</v>
      </c>
      <c r="V705">
        <v>36</v>
      </c>
      <c r="W705">
        <f t="shared" si="43"/>
        <v>3</v>
      </c>
      <c r="X705" t="s">
        <v>37</v>
      </c>
      <c r="Y705" t="s">
        <v>32</v>
      </c>
      <c r="Z705" t="s">
        <v>33</v>
      </c>
      <c r="AA705" t="s">
        <v>34</v>
      </c>
      <c r="AB705" t="s">
        <v>35</v>
      </c>
      <c r="AC705" t="s">
        <v>36</v>
      </c>
    </row>
    <row r="706" spans="1:29" x14ac:dyDescent="0.25">
      <c r="A706">
        <v>745</v>
      </c>
      <c r="B706">
        <v>17385</v>
      </c>
      <c r="C706">
        <v>7102</v>
      </c>
      <c r="D706">
        <f t="shared" si="40"/>
        <v>24487</v>
      </c>
      <c r="E706" t="s">
        <v>29</v>
      </c>
      <c r="F706">
        <v>26</v>
      </c>
      <c r="G706" t="str" cm="1">
        <f t="array" ref="G706">_xlfn.IFS(F706&lt;25,"18-24",F706&lt;35,"25-35",F706&lt;45,"35-44",F706&lt;55,"44-54",F706&gt;=55,"55+")</f>
        <v>25-35</v>
      </c>
      <c r="H706" t="s">
        <v>41</v>
      </c>
      <c r="I706">
        <v>1</v>
      </c>
      <c r="J706" t="str" cm="1">
        <f t="array" ref="J706">_xlfn.IFS(I706&lt;=0,"No Dependents",I706&lt;=1,"One",I706&lt;=2,"Two",I706&gt;=3,"Third")</f>
        <v>One</v>
      </c>
      <c r="K706">
        <v>562</v>
      </c>
      <c r="L706" t="str" cm="1">
        <f t="array" ref="L706">_xlfn.IFS(K706&lt;=580,"Poor",K706&lt;=670,"fair",K706&lt;=740,"Good",K706&lt;=800,"Very Good",K706&gt;=800,"Excellent")</f>
        <v>Poor</v>
      </c>
      <c r="M706">
        <v>0</v>
      </c>
      <c r="N706" t="str">
        <f t="shared" si="41"/>
        <v>No</v>
      </c>
      <c r="O706">
        <v>0.36</v>
      </c>
      <c r="P706" t="str" cm="1">
        <f t="array" ref="P706">_xlfn.IFS(O706&lt;=0.3,"Low Risk",O706&lt;=0.4,"medium Risk",O706&lt;=0.5,"High Risk",O706&gt;0.5,"Very High Risk")</f>
        <v>medium Risk</v>
      </c>
      <c r="Q706">
        <v>13301</v>
      </c>
      <c r="R706">
        <v>17182</v>
      </c>
      <c r="S706" t="str">
        <f t="shared" si="42"/>
        <v>Yes</v>
      </c>
      <c r="T706">
        <v>31810</v>
      </c>
      <c r="U706" t="str" cm="1">
        <f t="array" ref="U706">_xlfn.IFS(T706&lt;5000,"Small",T706&lt;20000,"Medium",T706&lt;35000,"Large",T706&gt;35000,"Very Large")</f>
        <v>Large</v>
      </c>
      <c r="V706">
        <v>48</v>
      </c>
      <c r="W706">
        <f t="shared" si="43"/>
        <v>4</v>
      </c>
      <c r="X706" t="s">
        <v>42</v>
      </c>
      <c r="Y706" t="s">
        <v>45</v>
      </c>
      <c r="Z706" t="s">
        <v>39</v>
      </c>
      <c r="AA706" t="s">
        <v>40</v>
      </c>
      <c r="AB706" t="s">
        <v>35</v>
      </c>
      <c r="AC706" t="s">
        <v>36</v>
      </c>
    </row>
    <row r="707" spans="1:29" x14ac:dyDescent="0.25">
      <c r="A707">
        <v>746</v>
      </c>
      <c r="B707">
        <v>15746</v>
      </c>
      <c r="C707">
        <v>2359</v>
      </c>
      <c r="D707">
        <f t="shared" ref="D707:D770" si="44">B707+C707</f>
        <v>18105</v>
      </c>
      <c r="E707" t="s">
        <v>46</v>
      </c>
      <c r="F707">
        <v>45</v>
      </c>
      <c r="G707" t="str" cm="1">
        <f t="array" ref="G707">_xlfn.IFS(F707&lt;25,"18-24",F707&lt;35,"25-35",F707&lt;45,"35-44",F707&lt;55,"44-54",F707&gt;=55,"55+")</f>
        <v>44-54</v>
      </c>
      <c r="H707" t="s">
        <v>41</v>
      </c>
      <c r="I707">
        <v>0</v>
      </c>
      <c r="J707" t="str" cm="1">
        <f t="array" ref="J707">_xlfn.IFS(I707&lt;=0,"No Dependents",I707&lt;=1,"One",I707&lt;=2,"Two",I707&gt;=3,"Third")</f>
        <v>No Dependents</v>
      </c>
      <c r="K707">
        <v>669</v>
      </c>
      <c r="L707" t="str" cm="1">
        <f t="array" ref="L707">_xlfn.IFS(K707&lt;=580,"Poor",K707&lt;=670,"fair",K707&lt;=740,"Good",K707&lt;=800,"Very Good",K707&gt;=800,"Excellent")</f>
        <v>fair</v>
      </c>
      <c r="M707">
        <v>2</v>
      </c>
      <c r="N707" t="str">
        <f t="shared" ref="N707:N770" si="45">IF(M707&gt;0,"Yes","No")</f>
        <v>Yes</v>
      </c>
      <c r="O707">
        <v>0.33</v>
      </c>
      <c r="P707" t="str" cm="1">
        <f t="array" ref="P707">_xlfn.IFS(O707&lt;=0.3,"Low Risk",O707&lt;=0.4,"medium Risk",O707&lt;=0.5,"High Risk",O707&gt;0.5,"Very High Risk")</f>
        <v>medium Risk</v>
      </c>
      <c r="Q707">
        <v>2550</v>
      </c>
      <c r="R707">
        <v>0</v>
      </c>
      <c r="S707" t="str">
        <f t="shared" ref="S707:S770" si="46">IF(R707&gt;100,"Yes","No")</f>
        <v>No</v>
      </c>
      <c r="T707">
        <v>15325</v>
      </c>
      <c r="U707" t="str" cm="1">
        <f t="array" ref="U707">_xlfn.IFS(T707&lt;5000,"Small",T707&lt;20000,"Medium",T707&lt;35000,"Large",T707&gt;35000,"Very Large")</f>
        <v>Medium</v>
      </c>
      <c r="V707">
        <v>12</v>
      </c>
      <c r="W707">
        <f t="shared" ref="W707:W770" si="47">V707/12</f>
        <v>1</v>
      </c>
      <c r="X707" t="s">
        <v>37</v>
      </c>
      <c r="Y707" t="s">
        <v>32</v>
      </c>
      <c r="Z707" t="s">
        <v>33</v>
      </c>
      <c r="AA707" t="s">
        <v>40</v>
      </c>
      <c r="AB707" t="s">
        <v>35</v>
      </c>
      <c r="AC707" t="s">
        <v>44</v>
      </c>
    </row>
    <row r="708" spans="1:29" x14ac:dyDescent="0.25">
      <c r="A708">
        <v>747</v>
      </c>
      <c r="B708">
        <v>8469</v>
      </c>
      <c r="C708">
        <v>8105</v>
      </c>
      <c r="D708">
        <f t="shared" si="44"/>
        <v>16574</v>
      </c>
      <c r="E708" t="s">
        <v>46</v>
      </c>
      <c r="F708">
        <v>49</v>
      </c>
      <c r="G708" t="str" cm="1">
        <f t="array" ref="G708">_xlfn.IFS(F708&lt;25,"18-24",F708&lt;35,"25-35",F708&lt;45,"35-44",F708&lt;55,"44-54",F708&gt;=55,"55+")</f>
        <v>44-54</v>
      </c>
      <c r="H708" t="s">
        <v>41</v>
      </c>
      <c r="I708">
        <v>3</v>
      </c>
      <c r="J708" t="str" cm="1">
        <f t="array" ref="J708">_xlfn.IFS(I708&lt;=0,"No Dependents",I708&lt;=1,"One",I708&lt;=2,"Two",I708&gt;=3,"Third")</f>
        <v>Third</v>
      </c>
      <c r="K708">
        <v>751</v>
      </c>
      <c r="L708" t="str" cm="1">
        <f t="array" ref="L708">_xlfn.IFS(K708&lt;=580,"Poor",K708&lt;=670,"fair",K708&lt;=740,"Good",K708&lt;=800,"Very Good",K708&gt;=800,"Excellent")</f>
        <v>Very Good</v>
      </c>
      <c r="M708">
        <v>0</v>
      </c>
      <c r="N708" t="str">
        <f t="shared" si="45"/>
        <v>No</v>
      </c>
      <c r="O708">
        <v>0.26</v>
      </c>
      <c r="P708" t="str" cm="1">
        <f t="array" ref="P708">_xlfn.IFS(O708&lt;=0.3,"Low Risk",O708&lt;=0.4,"medium Risk",O708&lt;=0.5,"High Risk",O708&gt;0.5,"Very High Risk")</f>
        <v>Low Risk</v>
      </c>
      <c r="Q708">
        <v>11141</v>
      </c>
      <c r="R708">
        <v>0</v>
      </c>
      <c r="S708" t="str">
        <f t="shared" si="46"/>
        <v>No</v>
      </c>
      <c r="T708">
        <v>36892</v>
      </c>
      <c r="U708" t="str" cm="1">
        <f t="array" ref="U708">_xlfn.IFS(T708&lt;5000,"Small",T708&lt;20000,"Medium",T708&lt;35000,"Large",T708&gt;35000,"Very Large")</f>
        <v>Very Large</v>
      </c>
      <c r="V708">
        <v>48</v>
      </c>
      <c r="W708">
        <f t="shared" si="47"/>
        <v>4</v>
      </c>
      <c r="X708" t="s">
        <v>42</v>
      </c>
      <c r="Y708" t="s">
        <v>45</v>
      </c>
      <c r="Z708" t="s">
        <v>39</v>
      </c>
      <c r="AA708" t="s">
        <v>40</v>
      </c>
      <c r="AB708" t="s">
        <v>48</v>
      </c>
      <c r="AC708" t="s">
        <v>44</v>
      </c>
    </row>
    <row r="709" spans="1:29" x14ac:dyDescent="0.25">
      <c r="A709">
        <v>748</v>
      </c>
      <c r="B709">
        <v>11333</v>
      </c>
      <c r="C709">
        <v>8636</v>
      </c>
      <c r="D709">
        <f t="shared" si="44"/>
        <v>19969</v>
      </c>
      <c r="E709" t="s">
        <v>49</v>
      </c>
      <c r="F709">
        <v>27</v>
      </c>
      <c r="G709" t="str" cm="1">
        <f t="array" ref="G709">_xlfn.IFS(F709&lt;25,"18-24",F709&lt;35,"25-35",F709&lt;45,"35-44",F709&lt;55,"44-54",F709&gt;=55,"55+")</f>
        <v>25-35</v>
      </c>
      <c r="H709" t="s">
        <v>30</v>
      </c>
      <c r="I709">
        <v>3</v>
      </c>
      <c r="J709" t="str" cm="1">
        <f t="array" ref="J709">_xlfn.IFS(I709&lt;=0,"No Dependents",I709&lt;=1,"One",I709&lt;=2,"Two",I709&gt;=3,"Third")</f>
        <v>Third</v>
      </c>
      <c r="K709">
        <v>646</v>
      </c>
      <c r="L709" t="str" cm="1">
        <f t="array" ref="L709">_xlfn.IFS(K709&lt;=580,"Poor",K709&lt;=670,"fair",K709&lt;=740,"Good",K709&lt;=800,"Very Good",K709&gt;=800,"Excellent")</f>
        <v>fair</v>
      </c>
      <c r="M709">
        <v>3</v>
      </c>
      <c r="N709" t="str">
        <f t="shared" si="45"/>
        <v>Yes</v>
      </c>
      <c r="O709">
        <v>0.35</v>
      </c>
      <c r="P709" t="str" cm="1">
        <f t="array" ref="P709">_xlfn.IFS(O709&lt;=0.3,"Low Risk",O709&lt;=0.4,"medium Risk",O709&lt;=0.5,"High Risk",O709&gt;0.5,"Very High Risk")</f>
        <v>medium Risk</v>
      </c>
      <c r="Q709">
        <v>18057</v>
      </c>
      <c r="R709">
        <v>19659</v>
      </c>
      <c r="S709" t="str">
        <f t="shared" si="46"/>
        <v>Yes</v>
      </c>
      <c r="T709">
        <v>2753</v>
      </c>
      <c r="U709" t="str" cm="1">
        <f t="array" ref="U709">_xlfn.IFS(T709&lt;5000,"Small",T709&lt;20000,"Medium",T709&lt;35000,"Large",T709&gt;35000,"Very Large")</f>
        <v>Small</v>
      </c>
      <c r="V709">
        <v>84</v>
      </c>
      <c r="W709">
        <f t="shared" si="47"/>
        <v>7</v>
      </c>
      <c r="X709" t="s">
        <v>37</v>
      </c>
      <c r="Y709" t="s">
        <v>45</v>
      </c>
      <c r="Z709" t="s">
        <v>33</v>
      </c>
      <c r="AA709" t="s">
        <v>40</v>
      </c>
      <c r="AB709" t="s">
        <v>42</v>
      </c>
      <c r="AC709" t="s">
        <v>36</v>
      </c>
    </row>
    <row r="710" spans="1:29" x14ac:dyDescent="0.25">
      <c r="A710">
        <v>749</v>
      </c>
      <c r="B710">
        <v>18608</v>
      </c>
      <c r="C710">
        <v>6441</v>
      </c>
      <c r="D710">
        <f t="shared" si="44"/>
        <v>25049</v>
      </c>
      <c r="E710" t="s">
        <v>29</v>
      </c>
      <c r="F710">
        <v>33</v>
      </c>
      <c r="G710" t="str" cm="1">
        <f t="array" ref="G710">_xlfn.IFS(F710&lt;25,"18-24",F710&lt;35,"25-35",F710&lt;45,"35-44",F710&lt;55,"44-54",F710&gt;=55,"55+")</f>
        <v>25-35</v>
      </c>
      <c r="H710" t="s">
        <v>30</v>
      </c>
      <c r="I710">
        <v>3</v>
      </c>
      <c r="J710" t="str" cm="1">
        <f t="array" ref="J710">_xlfn.IFS(I710&lt;=0,"No Dependents",I710&lt;=1,"One",I710&lt;=2,"Two",I710&gt;=3,"Third")</f>
        <v>Third</v>
      </c>
      <c r="K710">
        <v>606</v>
      </c>
      <c r="L710" t="str" cm="1">
        <f t="array" ref="L710">_xlfn.IFS(K710&lt;=580,"Poor",K710&lt;=670,"fair",K710&lt;=740,"Good",K710&lt;=800,"Very Good",K710&gt;=800,"Excellent")</f>
        <v>fair</v>
      </c>
      <c r="M710">
        <v>4</v>
      </c>
      <c r="N710" t="str">
        <f t="shared" si="45"/>
        <v>Yes</v>
      </c>
      <c r="O710">
        <v>0.46</v>
      </c>
      <c r="P710" t="str" cm="1">
        <f t="array" ref="P710">_xlfn.IFS(O710&lt;=0.3,"Low Risk",O710&lt;=0.4,"medium Risk",O710&lt;=0.5,"High Risk",O710&gt;0.5,"Very High Risk")</f>
        <v>High Risk</v>
      </c>
      <c r="Q710">
        <v>11284</v>
      </c>
      <c r="R710">
        <v>31403</v>
      </c>
      <c r="S710" t="str">
        <f t="shared" si="46"/>
        <v>Yes</v>
      </c>
      <c r="T710">
        <v>30531</v>
      </c>
      <c r="U710" t="str" cm="1">
        <f t="array" ref="U710">_xlfn.IFS(T710&lt;5000,"Small",T710&lt;20000,"Medium",T710&lt;35000,"Large",T710&gt;35000,"Very Large")</f>
        <v>Large</v>
      </c>
      <c r="V710">
        <v>48</v>
      </c>
      <c r="W710">
        <f t="shared" si="47"/>
        <v>4</v>
      </c>
      <c r="X710" t="s">
        <v>37</v>
      </c>
      <c r="Y710" t="s">
        <v>45</v>
      </c>
      <c r="Z710" t="s">
        <v>39</v>
      </c>
      <c r="AA710" t="s">
        <v>34</v>
      </c>
      <c r="AB710" t="s">
        <v>35</v>
      </c>
      <c r="AC710" t="s">
        <v>36</v>
      </c>
    </row>
    <row r="711" spans="1:29" x14ac:dyDescent="0.25">
      <c r="A711">
        <v>750</v>
      </c>
      <c r="B711">
        <v>14819</v>
      </c>
      <c r="C711">
        <v>5047</v>
      </c>
      <c r="D711">
        <f t="shared" si="44"/>
        <v>19866</v>
      </c>
      <c r="E711" t="s">
        <v>48</v>
      </c>
      <c r="F711">
        <v>58</v>
      </c>
      <c r="G711" t="str" cm="1">
        <f t="array" ref="G711">_xlfn.IFS(F711&lt;25,"18-24",F711&lt;35,"25-35",F711&lt;45,"35-44",F711&lt;55,"44-54",F711&gt;=55,"55+")</f>
        <v>55+</v>
      </c>
      <c r="H711" t="s">
        <v>41</v>
      </c>
      <c r="I711">
        <v>3</v>
      </c>
      <c r="J711" t="str" cm="1">
        <f t="array" ref="J711">_xlfn.IFS(I711&lt;=0,"No Dependents",I711&lt;=1,"One",I711&lt;=2,"Two",I711&gt;=3,"Third")</f>
        <v>Third</v>
      </c>
      <c r="K711">
        <v>550</v>
      </c>
      <c r="L711" t="str" cm="1">
        <f t="array" ref="L711">_xlfn.IFS(K711&lt;=580,"Poor",K711&lt;=670,"fair",K711&lt;=740,"Good",K711&lt;=800,"Very Good",K711&gt;=800,"Excellent")</f>
        <v>Poor</v>
      </c>
      <c r="M711">
        <v>1</v>
      </c>
      <c r="N711" t="str">
        <f t="shared" si="45"/>
        <v>Yes</v>
      </c>
      <c r="O711">
        <v>0.31</v>
      </c>
      <c r="P711" t="str" cm="1">
        <f t="array" ref="P711">_xlfn.IFS(O711&lt;=0.3,"Low Risk",O711&lt;=0.4,"medium Risk",O711&lt;=0.5,"High Risk",O711&gt;0.5,"Very High Risk")</f>
        <v>medium Risk</v>
      </c>
      <c r="Q711">
        <v>18050</v>
      </c>
      <c r="R711">
        <v>48651</v>
      </c>
      <c r="S711" t="str">
        <f t="shared" si="46"/>
        <v>Yes</v>
      </c>
      <c r="T711">
        <v>18996</v>
      </c>
      <c r="U711" t="str" cm="1">
        <f t="array" ref="U711">_xlfn.IFS(T711&lt;5000,"Small",T711&lt;20000,"Medium",T711&lt;35000,"Large",T711&gt;35000,"Very Large")</f>
        <v>Medium</v>
      </c>
      <c r="V711">
        <v>24</v>
      </c>
      <c r="W711">
        <f t="shared" si="47"/>
        <v>2</v>
      </c>
      <c r="X711" t="s">
        <v>42</v>
      </c>
      <c r="Y711" t="s">
        <v>45</v>
      </c>
      <c r="Z711" t="s">
        <v>33</v>
      </c>
      <c r="AA711" t="s">
        <v>40</v>
      </c>
      <c r="AB711" t="s">
        <v>51</v>
      </c>
      <c r="AC711" t="s">
        <v>36</v>
      </c>
    </row>
    <row r="712" spans="1:29" x14ac:dyDescent="0.25">
      <c r="A712">
        <v>751</v>
      </c>
      <c r="B712">
        <v>6208</v>
      </c>
      <c r="C712">
        <v>8227</v>
      </c>
      <c r="D712">
        <f t="shared" si="44"/>
        <v>14435</v>
      </c>
      <c r="E712" t="s">
        <v>29</v>
      </c>
      <c r="F712">
        <v>38</v>
      </c>
      <c r="G712" t="str" cm="1">
        <f t="array" ref="G712">_xlfn.IFS(F712&lt;25,"18-24",F712&lt;35,"25-35",F712&lt;45,"35-44",F712&lt;55,"44-54",F712&gt;=55,"55+")</f>
        <v>35-44</v>
      </c>
      <c r="H712" t="s">
        <v>30</v>
      </c>
      <c r="I712">
        <v>1</v>
      </c>
      <c r="J712" t="str" cm="1">
        <f t="array" ref="J712">_xlfn.IFS(I712&lt;=0,"No Dependents",I712&lt;=1,"One",I712&lt;=2,"Two",I712&gt;=3,"Third")</f>
        <v>One</v>
      </c>
      <c r="K712">
        <v>667</v>
      </c>
      <c r="L712" t="str" cm="1">
        <f t="array" ref="L712">_xlfn.IFS(K712&lt;=580,"Poor",K712&lt;=670,"fair",K712&lt;=740,"Good",K712&lt;=800,"Very Good",K712&gt;=800,"Excellent")</f>
        <v>fair</v>
      </c>
      <c r="M712">
        <v>2</v>
      </c>
      <c r="N712" t="str">
        <f t="shared" si="45"/>
        <v>Yes</v>
      </c>
      <c r="O712">
        <v>0.41</v>
      </c>
      <c r="P712" t="str" cm="1">
        <f t="array" ref="P712">_xlfn.IFS(O712&lt;=0.3,"Low Risk",O712&lt;=0.4,"medium Risk",O712&lt;=0.5,"High Risk",O712&gt;0.5,"Very High Risk")</f>
        <v>High Risk</v>
      </c>
      <c r="Q712">
        <v>1384</v>
      </c>
      <c r="R712">
        <v>33586</v>
      </c>
      <c r="S712" t="str">
        <f t="shared" si="46"/>
        <v>Yes</v>
      </c>
      <c r="T712">
        <v>4275</v>
      </c>
      <c r="U712" t="str" cm="1">
        <f t="array" ref="U712">_xlfn.IFS(T712&lt;5000,"Small",T712&lt;20000,"Medium",T712&lt;35000,"Large",T712&gt;35000,"Very Large")</f>
        <v>Small</v>
      </c>
      <c r="V712">
        <v>72</v>
      </c>
      <c r="W712">
        <f t="shared" si="47"/>
        <v>6</v>
      </c>
      <c r="X712" t="s">
        <v>31</v>
      </c>
      <c r="Y712" t="s">
        <v>45</v>
      </c>
      <c r="Z712" t="s">
        <v>39</v>
      </c>
      <c r="AA712" t="s">
        <v>40</v>
      </c>
      <c r="AB712" t="s">
        <v>35</v>
      </c>
      <c r="AC712" t="s">
        <v>36</v>
      </c>
    </row>
    <row r="713" spans="1:29" x14ac:dyDescent="0.25">
      <c r="A713">
        <v>752</v>
      </c>
      <c r="B713">
        <v>8283</v>
      </c>
      <c r="C713">
        <v>5203</v>
      </c>
      <c r="D713">
        <f t="shared" si="44"/>
        <v>13486</v>
      </c>
      <c r="E713" t="s">
        <v>29</v>
      </c>
      <c r="F713">
        <v>22</v>
      </c>
      <c r="G713" t="str" cm="1">
        <f t="array" ref="G713">_xlfn.IFS(F713&lt;25,"18-24",F713&lt;35,"25-35",F713&lt;45,"35-44",F713&lt;55,"44-54",F713&gt;=55,"55+")</f>
        <v>18-24</v>
      </c>
      <c r="H713" t="s">
        <v>41</v>
      </c>
      <c r="I713">
        <v>1</v>
      </c>
      <c r="J713" t="str" cm="1">
        <f t="array" ref="J713">_xlfn.IFS(I713&lt;=0,"No Dependents",I713&lt;=1,"One",I713&lt;=2,"Two",I713&gt;=3,"Third")</f>
        <v>One</v>
      </c>
      <c r="K713">
        <v>629</v>
      </c>
      <c r="L713" t="str" cm="1">
        <f t="array" ref="L713">_xlfn.IFS(K713&lt;=580,"Poor",K713&lt;=670,"fair",K713&lt;=740,"Good",K713&lt;=800,"Very Good",K713&gt;=800,"Excellent")</f>
        <v>fair</v>
      </c>
      <c r="M713">
        <v>1</v>
      </c>
      <c r="N713" t="str">
        <f t="shared" si="45"/>
        <v>Yes</v>
      </c>
      <c r="O713">
        <v>0.45</v>
      </c>
      <c r="P713" t="str" cm="1">
        <f t="array" ref="P713">_xlfn.IFS(O713&lt;=0.3,"Low Risk",O713&lt;=0.4,"medium Risk",O713&lt;=0.5,"High Risk",O713&gt;0.5,"Very High Risk")</f>
        <v>High Risk</v>
      </c>
      <c r="Q713">
        <v>8252</v>
      </c>
      <c r="R713">
        <v>10360</v>
      </c>
      <c r="S713" t="str">
        <f t="shared" si="46"/>
        <v>Yes</v>
      </c>
      <c r="T713">
        <v>9747</v>
      </c>
      <c r="U713" t="str" cm="1">
        <f t="array" ref="U713">_xlfn.IFS(T713&lt;5000,"Small",T713&lt;20000,"Medium",T713&lt;35000,"Large",T713&gt;35000,"Very Large")</f>
        <v>Medium</v>
      </c>
      <c r="V713">
        <v>12</v>
      </c>
      <c r="W713">
        <f t="shared" si="47"/>
        <v>1</v>
      </c>
      <c r="X713" t="s">
        <v>42</v>
      </c>
      <c r="Y713" t="s">
        <v>32</v>
      </c>
      <c r="Z713" t="s">
        <v>39</v>
      </c>
      <c r="AA713" t="s">
        <v>40</v>
      </c>
      <c r="AB713" t="s">
        <v>43</v>
      </c>
      <c r="AC713" t="s">
        <v>36</v>
      </c>
    </row>
    <row r="714" spans="1:29" x14ac:dyDescent="0.25">
      <c r="A714">
        <v>753</v>
      </c>
      <c r="B714">
        <v>4048</v>
      </c>
      <c r="C714">
        <v>9667</v>
      </c>
      <c r="D714">
        <f t="shared" si="44"/>
        <v>13715</v>
      </c>
      <c r="E714" t="s">
        <v>46</v>
      </c>
      <c r="F714">
        <v>28</v>
      </c>
      <c r="G714" t="str" cm="1">
        <f t="array" ref="G714">_xlfn.IFS(F714&lt;25,"18-24",F714&lt;35,"25-35",F714&lt;45,"35-44",F714&lt;55,"44-54",F714&gt;=55,"55+")</f>
        <v>25-35</v>
      </c>
      <c r="H714" t="s">
        <v>30</v>
      </c>
      <c r="I714">
        <v>0</v>
      </c>
      <c r="J714" t="str" cm="1">
        <f t="array" ref="J714">_xlfn.IFS(I714&lt;=0,"No Dependents",I714&lt;=1,"One",I714&lt;=2,"Two",I714&gt;=3,"Third")</f>
        <v>No Dependents</v>
      </c>
      <c r="K714">
        <v>677</v>
      </c>
      <c r="L714" t="str" cm="1">
        <f t="array" ref="L714">_xlfn.IFS(K714&lt;=580,"Poor",K714&lt;=670,"fair",K714&lt;=740,"Good",K714&lt;=800,"Very Good",K714&gt;=800,"Excellent")</f>
        <v>Good</v>
      </c>
      <c r="M714">
        <v>2</v>
      </c>
      <c r="N714" t="str">
        <f t="shared" si="45"/>
        <v>Yes</v>
      </c>
      <c r="O714">
        <v>0.46</v>
      </c>
      <c r="P714" t="str" cm="1">
        <f t="array" ref="P714">_xlfn.IFS(O714&lt;=0.3,"Low Risk",O714&lt;=0.4,"medium Risk",O714&lt;=0.5,"High Risk",O714&gt;0.5,"Very High Risk")</f>
        <v>High Risk</v>
      </c>
      <c r="Q714">
        <v>7238</v>
      </c>
      <c r="R714">
        <v>21424</v>
      </c>
      <c r="S714" t="str">
        <f t="shared" si="46"/>
        <v>Yes</v>
      </c>
      <c r="T714">
        <v>1824</v>
      </c>
      <c r="U714" t="str" cm="1">
        <f t="array" ref="U714">_xlfn.IFS(T714&lt;5000,"Small",T714&lt;20000,"Medium",T714&lt;35000,"Large",T714&gt;35000,"Very Large")</f>
        <v>Small</v>
      </c>
      <c r="V714">
        <v>24</v>
      </c>
      <c r="W714">
        <f t="shared" si="47"/>
        <v>2</v>
      </c>
      <c r="X714" t="s">
        <v>47</v>
      </c>
      <c r="Y714" t="s">
        <v>32</v>
      </c>
      <c r="Z714" t="s">
        <v>39</v>
      </c>
      <c r="AA714" t="s">
        <v>40</v>
      </c>
      <c r="AB714" t="s">
        <v>35</v>
      </c>
      <c r="AC714" t="s">
        <v>36</v>
      </c>
    </row>
    <row r="715" spans="1:29" x14ac:dyDescent="0.25">
      <c r="A715">
        <v>754</v>
      </c>
      <c r="B715">
        <v>8233</v>
      </c>
      <c r="C715">
        <v>1798</v>
      </c>
      <c r="D715">
        <f t="shared" si="44"/>
        <v>10031</v>
      </c>
      <c r="E715" t="s">
        <v>29</v>
      </c>
      <c r="F715">
        <v>31</v>
      </c>
      <c r="G715" t="str" cm="1">
        <f t="array" ref="G715">_xlfn.IFS(F715&lt;25,"18-24",F715&lt;35,"25-35",F715&lt;45,"35-44",F715&lt;55,"44-54",F715&gt;=55,"55+")</f>
        <v>25-35</v>
      </c>
      <c r="H715" t="s">
        <v>41</v>
      </c>
      <c r="I715">
        <v>2</v>
      </c>
      <c r="J715" t="str" cm="1">
        <f t="array" ref="J715">_xlfn.IFS(I715&lt;=0,"No Dependents",I715&lt;=1,"One",I715&lt;=2,"Two",I715&gt;=3,"Third")</f>
        <v>Two</v>
      </c>
      <c r="K715">
        <v>722</v>
      </c>
      <c r="L715" t="str" cm="1">
        <f t="array" ref="L715">_xlfn.IFS(K715&lt;=580,"Poor",K715&lt;=670,"fair",K715&lt;=740,"Good",K715&lt;=800,"Very Good",K715&gt;=800,"Excellent")</f>
        <v>Good</v>
      </c>
      <c r="M715">
        <v>3</v>
      </c>
      <c r="N715" t="str">
        <f t="shared" si="45"/>
        <v>Yes</v>
      </c>
      <c r="O715">
        <v>0.13</v>
      </c>
      <c r="P715" t="str" cm="1">
        <f t="array" ref="P715">_xlfn.IFS(O715&lt;=0.3,"Low Risk",O715&lt;=0.4,"medium Risk",O715&lt;=0.5,"High Risk",O715&gt;0.5,"Very High Risk")</f>
        <v>Low Risk</v>
      </c>
      <c r="Q715">
        <v>6026</v>
      </c>
      <c r="R715">
        <v>32499</v>
      </c>
      <c r="S715" t="str">
        <f t="shared" si="46"/>
        <v>Yes</v>
      </c>
      <c r="T715">
        <v>14880</v>
      </c>
      <c r="U715" t="str" cm="1">
        <f t="array" ref="U715">_xlfn.IFS(T715&lt;5000,"Small",T715&lt;20000,"Medium",T715&lt;35000,"Large",T715&gt;35000,"Very Large")</f>
        <v>Medium</v>
      </c>
      <c r="V715">
        <v>36</v>
      </c>
      <c r="W715">
        <f t="shared" si="47"/>
        <v>3</v>
      </c>
      <c r="X715" t="s">
        <v>42</v>
      </c>
      <c r="Y715" t="s">
        <v>32</v>
      </c>
      <c r="Z715" t="s">
        <v>39</v>
      </c>
      <c r="AA715" t="s">
        <v>34</v>
      </c>
      <c r="AB715" t="s">
        <v>35</v>
      </c>
      <c r="AC715" t="s">
        <v>44</v>
      </c>
    </row>
    <row r="716" spans="1:29" x14ac:dyDescent="0.25">
      <c r="A716">
        <v>755</v>
      </c>
      <c r="B716">
        <v>14941</v>
      </c>
      <c r="C716">
        <v>9600</v>
      </c>
      <c r="D716">
        <f t="shared" si="44"/>
        <v>24541</v>
      </c>
      <c r="E716" t="s">
        <v>29</v>
      </c>
      <c r="F716">
        <v>53</v>
      </c>
      <c r="G716" t="str" cm="1">
        <f t="array" ref="G716">_xlfn.IFS(F716&lt;25,"18-24",F716&lt;35,"25-35",F716&lt;45,"35-44",F716&lt;55,"44-54",F716&gt;=55,"55+")</f>
        <v>44-54</v>
      </c>
      <c r="H716" t="s">
        <v>30</v>
      </c>
      <c r="I716">
        <v>2</v>
      </c>
      <c r="J716" t="str" cm="1">
        <f t="array" ref="J716">_xlfn.IFS(I716&lt;=0,"No Dependents",I716&lt;=1,"One",I716&lt;=2,"Two",I716&gt;=3,"Third")</f>
        <v>Two</v>
      </c>
      <c r="K716">
        <v>584</v>
      </c>
      <c r="L716" t="str" cm="1">
        <f t="array" ref="L716">_xlfn.IFS(K716&lt;=580,"Poor",K716&lt;=670,"fair",K716&lt;=740,"Good",K716&lt;=800,"Very Good",K716&gt;=800,"Excellent")</f>
        <v>fair</v>
      </c>
      <c r="M716">
        <v>4</v>
      </c>
      <c r="N716" t="str">
        <f t="shared" si="45"/>
        <v>Yes</v>
      </c>
      <c r="O716">
        <v>0.53</v>
      </c>
      <c r="P716" t="str" cm="1">
        <f t="array" ref="P716">_xlfn.IFS(O716&lt;=0.3,"Low Risk",O716&lt;=0.4,"medium Risk",O716&lt;=0.5,"High Risk",O716&gt;0.5,"Very High Risk")</f>
        <v>Very High Risk</v>
      </c>
      <c r="Q716">
        <v>10482</v>
      </c>
      <c r="R716">
        <v>44695</v>
      </c>
      <c r="S716" t="str">
        <f t="shared" si="46"/>
        <v>Yes</v>
      </c>
      <c r="T716">
        <v>2081</v>
      </c>
      <c r="U716" t="str" cm="1">
        <f t="array" ref="U716">_xlfn.IFS(T716&lt;5000,"Small",T716&lt;20000,"Medium",T716&lt;35000,"Large",T716&gt;35000,"Very Large")</f>
        <v>Small</v>
      </c>
      <c r="V716">
        <v>12</v>
      </c>
      <c r="W716">
        <f t="shared" si="47"/>
        <v>1</v>
      </c>
      <c r="X716" t="s">
        <v>50</v>
      </c>
      <c r="Y716" t="s">
        <v>32</v>
      </c>
      <c r="Z716" t="s">
        <v>33</v>
      </c>
      <c r="AA716" t="s">
        <v>40</v>
      </c>
      <c r="AB716" t="s">
        <v>51</v>
      </c>
      <c r="AC716" t="s">
        <v>36</v>
      </c>
    </row>
    <row r="717" spans="1:29" x14ac:dyDescent="0.25">
      <c r="A717">
        <v>756</v>
      </c>
      <c r="B717">
        <v>14607</v>
      </c>
      <c r="C717">
        <v>5291</v>
      </c>
      <c r="D717">
        <f t="shared" si="44"/>
        <v>19898</v>
      </c>
      <c r="E717" t="s">
        <v>29</v>
      </c>
      <c r="F717">
        <v>58</v>
      </c>
      <c r="G717" t="str" cm="1">
        <f t="array" ref="G717">_xlfn.IFS(F717&lt;25,"18-24",F717&lt;35,"25-35",F717&lt;45,"35-44",F717&lt;55,"44-54",F717&gt;=55,"55+")</f>
        <v>55+</v>
      </c>
      <c r="H717" t="s">
        <v>30</v>
      </c>
      <c r="I717">
        <v>0</v>
      </c>
      <c r="J717" t="str" cm="1">
        <f t="array" ref="J717">_xlfn.IFS(I717&lt;=0,"No Dependents",I717&lt;=1,"One",I717&lt;=2,"Two",I717&gt;=3,"Third")</f>
        <v>No Dependents</v>
      </c>
      <c r="K717">
        <v>552</v>
      </c>
      <c r="L717" t="str" cm="1">
        <f t="array" ref="L717">_xlfn.IFS(K717&lt;=580,"Poor",K717&lt;=670,"fair",K717&lt;=740,"Good",K717&lt;=800,"Very Good",K717&gt;=800,"Excellent")</f>
        <v>Poor</v>
      </c>
      <c r="M717">
        <v>1</v>
      </c>
      <c r="N717" t="str">
        <f t="shared" si="45"/>
        <v>Yes</v>
      </c>
      <c r="O717">
        <v>0.33</v>
      </c>
      <c r="P717" t="str" cm="1">
        <f t="array" ref="P717">_xlfn.IFS(O717&lt;=0.3,"Low Risk",O717&lt;=0.4,"medium Risk",O717&lt;=0.5,"High Risk",O717&gt;0.5,"Very High Risk")</f>
        <v>medium Risk</v>
      </c>
      <c r="Q717">
        <v>13801</v>
      </c>
      <c r="R717">
        <v>48791</v>
      </c>
      <c r="S717" t="str">
        <f t="shared" si="46"/>
        <v>Yes</v>
      </c>
      <c r="T717">
        <v>12517</v>
      </c>
      <c r="U717" t="str" cm="1">
        <f t="array" ref="U717">_xlfn.IFS(T717&lt;5000,"Small",T717&lt;20000,"Medium",T717&lt;35000,"Large",T717&gt;35000,"Very Large")</f>
        <v>Medium</v>
      </c>
      <c r="V717">
        <v>12</v>
      </c>
      <c r="W717">
        <f t="shared" si="47"/>
        <v>1</v>
      </c>
      <c r="X717" t="s">
        <v>37</v>
      </c>
      <c r="Y717" t="s">
        <v>32</v>
      </c>
      <c r="Z717" t="s">
        <v>39</v>
      </c>
      <c r="AA717" t="s">
        <v>40</v>
      </c>
      <c r="AB717" t="s">
        <v>35</v>
      </c>
      <c r="AC717" t="s">
        <v>36</v>
      </c>
    </row>
    <row r="718" spans="1:29" x14ac:dyDescent="0.25">
      <c r="A718">
        <v>757</v>
      </c>
      <c r="B718">
        <v>11765</v>
      </c>
      <c r="C718">
        <v>5495</v>
      </c>
      <c r="D718">
        <f t="shared" si="44"/>
        <v>17260</v>
      </c>
      <c r="E718" t="s">
        <v>29</v>
      </c>
      <c r="F718">
        <v>47</v>
      </c>
      <c r="G718" t="str" cm="1">
        <f t="array" ref="G718">_xlfn.IFS(F718&lt;25,"18-24",F718&lt;35,"25-35",F718&lt;45,"35-44",F718&lt;55,"44-54",F718&gt;=55,"55+")</f>
        <v>44-54</v>
      </c>
      <c r="H718" t="s">
        <v>30</v>
      </c>
      <c r="I718">
        <v>2</v>
      </c>
      <c r="J718" t="str" cm="1">
        <f t="array" ref="J718">_xlfn.IFS(I718&lt;=0,"No Dependents",I718&lt;=1,"One",I718&lt;=2,"Two",I718&gt;=3,"Third")</f>
        <v>Two</v>
      </c>
      <c r="K718">
        <v>669</v>
      </c>
      <c r="L718" t="str" cm="1">
        <f t="array" ref="L718">_xlfn.IFS(K718&lt;=580,"Poor",K718&lt;=670,"fair",K718&lt;=740,"Good",K718&lt;=800,"Very Good",K718&gt;=800,"Excellent")</f>
        <v>fair</v>
      </c>
      <c r="M718">
        <v>3</v>
      </c>
      <c r="N718" t="str">
        <f t="shared" si="45"/>
        <v>Yes</v>
      </c>
      <c r="O718">
        <v>0.23</v>
      </c>
      <c r="P718" t="str" cm="1">
        <f t="array" ref="P718">_xlfn.IFS(O718&lt;=0.3,"Low Risk",O718&lt;=0.4,"medium Risk",O718&lt;=0.5,"High Risk",O718&gt;0.5,"Very High Risk")</f>
        <v>Low Risk</v>
      </c>
      <c r="Q718">
        <v>16120</v>
      </c>
      <c r="R718">
        <v>3065</v>
      </c>
      <c r="S718" t="str">
        <f t="shared" si="46"/>
        <v>Yes</v>
      </c>
      <c r="T718">
        <v>22683</v>
      </c>
      <c r="U718" t="str" cm="1">
        <f t="array" ref="U718">_xlfn.IFS(T718&lt;5000,"Small",T718&lt;20000,"Medium",T718&lt;35000,"Large",T718&gt;35000,"Very Large")</f>
        <v>Large</v>
      </c>
      <c r="V718">
        <v>60</v>
      </c>
      <c r="W718">
        <f t="shared" si="47"/>
        <v>5</v>
      </c>
      <c r="X718" t="s">
        <v>47</v>
      </c>
      <c r="Y718" t="s">
        <v>32</v>
      </c>
      <c r="Z718" t="s">
        <v>39</v>
      </c>
      <c r="AA718" t="s">
        <v>40</v>
      </c>
      <c r="AB718" t="s">
        <v>51</v>
      </c>
      <c r="AC718" t="s">
        <v>44</v>
      </c>
    </row>
    <row r="719" spans="1:29" x14ac:dyDescent="0.25">
      <c r="A719">
        <v>758</v>
      </c>
      <c r="B719">
        <v>3828</v>
      </c>
      <c r="C719">
        <v>9900</v>
      </c>
      <c r="D719">
        <f t="shared" si="44"/>
        <v>13728</v>
      </c>
      <c r="E719" t="s">
        <v>29</v>
      </c>
      <c r="F719">
        <v>40</v>
      </c>
      <c r="G719" t="str" cm="1">
        <f t="array" ref="G719">_xlfn.IFS(F719&lt;25,"18-24",F719&lt;35,"25-35",F719&lt;45,"35-44",F719&lt;55,"44-54",F719&gt;=55,"55+")</f>
        <v>35-44</v>
      </c>
      <c r="H719" t="s">
        <v>41</v>
      </c>
      <c r="I719">
        <v>0</v>
      </c>
      <c r="J719" t="str" cm="1">
        <f t="array" ref="J719">_xlfn.IFS(I719&lt;=0,"No Dependents",I719&lt;=1,"One",I719&lt;=2,"Two",I719&gt;=3,"Third")</f>
        <v>No Dependents</v>
      </c>
      <c r="K719">
        <v>554</v>
      </c>
      <c r="L719" t="str" cm="1">
        <f t="array" ref="L719">_xlfn.IFS(K719&lt;=580,"Poor",K719&lt;=670,"fair",K719&lt;=740,"Good",K719&lt;=800,"Very Good",K719&gt;=800,"Excellent")</f>
        <v>Poor</v>
      </c>
      <c r="M719">
        <v>2</v>
      </c>
      <c r="N719" t="str">
        <f t="shared" si="45"/>
        <v>Yes</v>
      </c>
      <c r="O719">
        <v>0.22</v>
      </c>
      <c r="P719" t="str" cm="1">
        <f t="array" ref="P719">_xlfn.IFS(O719&lt;=0.3,"Low Risk",O719&lt;=0.4,"medium Risk",O719&lt;=0.5,"High Risk",O719&gt;0.5,"Very High Risk")</f>
        <v>Low Risk</v>
      </c>
      <c r="Q719">
        <v>15580</v>
      </c>
      <c r="R719">
        <v>3259</v>
      </c>
      <c r="S719" t="str">
        <f t="shared" si="46"/>
        <v>Yes</v>
      </c>
      <c r="T719">
        <v>17876</v>
      </c>
      <c r="U719" t="str" cm="1">
        <f t="array" ref="U719">_xlfn.IFS(T719&lt;5000,"Small",T719&lt;20000,"Medium",T719&lt;35000,"Large",T719&gt;35000,"Very Large")</f>
        <v>Medium</v>
      </c>
      <c r="V719">
        <v>72</v>
      </c>
      <c r="W719">
        <f t="shared" si="47"/>
        <v>6</v>
      </c>
      <c r="X719" t="s">
        <v>50</v>
      </c>
      <c r="Y719" t="s">
        <v>38</v>
      </c>
      <c r="Z719" t="s">
        <v>33</v>
      </c>
      <c r="AA719" t="s">
        <v>34</v>
      </c>
      <c r="AB719" t="s">
        <v>43</v>
      </c>
      <c r="AC719" t="s">
        <v>36</v>
      </c>
    </row>
    <row r="720" spans="1:29" x14ac:dyDescent="0.25">
      <c r="A720">
        <v>759</v>
      </c>
      <c r="B720">
        <v>3917</v>
      </c>
      <c r="C720">
        <v>6284</v>
      </c>
      <c r="D720">
        <f t="shared" si="44"/>
        <v>10201</v>
      </c>
      <c r="E720" t="s">
        <v>48</v>
      </c>
      <c r="F720">
        <v>40</v>
      </c>
      <c r="G720" t="str" cm="1">
        <f t="array" ref="G720">_xlfn.IFS(F720&lt;25,"18-24",F720&lt;35,"25-35",F720&lt;45,"35-44",F720&lt;55,"44-54",F720&gt;=55,"55+")</f>
        <v>35-44</v>
      </c>
      <c r="H720" t="s">
        <v>41</v>
      </c>
      <c r="I720">
        <v>1</v>
      </c>
      <c r="J720" t="str" cm="1">
        <f t="array" ref="J720">_xlfn.IFS(I720&lt;=0,"No Dependents",I720&lt;=1,"One",I720&lt;=2,"Two",I720&gt;=3,"Third")</f>
        <v>One</v>
      </c>
      <c r="K720">
        <v>767</v>
      </c>
      <c r="L720" t="str" cm="1">
        <f t="array" ref="L720">_xlfn.IFS(K720&lt;=580,"Poor",K720&lt;=670,"fair",K720&lt;=740,"Good",K720&lt;=800,"Very Good",K720&gt;=800,"Excellent")</f>
        <v>Very Good</v>
      </c>
      <c r="M720">
        <v>1</v>
      </c>
      <c r="N720" t="str">
        <f t="shared" si="45"/>
        <v>Yes</v>
      </c>
      <c r="O720">
        <v>0.34</v>
      </c>
      <c r="P720" t="str" cm="1">
        <f t="array" ref="P720">_xlfn.IFS(O720&lt;=0.3,"Low Risk",O720&lt;=0.4,"medium Risk",O720&lt;=0.5,"High Risk",O720&gt;0.5,"Very High Risk")</f>
        <v>medium Risk</v>
      </c>
      <c r="Q720">
        <v>8664</v>
      </c>
      <c r="R720">
        <v>12300</v>
      </c>
      <c r="S720" t="str">
        <f t="shared" si="46"/>
        <v>Yes</v>
      </c>
      <c r="T720">
        <v>38532</v>
      </c>
      <c r="U720" t="str" cm="1">
        <f t="array" ref="U720">_xlfn.IFS(T720&lt;5000,"Small",T720&lt;20000,"Medium",T720&lt;35000,"Large",T720&gt;35000,"Very Large")</f>
        <v>Very Large</v>
      </c>
      <c r="V720">
        <v>72</v>
      </c>
      <c r="W720">
        <f t="shared" si="47"/>
        <v>6</v>
      </c>
      <c r="X720" t="s">
        <v>50</v>
      </c>
      <c r="Y720" t="s">
        <v>32</v>
      </c>
      <c r="Z720" t="s">
        <v>39</v>
      </c>
      <c r="AA720" t="s">
        <v>40</v>
      </c>
      <c r="AB720" t="s">
        <v>35</v>
      </c>
      <c r="AC720" t="s">
        <v>36</v>
      </c>
    </row>
    <row r="721" spans="1:29" x14ac:dyDescent="0.25">
      <c r="A721">
        <v>760</v>
      </c>
      <c r="B721">
        <v>8988</v>
      </c>
      <c r="C721">
        <v>7285</v>
      </c>
      <c r="D721">
        <f t="shared" si="44"/>
        <v>16273</v>
      </c>
      <c r="E721" t="s">
        <v>29</v>
      </c>
      <c r="F721">
        <v>51</v>
      </c>
      <c r="G721" t="str" cm="1">
        <f t="array" ref="G721">_xlfn.IFS(F721&lt;25,"18-24",F721&lt;35,"25-35",F721&lt;45,"35-44",F721&lt;55,"44-54",F721&gt;=55,"55+")</f>
        <v>44-54</v>
      </c>
      <c r="H721" t="s">
        <v>30</v>
      </c>
      <c r="I721">
        <v>3</v>
      </c>
      <c r="J721" t="str" cm="1">
        <f t="array" ref="J721">_xlfn.IFS(I721&lt;=0,"No Dependents",I721&lt;=1,"One",I721&lt;=2,"Two",I721&gt;=3,"Third")</f>
        <v>Third</v>
      </c>
      <c r="K721">
        <v>560</v>
      </c>
      <c r="L721" t="str" cm="1">
        <f t="array" ref="L721">_xlfn.IFS(K721&lt;=580,"Poor",K721&lt;=670,"fair",K721&lt;=740,"Good",K721&lt;=800,"Very Good",K721&gt;=800,"Excellent")</f>
        <v>Poor</v>
      </c>
      <c r="M721">
        <v>1</v>
      </c>
      <c r="N721" t="str">
        <f t="shared" si="45"/>
        <v>Yes</v>
      </c>
      <c r="O721">
        <v>0.54</v>
      </c>
      <c r="P721" t="str" cm="1">
        <f t="array" ref="P721">_xlfn.IFS(O721&lt;=0.3,"Low Risk",O721&lt;=0.4,"medium Risk",O721&lt;=0.5,"High Risk",O721&gt;0.5,"Very High Risk")</f>
        <v>Very High Risk</v>
      </c>
      <c r="Q721">
        <v>17342</v>
      </c>
      <c r="R721">
        <v>33370</v>
      </c>
      <c r="S721" t="str">
        <f t="shared" si="46"/>
        <v>Yes</v>
      </c>
      <c r="T721">
        <v>9266</v>
      </c>
      <c r="U721" t="str" cm="1">
        <f t="array" ref="U721">_xlfn.IFS(T721&lt;5000,"Small",T721&lt;20000,"Medium",T721&lt;35000,"Large",T721&gt;35000,"Very Large")</f>
        <v>Medium</v>
      </c>
      <c r="V721">
        <v>84</v>
      </c>
      <c r="W721">
        <f t="shared" si="47"/>
        <v>7</v>
      </c>
      <c r="X721" t="s">
        <v>42</v>
      </c>
      <c r="Y721" t="s">
        <v>32</v>
      </c>
      <c r="Z721" t="s">
        <v>39</v>
      </c>
      <c r="AA721" t="s">
        <v>40</v>
      </c>
      <c r="AB721" t="s">
        <v>42</v>
      </c>
      <c r="AC721" t="s">
        <v>36</v>
      </c>
    </row>
    <row r="722" spans="1:29" x14ac:dyDescent="0.25">
      <c r="A722">
        <v>761</v>
      </c>
      <c r="B722">
        <v>16594</v>
      </c>
      <c r="C722">
        <v>1300</v>
      </c>
      <c r="D722">
        <f t="shared" si="44"/>
        <v>17894</v>
      </c>
      <c r="E722" t="s">
        <v>49</v>
      </c>
      <c r="F722">
        <v>47</v>
      </c>
      <c r="G722" t="str" cm="1">
        <f t="array" ref="G722">_xlfn.IFS(F722&lt;25,"18-24",F722&lt;35,"25-35",F722&lt;45,"35-44",F722&lt;55,"44-54",F722&gt;=55,"55+")</f>
        <v>44-54</v>
      </c>
      <c r="H722" t="s">
        <v>30</v>
      </c>
      <c r="I722">
        <v>3</v>
      </c>
      <c r="J722" t="str" cm="1">
        <f t="array" ref="J722">_xlfn.IFS(I722&lt;=0,"No Dependents",I722&lt;=1,"One",I722&lt;=2,"Two",I722&gt;=3,"Third")</f>
        <v>Third</v>
      </c>
      <c r="K722">
        <v>675</v>
      </c>
      <c r="L722" t="str" cm="1">
        <f t="array" ref="L722">_xlfn.IFS(K722&lt;=580,"Poor",K722&lt;=670,"fair",K722&lt;=740,"Good",K722&lt;=800,"Very Good",K722&gt;=800,"Excellent")</f>
        <v>Good</v>
      </c>
      <c r="M722">
        <v>3</v>
      </c>
      <c r="N722" t="str">
        <f t="shared" si="45"/>
        <v>Yes</v>
      </c>
      <c r="O722">
        <v>0.28999999999999998</v>
      </c>
      <c r="P722" t="str" cm="1">
        <f t="array" ref="P722">_xlfn.IFS(O722&lt;=0.3,"Low Risk",O722&lt;=0.4,"medium Risk",O722&lt;=0.5,"High Risk",O722&gt;0.5,"Very High Risk")</f>
        <v>Low Risk</v>
      </c>
      <c r="Q722">
        <v>493</v>
      </c>
      <c r="R722">
        <v>4295</v>
      </c>
      <c r="S722" t="str">
        <f t="shared" si="46"/>
        <v>Yes</v>
      </c>
      <c r="T722">
        <v>12183</v>
      </c>
      <c r="U722" t="str" cm="1">
        <f t="array" ref="U722">_xlfn.IFS(T722&lt;5000,"Small",T722&lt;20000,"Medium",T722&lt;35000,"Large",T722&gt;35000,"Very Large")</f>
        <v>Medium</v>
      </c>
      <c r="V722">
        <v>36</v>
      </c>
      <c r="W722">
        <f t="shared" si="47"/>
        <v>3</v>
      </c>
      <c r="X722" t="s">
        <v>31</v>
      </c>
      <c r="Y722" t="s">
        <v>32</v>
      </c>
      <c r="Z722" t="s">
        <v>39</v>
      </c>
      <c r="AA722" t="s">
        <v>40</v>
      </c>
      <c r="AB722" t="s">
        <v>43</v>
      </c>
      <c r="AC722" t="s">
        <v>44</v>
      </c>
    </row>
    <row r="723" spans="1:29" x14ac:dyDescent="0.25">
      <c r="A723">
        <v>762</v>
      </c>
      <c r="B723">
        <v>14977</v>
      </c>
      <c r="C723">
        <v>6869</v>
      </c>
      <c r="D723">
        <f t="shared" si="44"/>
        <v>21846</v>
      </c>
      <c r="E723" t="s">
        <v>49</v>
      </c>
      <c r="F723">
        <v>52</v>
      </c>
      <c r="G723" t="str" cm="1">
        <f t="array" ref="G723">_xlfn.IFS(F723&lt;25,"18-24",F723&lt;35,"25-35",F723&lt;45,"35-44",F723&lt;55,"44-54",F723&gt;=55,"55+")</f>
        <v>44-54</v>
      </c>
      <c r="H723" t="s">
        <v>41</v>
      </c>
      <c r="I723">
        <v>1</v>
      </c>
      <c r="J723" t="str" cm="1">
        <f t="array" ref="J723">_xlfn.IFS(I723&lt;=0,"No Dependents",I723&lt;=1,"One",I723&lt;=2,"Two",I723&gt;=3,"Third")</f>
        <v>One</v>
      </c>
      <c r="K723">
        <v>620</v>
      </c>
      <c r="L723" t="str" cm="1">
        <f t="array" ref="L723">_xlfn.IFS(K723&lt;=580,"Poor",K723&lt;=670,"fair",K723&lt;=740,"Good",K723&lt;=800,"Very Good",K723&gt;=800,"Excellent")</f>
        <v>fair</v>
      </c>
      <c r="M723">
        <v>1</v>
      </c>
      <c r="N723" t="str">
        <f t="shared" si="45"/>
        <v>Yes</v>
      </c>
      <c r="O723">
        <v>0.47</v>
      </c>
      <c r="P723" t="str" cm="1">
        <f t="array" ref="P723">_xlfn.IFS(O723&lt;=0.3,"Low Risk",O723&lt;=0.4,"medium Risk",O723&lt;=0.5,"High Risk",O723&gt;0.5,"Very High Risk")</f>
        <v>High Risk</v>
      </c>
      <c r="Q723">
        <v>16465</v>
      </c>
      <c r="R723">
        <v>27209</v>
      </c>
      <c r="S723" t="str">
        <f t="shared" si="46"/>
        <v>Yes</v>
      </c>
      <c r="T723">
        <v>22066</v>
      </c>
      <c r="U723" t="str" cm="1">
        <f t="array" ref="U723">_xlfn.IFS(T723&lt;5000,"Small",T723&lt;20000,"Medium",T723&lt;35000,"Large",T723&gt;35000,"Very Large")</f>
        <v>Large</v>
      </c>
      <c r="V723">
        <v>60</v>
      </c>
      <c r="W723">
        <f t="shared" si="47"/>
        <v>5</v>
      </c>
      <c r="X723" t="s">
        <v>42</v>
      </c>
      <c r="Y723" t="s">
        <v>45</v>
      </c>
      <c r="Z723" t="s">
        <v>39</v>
      </c>
      <c r="AA723" t="s">
        <v>40</v>
      </c>
      <c r="AB723" t="s">
        <v>35</v>
      </c>
      <c r="AC723" t="s">
        <v>36</v>
      </c>
    </row>
    <row r="724" spans="1:29" x14ac:dyDescent="0.25">
      <c r="A724">
        <v>763</v>
      </c>
      <c r="B724">
        <v>2009</v>
      </c>
      <c r="C724">
        <v>9435</v>
      </c>
      <c r="D724">
        <f t="shared" si="44"/>
        <v>11444</v>
      </c>
      <c r="E724" t="s">
        <v>48</v>
      </c>
      <c r="F724">
        <v>30</v>
      </c>
      <c r="G724" t="str" cm="1">
        <f t="array" ref="G724">_xlfn.IFS(F724&lt;25,"18-24",F724&lt;35,"25-35",F724&lt;45,"35-44",F724&lt;55,"44-54",F724&gt;=55,"55+")</f>
        <v>25-35</v>
      </c>
      <c r="H724" t="s">
        <v>30</v>
      </c>
      <c r="I724">
        <v>3</v>
      </c>
      <c r="J724" t="str" cm="1">
        <f t="array" ref="J724">_xlfn.IFS(I724&lt;=0,"No Dependents",I724&lt;=1,"One",I724&lt;=2,"Two",I724&gt;=3,"Third")</f>
        <v>Third</v>
      </c>
      <c r="K724">
        <v>666</v>
      </c>
      <c r="L724" t="str" cm="1">
        <f t="array" ref="L724">_xlfn.IFS(K724&lt;=580,"Poor",K724&lt;=670,"fair",K724&lt;=740,"Good",K724&lt;=800,"Very Good",K724&gt;=800,"Excellent")</f>
        <v>fair</v>
      </c>
      <c r="M724">
        <v>4</v>
      </c>
      <c r="N724" t="str">
        <f t="shared" si="45"/>
        <v>Yes</v>
      </c>
      <c r="O724">
        <v>0.15</v>
      </c>
      <c r="P724" t="str" cm="1">
        <f t="array" ref="P724">_xlfn.IFS(O724&lt;=0.3,"Low Risk",O724&lt;=0.4,"medium Risk",O724&lt;=0.5,"High Risk",O724&gt;0.5,"Very High Risk")</f>
        <v>Low Risk</v>
      </c>
      <c r="Q724">
        <v>6999</v>
      </c>
      <c r="R724">
        <v>0</v>
      </c>
      <c r="S724" t="str">
        <f t="shared" si="46"/>
        <v>No</v>
      </c>
      <c r="T724">
        <v>13877</v>
      </c>
      <c r="U724" t="str" cm="1">
        <f t="array" ref="U724">_xlfn.IFS(T724&lt;5000,"Small",T724&lt;20000,"Medium",T724&lt;35000,"Large",T724&gt;35000,"Very Large")</f>
        <v>Medium</v>
      </c>
      <c r="V724">
        <v>84</v>
      </c>
      <c r="W724">
        <f t="shared" si="47"/>
        <v>7</v>
      </c>
      <c r="X724" t="s">
        <v>42</v>
      </c>
      <c r="Y724" t="s">
        <v>32</v>
      </c>
      <c r="Z724" t="s">
        <v>33</v>
      </c>
      <c r="AA724" t="s">
        <v>40</v>
      </c>
      <c r="AB724" t="s">
        <v>35</v>
      </c>
      <c r="AC724" t="s">
        <v>36</v>
      </c>
    </row>
    <row r="725" spans="1:29" x14ac:dyDescent="0.25">
      <c r="A725">
        <v>764</v>
      </c>
      <c r="B725">
        <v>18644</v>
      </c>
      <c r="C725">
        <v>3097</v>
      </c>
      <c r="D725">
        <f t="shared" si="44"/>
        <v>21741</v>
      </c>
      <c r="E725" t="s">
        <v>29</v>
      </c>
      <c r="F725">
        <v>23</v>
      </c>
      <c r="G725" t="str" cm="1">
        <f t="array" ref="G725">_xlfn.IFS(F725&lt;25,"18-24",F725&lt;35,"25-35",F725&lt;45,"35-44",F725&lt;55,"44-54",F725&gt;=55,"55+")</f>
        <v>18-24</v>
      </c>
      <c r="H725" t="s">
        <v>30</v>
      </c>
      <c r="I725">
        <v>3</v>
      </c>
      <c r="J725" t="str" cm="1">
        <f t="array" ref="J725">_xlfn.IFS(I725&lt;=0,"No Dependents",I725&lt;=1,"One",I725&lt;=2,"Two",I725&gt;=3,"Third")</f>
        <v>Third</v>
      </c>
      <c r="K725">
        <v>733</v>
      </c>
      <c r="L725" t="str" cm="1">
        <f t="array" ref="L725">_xlfn.IFS(K725&lt;=580,"Poor",K725&lt;=670,"fair",K725&lt;=740,"Good",K725&lt;=800,"Very Good",K725&gt;=800,"Excellent")</f>
        <v>Good</v>
      </c>
      <c r="M725">
        <v>4</v>
      </c>
      <c r="N725" t="str">
        <f t="shared" si="45"/>
        <v>Yes</v>
      </c>
      <c r="O725">
        <v>0.34</v>
      </c>
      <c r="P725" t="str" cm="1">
        <f t="array" ref="P725">_xlfn.IFS(O725&lt;=0.3,"Low Risk",O725&lt;=0.4,"medium Risk",O725&lt;=0.5,"High Risk",O725&gt;0.5,"Very High Risk")</f>
        <v>medium Risk</v>
      </c>
      <c r="Q725">
        <v>13833</v>
      </c>
      <c r="R725">
        <v>36295</v>
      </c>
      <c r="S725" t="str">
        <f t="shared" si="46"/>
        <v>Yes</v>
      </c>
      <c r="T725">
        <v>10982</v>
      </c>
      <c r="U725" t="str" cm="1">
        <f t="array" ref="U725">_xlfn.IFS(T725&lt;5000,"Small",T725&lt;20000,"Medium",T725&lt;35000,"Large",T725&gt;35000,"Very Large")</f>
        <v>Medium</v>
      </c>
      <c r="V725">
        <v>24</v>
      </c>
      <c r="W725">
        <f t="shared" si="47"/>
        <v>2</v>
      </c>
      <c r="X725" t="s">
        <v>50</v>
      </c>
      <c r="Y725" t="s">
        <v>32</v>
      </c>
      <c r="Z725" t="s">
        <v>33</v>
      </c>
      <c r="AA725" t="s">
        <v>34</v>
      </c>
      <c r="AB725" t="s">
        <v>35</v>
      </c>
      <c r="AC725" t="s">
        <v>44</v>
      </c>
    </row>
    <row r="726" spans="1:29" x14ac:dyDescent="0.25">
      <c r="A726">
        <v>765</v>
      </c>
      <c r="B726">
        <v>11865</v>
      </c>
      <c r="C726">
        <v>4616</v>
      </c>
      <c r="D726">
        <f t="shared" si="44"/>
        <v>16481</v>
      </c>
      <c r="E726" t="s">
        <v>49</v>
      </c>
      <c r="F726">
        <v>47</v>
      </c>
      <c r="G726" t="str" cm="1">
        <f t="array" ref="G726">_xlfn.IFS(F726&lt;25,"18-24",F726&lt;35,"25-35",F726&lt;45,"35-44",F726&lt;55,"44-54",F726&gt;=55,"55+")</f>
        <v>44-54</v>
      </c>
      <c r="H726" t="s">
        <v>30</v>
      </c>
      <c r="I726">
        <v>2</v>
      </c>
      <c r="J726" t="str" cm="1">
        <f t="array" ref="J726">_xlfn.IFS(I726&lt;=0,"No Dependents",I726&lt;=1,"One",I726&lt;=2,"Two",I726&gt;=3,"Third")</f>
        <v>Two</v>
      </c>
      <c r="K726">
        <v>687</v>
      </c>
      <c r="L726" t="str" cm="1">
        <f t="array" ref="L726">_xlfn.IFS(K726&lt;=580,"Poor",K726&lt;=670,"fair",K726&lt;=740,"Good",K726&lt;=800,"Very Good",K726&gt;=800,"Excellent")</f>
        <v>Good</v>
      </c>
      <c r="M726">
        <v>3</v>
      </c>
      <c r="N726" t="str">
        <f t="shared" si="45"/>
        <v>Yes</v>
      </c>
      <c r="O726">
        <v>0.6</v>
      </c>
      <c r="P726" t="str" cm="1">
        <f t="array" ref="P726">_xlfn.IFS(O726&lt;=0.3,"Low Risk",O726&lt;=0.4,"medium Risk",O726&lt;=0.5,"High Risk",O726&gt;0.5,"Very High Risk")</f>
        <v>Very High Risk</v>
      </c>
      <c r="Q726">
        <v>2970</v>
      </c>
      <c r="R726">
        <v>20927</v>
      </c>
      <c r="S726" t="str">
        <f t="shared" si="46"/>
        <v>Yes</v>
      </c>
      <c r="T726">
        <v>9968</v>
      </c>
      <c r="U726" t="str" cm="1">
        <f t="array" ref="U726">_xlfn.IFS(T726&lt;5000,"Small",T726&lt;20000,"Medium",T726&lt;35000,"Large",T726&gt;35000,"Very Large")</f>
        <v>Medium</v>
      </c>
      <c r="V726">
        <v>84</v>
      </c>
      <c r="W726">
        <f t="shared" si="47"/>
        <v>7</v>
      </c>
      <c r="X726" t="s">
        <v>31</v>
      </c>
      <c r="Y726" t="s">
        <v>32</v>
      </c>
      <c r="Z726" t="s">
        <v>33</v>
      </c>
      <c r="AA726" t="s">
        <v>34</v>
      </c>
      <c r="AB726" t="s">
        <v>48</v>
      </c>
      <c r="AC726" t="s">
        <v>36</v>
      </c>
    </row>
    <row r="727" spans="1:29" x14ac:dyDescent="0.25">
      <c r="A727">
        <v>766</v>
      </c>
      <c r="B727">
        <v>4219</v>
      </c>
      <c r="C727">
        <v>9</v>
      </c>
      <c r="D727">
        <f t="shared" si="44"/>
        <v>4228</v>
      </c>
      <c r="E727" t="s">
        <v>46</v>
      </c>
      <c r="F727">
        <v>55</v>
      </c>
      <c r="G727" t="str" cm="1">
        <f t="array" ref="G727">_xlfn.IFS(F727&lt;25,"18-24",F727&lt;35,"25-35",F727&lt;45,"35-44",F727&lt;55,"44-54",F727&gt;=55,"55+")</f>
        <v>55+</v>
      </c>
      <c r="H727" t="s">
        <v>30</v>
      </c>
      <c r="I727">
        <v>1</v>
      </c>
      <c r="J727" t="str" cm="1">
        <f t="array" ref="J727">_xlfn.IFS(I727&lt;=0,"No Dependents",I727&lt;=1,"One",I727&lt;=2,"Two",I727&gt;=3,"Third")</f>
        <v>One</v>
      </c>
      <c r="K727">
        <v>550</v>
      </c>
      <c r="L727" t="str" cm="1">
        <f t="array" ref="L727">_xlfn.IFS(K727&lt;=580,"Poor",K727&lt;=670,"fair",K727&lt;=740,"Good",K727&lt;=800,"Very Good",K727&gt;=800,"Excellent")</f>
        <v>Poor</v>
      </c>
      <c r="M727">
        <v>2</v>
      </c>
      <c r="N727" t="str">
        <f t="shared" si="45"/>
        <v>Yes</v>
      </c>
      <c r="O727">
        <v>0.49</v>
      </c>
      <c r="P727" t="str" cm="1">
        <f t="array" ref="P727">_xlfn.IFS(O727&lt;=0.3,"Low Risk",O727&lt;=0.4,"medium Risk",O727&lt;=0.5,"High Risk",O727&gt;0.5,"Very High Risk")</f>
        <v>High Risk</v>
      </c>
      <c r="Q727">
        <v>0</v>
      </c>
      <c r="R727">
        <v>34579</v>
      </c>
      <c r="S727" t="str">
        <f t="shared" si="46"/>
        <v>Yes</v>
      </c>
      <c r="T727">
        <v>27598</v>
      </c>
      <c r="U727" t="str" cm="1">
        <f t="array" ref="U727">_xlfn.IFS(T727&lt;5000,"Small",T727&lt;20000,"Medium",T727&lt;35000,"Large",T727&gt;35000,"Very Large")</f>
        <v>Large</v>
      </c>
      <c r="V727">
        <v>24</v>
      </c>
      <c r="W727">
        <f t="shared" si="47"/>
        <v>2</v>
      </c>
      <c r="X727" t="s">
        <v>37</v>
      </c>
      <c r="Y727" t="s">
        <v>38</v>
      </c>
      <c r="Z727" t="s">
        <v>39</v>
      </c>
      <c r="AA727" t="s">
        <v>34</v>
      </c>
      <c r="AB727" t="s">
        <v>43</v>
      </c>
      <c r="AC727" t="s">
        <v>36</v>
      </c>
    </row>
    <row r="728" spans="1:29" x14ac:dyDescent="0.25">
      <c r="A728">
        <v>767</v>
      </c>
      <c r="B728">
        <v>9041</v>
      </c>
      <c r="C728">
        <v>5752</v>
      </c>
      <c r="D728">
        <f t="shared" si="44"/>
        <v>14793</v>
      </c>
      <c r="E728" t="s">
        <v>46</v>
      </c>
      <c r="F728">
        <v>51</v>
      </c>
      <c r="G728" t="str" cm="1">
        <f t="array" ref="G728">_xlfn.IFS(F728&lt;25,"18-24",F728&lt;35,"25-35",F728&lt;45,"35-44",F728&lt;55,"44-54",F728&gt;=55,"55+")</f>
        <v>44-54</v>
      </c>
      <c r="H728" t="s">
        <v>30</v>
      </c>
      <c r="I728">
        <v>2</v>
      </c>
      <c r="J728" t="str" cm="1">
        <f t="array" ref="J728">_xlfn.IFS(I728&lt;=0,"No Dependents",I728&lt;=1,"One",I728&lt;=2,"Two",I728&gt;=3,"Third")</f>
        <v>Two</v>
      </c>
      <c r="K728">
        <v>665</v>
      </c>
      <c r="L728" t="str" cm="1">
        <f t="array" ref="L728">_xlfn.IFS(K728&lt;=580,"Poor",K728&lt;=670,"fair",K728&lt;=740,"Good",K728&lt;=800,"Very Good",K728&gt;=800,"Excellent")</f>
        <v>fair</v>
      </c>
      <c r="M728">
        <v>3</v>
      </c>
      <c r="N728" t="str">
        <f t="shared" si="45"/>
        <v>Yes</v>
      </c>
      <c r="O728">
        <v>0.21</v>
      </c>
      <c r="P728" t="str" cm="1">
        <f t="array" ref="P728">_xlfn.IFS(O728&lt;=0.3,"Low Risk",O728&lt;=0.4,"medium Risk",O728&lt;=0.5,"High Risk",O728&gt;0.5,"Very High Risk")</f>
        <v>Low Risk</v>
      </c>
      <c r="Q728">
        <v>15551</v>
      </c>
      <c r="R728">
        <v>44871</v>
      </c>
      <c r="S728" t="str">
        <f t="shared" si="46"/>
        <v>Yes</v>
      </c>
      <c r="T728">
        <v>15639</v>
      </c>
      <c r="U728" t="str" cm="1">
        <f t="array" ref="U728">_xlfn.IFS(T728&lt;5000,"Small",T728&lt;20000,"Medium",T728&lt;35000,"Large",T728&gt;35000,"Very Large")</f>
        <v>Medium</v>
      </c>
      <c r="V728">
        <v>36</v>
      </c>
      <c r="W728">
        <f t="shared" si="47"/>
        <v>3</v>
      </c>
      <c r="X728" t="s">
        <v>31</v>
      </c>
      <c r="Y728" t="s">
        <v>38</v>
      </c>
      <c r="Z728" t="s">
        <v>39</v>
      </c>
      <c r="AA728" t="s">
        <v>40</v>
      </c>
      <c r="AB728" t="s">
        <v>35</v>
      </c>
      <c r="AC728" t="s">
        <v>44</v>
      </c>
    </row>
    <row r="729" spans="1:29" x14ac:dyDescent="0.25">
      <c r="A729">
        <v>768</v>
      </c>
      <c r="B729">
        <v>7287</v>
      </c>
      <c r="C729">
        <v>9852</v>
      </c>
      <c r="D729">
        <f t="shared" si="44"/>
        <v>17139</v>
      </c>
      <c r="E729" t="s">
        <v>46</v>
      </c>
      <c r="F729">
        <v>40</v>
      </c>
      <c r="G729" t="str" cm="1">
        <f t="array" ref="G729">_xlfn.IFS(F729&lt;25,"18-24",F729&lt;35,"25-35",F729&lt;45,"35-44",F729&lt;55,"44-54",F729&gt;=55,"55+")</f>
        <v>35-44</v>
      </c>
      <c r="H729" t="s">
        <v>30</v>
      </c>
      <c r="I729">
        <v>2</v>
      </c>
      <c r="J729" t="str" cm="1">
        <f t="array" ref="J729">_xlfn.IFS(I729&lt;=0,"No Dependents",I729&lt;=1,"One",I729&lt;=2,"Two",I729&gt;=3,"Third")</f>
        <v>Two</v>
      </c>
      <c r="K729">
        <v>711</v>
      </c>
      <c r="L729" t="str" cm="1">
        <f t="array" ref="L729">_xlfn.IFS(K729&lt;=580,"Poor",K729&lt;=670,"fair",K729&lt;=740,"Good",K729&lt;=800,"Very Good",K729&gt;=800,"Excellent")</f>
        <v>Good</v>
      </c>
      <c r="M729">
        <v>4</v>
      </c>
      <c r="N729" t="str">
        <f t="shared" si="45"/>
        <v>Yes</v>
      </c>
      <c r="O729">
        <v>0.35</v>
      </c>
      <c r="P729" t="str" cm="1">
        <f t="array" ref="P729">_xlfn.IFS(O729&lt;=0.3,"Low Risk",O729&lt;=0.4,"medium Risk",O729&lt;=0.5,"High Risk",O729&gt;0.5,"Very High Risk")</f>
        <v>medium Risk</v>
      </c>
      <c r="Q729">
        <v>17145</v>
      </c>
      <c r="R729">
        <v>9032</v>
      </c>
      <c r="S729" t="str">
        <f t="shared" si="46"/>
        <v>Yes</v>
      </c>
      <c r="T729">
        <v>5674</v>
      </c>
      <c r="U729" t="str" cm="1">
        <f t="array" ref="U729">_xlfn.IFS(T729&lt;5000,"Small",T729&lt;20000,"Medium",T729&lt;35000,"Large",T729&gt;35000,"Very Large")</f>
        <v>Medium</v>
      </c>
      <c r="V729">
        <v>72</v>
      </c>
      <c r="W729">
        <f t="shared" si="47"/>
        <v>6</v>
      </c>
      <c r="X729" t="s">
        <v>42</v>
      </c>
      <c r="Y729" t="s">
        <v>38</v>
      </c>
      <c r="Z729" t="s">
        <v>39</v>
      </c>
      <c r="AA729" t="s">
        <v>40</v>
      </c>
      <c r="AB729" t="s">
        <v>51</v>
      </c>
      <c r="AC729" t="s">
        <v>44</v>
      </c>
    </row>
    <row r="730" spans="1:29" x14ac:dyDescent="0.25">
      <c r="A730">
        <v>769</v>
      </c>
      <c r="B730">
        <v>3619</v>
      </c>
      <c r="C730">
        <v>6295</v>
      </c>
      <c r="D730">
        <f t="shared" si="44"/>
        <v>9914</v>
      </c>
      <c r="E730" t="s">
        <v>49</v>
      </c>
      <c r="F730">
        <v>36</v>
      </c>
      <c r="G730" t="str" cm="1">
        <f t="array" ref="G730">_xlfn.IFS(F730&lt;25,"18-24",F730&lt;35,"25-35",F730&lt;45,"35-44",F730&lt;55,"44-54",F730&gt;=55,"55+")</f>
        <v>35-44</v>
      </c>
      <c r="H730" t="s">
        <v>30</v>
      </c>
      <c r="I730">
        <v>3</v>
      </c>
      <c r="J730" t="str" cm="1">
        <f t="array" ref="J730">_xlfn.IFS(I730&lt;=0,"No Dependents",I730&lt;=1,"One",I730&lt;=2,"Two",I730&gt;=3,"Third")</f>
        <v>Third</v>
      </c>
      <c r="K730">
        <v>616</v>
      </c>
      <c r="L730" t="str" cm="1">
        <f t="array" ref="L730">_xlfn.IFS(K730&lt;=580,"Poor",K730&lt;=670,"fair",K730&lt;=740,"Good",K730&lt;=800,"Very Good",K730&gt;=800,"Excellent")</f>
        <v>fair</v>
      </c>
      <c r="M730">
        <v>0</v>
      </c>
      <c r="N730" t="str">
        <f t="shared" si="45"/>
        <v>No</v>
      </c>
      <c r="O730">
        <v>0.35</v>
      </c>
      <c r="P730" t="str" cm="1">
        <f t="array" ref="P730">_xlfn.IFS(O730&lt;=0.3,"Low Risk",O730&lt;=0.4,"medium Risk",O730&lt;=0.5,"High Risk",O730&gt;0.5,"Very High Risk")</f>
        <v>medium Risk</v>
      </c>
      <c r="Q730">
        <v>3185</v>
      </c>
      <c r="R730">
        <v>27718</v>
      </c>
      <c r="S730" t="str">
        <f t="shared" si="46"/>
        <v>Yes</v>
      </c>
      <c r="T730">
        <v>5316</v>
      </c>
      <c r="U730" t="str" cm="1">
        <f t="array" ref="U730">_xlfn.IFS(T730&lt;5000,"Small",T730&lt;20000,"Medium",T730&lt;35000,"Large",T730&gt;35000,"Very Large")</f>
        <v>Medium</v>
      </c>
      <c r="V730">
        <v>24</v>
      </c>
      <c r="W730">
        <f t="shared" si="47"/>
        <v>2</v>
      </c>
      <c r="X730" t="s">
        <v>37</v>
      </c>
      <c r="Y730" t="s">
        <v>32</v>
      </c>
      <c r="Z730" t="s">
        <v>33</v>
      </c>
      <c r="AA730" t="s">
        <v>40</v>
      </c>
      <c r="AB730" t="s">
        <v>35</v>
      </c>
      <c r="AC730" t="s">
        <v>36</v>
      </c>
    </row>
    <row r="731" spans="1:29" x14ac:dyDescent="0.25">
      <c r="A731">
        <v>770</v>
      </c>
      <c r="B731">
        <v>10512</v>
      </c>
      <c r="C731">
        <v>4815</v>
      </c>
      <c r="D731">
        <f t="shared" si="44"/>
        <v>15327</v>
      </c>
      <c r="E731" t="s">
        <v>29</v>
      </c>
      <c r="F731">
        <v>33</v>
      </c>
      <c r="G731" t="str" cm="1">
        <f t="array" ref="G731">_xlfn.IFS(F731&lt;25,"18-24",F731&lt;35,"25-35",F731&lt;45,"35-44",F731&lt;55,"44-54",F731&gt;=55,"55+")</f>
        <v>25-35</v>
      </c>
      <c r="H731" t="s">
        <v>30</v>
      </c>
      <c r="I731">
        <v>3</v>
      </c>
      <c r="J731" t="str" cm="1">
        <f t="array" ref="J731">_xlfn.IFS(I731&lt;=0,"No Dependents",I731&lt;=1,"One",I731&lt;=2,"Two",I731&gt;=3,"Third")</f>
        <v>Third</v>
      </c>
      <c r="K731">
        <v>749</v>
      </c>
      <c r="L731" t="str" cm="1">
        <f t="array" ref="L731">_xlfn.IFS(K731&lt;=580,"Poor",K731&lt;=670,"fair",K731&lt;=740,"Good",K731&lt;=800,"Very Good",K731&gt;=800,"Excellent")</f>
        <v>Very Good</v>
      </c>
      <c r="M731">
        <v>0</v>
      </c>
      <c r="N731" t="str">
        <f t="shared" si="45"/>
        <v>No</v>
      </c>
      <c r="O731">
        <v>0.3</v>
      </c>
      <c r="P731" t="str" cm="1">
        <f t="array" ref="P731">_xlfn.IFS(O731&lt;=0.3,"Low Risk",O731&lt;=0.4,"medium Risk",O731&lt;=0.5,"High Risk",O731&gt;0.5,"Very High Risk")</f>
        <v>Low Risk</v>
      </c>
      <c r="Q731">
        <v>16409</v>
      </c>
      <c r="R731">
        <v>12877</v>
      </c>
      <c r="S731" t="str">
        <f t="shared" si="46"/>
        <v>Yes</v>
      </c>
      <c r="T731">
        <v>0</v>
      </c>
      <c r="U731" t="str" cm="1">
        <f t="array" ref="U731">_xlfn.IFS(T731&lt;5000,"Small",T731&lt;20000,"Medium",T731&lt;35000,"Large",T731&gt;35000,"Very Large")</f>
        <v>Small</v>
      </c>
      <c r="V731">
        <v>36</v>
      </c>
      <c r="W731">
        <f t="shared" si="47"/>
        <v>3</v>
      </c>
      <c r="X731" t="s">
        <v>42</v>
      </c>
      <c r="Y731" t="s">
        <v>45</v>
      </c>
      <c r="Z731" t="s">
        <v>39</v>
      </c>
      <c r="AA731" t="s">
        <v>40</v>
      </c>
      <c r="AB731" t="s">
        <v>35</v>
      </c>
      <c r="AC731" t="s">
        <v>44</v>
      </c>
    </row>
    <row r="732" spans="1:29" x14ac:dyDescent="0.25">
      <c r="A732">
        <v>771</v>
      </c>
      <c r="B732">
        <v>3342</v>
      </c>
      <c r="C732">
        <v>1072</v>
      </c>
      <c r="D732">
        <f t="shared" si="44"/>
        <v>4414</v>
      </c>
      <c r="E732" t="s">
        <v>49</v>
      </c>
      <c r="F732">
        <v>55</v>
      </c>
      <c r="G732" t="str" cm="1">
        <f t="array" ref="G732">_xlfn.IFS(F732&lt;25,"18-24",F732&lt;35,"25-35",F732&lt;45,"35-44",F732&lt;55,"44-54",F732&gt;=55,"55+")</f>
        <v>55+</v>
      </c>
      <c r="H732" t="s">
        <v>30</v>
      </c>
      <c r="I732">
        <v>1</v>
      </c>
      <c r="J732" t="str" cm="1">
        <f t="array" ref="J732">_xlfn.IFS(I732&lt;=0,"No Dependents",I732&lt;=1,"One",I732&lt;=2,"Two",I732&gt;=3,"Third")</f>
        <v>One</v>
      </c>
      <c r="K732">
        <v>580</v>
      </c>
      <c r="L732" t="str" cm="1">
        <f t="array" ref="L732">_xlfn.IFS(K732&lt;=580,"Poor",K732&lt;=670,"fair",K732&lt;=740,"Good",K732&lt;=800,"Very Good",K732&gt;=800,"Excellent")</f>
        <v>Poor</v>
      </c>
      <c r="M732">
        <v>1</v>
      </c>
      <c r="N732" t="str">
        <f t="shared" si="45"/>
        <v>Yes</v>
      </c>
      <c r="O732">
        <v>0.49</v>
      </c>
      <c r="P732" t="str" cm="1">
        <f t="array" ref="P732">_xlfn.IFS(O732&lt;=0.3,"Low Risk",O732&lt;=0.4,"medium Risk",O732&lt;=0.5,"High Risk",O732&gt;0.5,"Very High Risk")</f>
        <v>High Risk</v>
      </c>
      <c r="Q732">
        <v>1806</v>
      </c>
      <c r="R732">
        <v>40731</v>
      </c>
      <c r="S732" t="str">
        <f t="shared" si="46"/>
        <v>Yes</v>
      </c>
      <c r="T732">
        <v>32094</v>
      </c>
      <c r="U732" t="str" cm="1">
        <f t="array" ref="U732">_xlfn.IFS(T732&lt;5000,"Small",T732&lt;20000,"Medium",T732&lt;35000,"Large",T732&gt;35000,"Very Large")</f>
        <v>Large</v>
      </c>
      <c r="V732">
        <v>84</v>
      </c>
      <c r="W732">
        <f t="shared" si="47"/>
        <v>7</v>
      </c>
      <c r="X732" t="s">
        <v>31</v>
      </c>
      <c r="Y732" t="s">
        <v>45</v>
      </c>
      <c r="Z732" t="s">
        <v>39</v>
      </c>
      <c r="AA732" t="s">
        <v>40</v>
      </c>
      <c r="AB732" t="s">
        <v>35</v>
      </c>
      <c r="AC732" t="s">
        <v>36</v>
      </c>
    </row>
    <row r="733" spans="1:29" x14ac:dyDescent="0.25">
      <c r="A733">
        <v>772</v>
      </c>
      <c r="B733">
        <v>12568</v>
      </c>
      <c r="C733">
        <v>3225</v>
      </c>
      <c r="D733">
        <f t="shared" si="44"/>
        <v>15793</v>
      </c>
      <c r="E733" t="s">
        <v>46</v>
      </c>
      <c r="F733">
        <v>31</v>
      </c>
      <c r="G733" t="str" cm="1">
        <f t="array" ref="G733">_xlfn.IFS(F733&lt;25,"18-24",F733&lt;35,"25-35",F733&lt;45,"35-44",F733&lt;55,"44-54",F733&gt;=55,"55+")</f>
        <v>25-35</v>
      </c>
      <c r="H733" t="s">
        <v>30</v>
      </c>
      <c r="I733">
        <v>3</v>
      </c>
      <c r="J733" t="str" cm="1">
        <f t="array" ref="J733">_xlfn.IFS(I733&lt;=0,"No Dependents",I733&lt;=1,"One",I733&lt;=2,"Two",I733&gt;=3,"Third")</f>
        <v>Third</v>
      </c>
      <c r="K733">
        <v>624</v>
      </c>
      <c r="L733" t="str" cm="1">
        <f t="array" ref="L733">_xlfn.IFS(K733&lt;=580,"Poor",K733&lt;=670,"fair",K733&lt;=740,"Good",K733&lt;=800,"Very Good",K733&gt;=800,"Excellent")</f>
        <v>fair</v>
      </c>
      <c r="M733">
        <v>1</v>
      </c>
      <c r="N733" t="str">
        <f t="shared" si="45"/>
        <v>Yes</v>
      </c>
      <c r="O733">
        <v>0.35</v>
      </c>
      <c r="P733" t="str" cm="1">
        <f t="array" ref="P733">_xlfn.IFS(O733&lt;=0.3,"Low Risk",O733&lt;=0.4,"medium Risk",O733&lt;=0.5,"High Risk",O733&gt;0.5,"Very High Risk")</f>
        <v>medium Risk</v>
      </c>
      <c r="Q733">
        <v>0</v>
      </c>
      <c r="R733">
        <v>0</v>
      </c>
      <c r="S733" t="str">
        <f t="shared" si="46"/>
        <v>No</v>
      </c>
      <c r="T733">
        <v>23187</v>
      </c>
      <c r="U733" t="str" cm="1">
        <f t="array" ref="U733">_xlfn.IFS(T733&lt;5000,"Small",T733&lt;20000,"Medium",T733&lt;35000,"Large",T733&gt;35000,"Very Large")</f>
        <v>Large</v>
      </c>
      <c r="V733">
        <v>24</v>
      </c>
      <c r="W733">
        <f t="shared" si="47"/>
        <v>2</v>
      </c>
      <c r="X733" t="s">
        <v>37</v>
      </c>
      <c r="Y733" t="s">
        <v>32</v>
      </c>
      <c r="Z733" t="s">
        <v>39</v>
      </c>
      <c r="AA733" t="s">
        <v>40</v>
      </c>
      <c r="AB733" t="s">
        <v>43</v>
      </c>
      <c r="AC733" t="s">
        <v>36</v>
      </c>
    </row>
    <row r="734" spans="1:29" x14ac:dyDescent="0.25">
      <c r="A734">
        <v>774</v>
      </c>
      <c r="B734">
        <v>5490</v>
      </c>
      <c r="C734">
        <v>5699</v>
      </c>
      <c r="D734">
        <f t="shared" si="44"/>
        <v>11189</v>
      </c>
      <c r="E734" t="s">
        <v>48</v>
      </c>
      <c r="F734">
        <v>31</v>
      </c>
      <c r="G734" t="str" cm="1">
        <f t="array" ref="G734">_xlfn.IFS(F734&lt;25,"18-24",F734&lt;35,"25-35",F734&lt;45,"35-44",F734&lt;55,"44-54",F734&gt;=55,"55+")</f>
        <v>25-35</v>
      </c>
      <c r="H734" t="s">
        <v>41</v>
      </c>
      <c r="I734">
        <v>1</v>
      </c>
      <c r="J734" t="str" cm="1">
        <f t="array" ref="J734">_xlfn.IFS(I734&lt;=0,"No Dependents",I734&lt;=1,"One",I734&lt;=2,"Two",I734&gt;=3,"Third")</f>
        <v>One</v>
      </c>
      <c r="K734">
        <v>620</v>
      </c>
      <c r="L734" t="str" cm="1">
        <f t="array" ref="L734">_xlfn.IFS(K734&lt;=580,"Poor",K734&lt;=670,"fair",K734&lt;=740,"Good",K734&lt;=800,"Very Good",K734&gt;=800,"Excellent")</f>
        <v>fair</v>
      </c>
      <c r="M734">
        <v>4</v>
      </c>
      <c r="N734" t="str">
        <f t="shared" si="45"/>
        <v>Yes</v>
      </c>
      <c r="O734">
        <v>0.56000000000000005</v>
      </c>
      <c r="P734" t="str" cm="1">
        <f t="array" ref="P734">_xlfn.IFS(O734&lt;=0.3,"Low Risk",O734&lt;=0.4,"medium Risk",O734&lt;=0.5,"High Risk",O734&gt;0.5,"Very High Risk")</f>
        <v>Very High Risk</v>
      </c>
      <c r="Q734">
        <v>12894</v>
      </c>
      <c r="R734">
        <v>41684</v>
      </c>
      <c r="S734" t="str">
        <f t="shared" si="46"/>
        <v>Yes</v>
      </c>
      <c r="T734">
        <v>24940</v>
      </c>
      <c r="U734" t="str" cm="1">
        <f t="array" ref="U734">_xlfn.IFS(T734&lt;5000,"Small",T734&lt;20000,"Medium",T734&lt;35000,"Large",T734&gt;35000,"Very Large")</f>
        <v>Large</v>
      </c>
      <c r="V734">
        <v>12</v>
      </c>
      <c r="W734">
        <f t="shared" si="47"/>
        <v>1</v>
      </c>
      <c r="X734" t="s">
        <v>47</v>
      </c>
      <c r="Y734" t="s">
        <v>32</v>
      </c>
      <c r="Z734" t="s">
        <v>33</v>
      </c>
      <c r="AA734" t="s">
        <v>34</v>
      </c>
      <c r="AB734" t="s">
        <v>43</v>
      </c>
      <c r="AC734" t="s">
        <v>36</v>
      </c>
    </row>
    <row r="735" spans="1:29" x14ac:dyDescent="0.25">
      <c r="A735">
        <v>775</v>
      </c>
      <c r="B735">
        <v>0</v>
      </c>
      <c r="C735">
        <v>6807</v>
      </c>
      <c r="D735">
        <f t="shared" si="44"/>
        <v>6807</v>
      </c>
      <c r="E735" t="s">
        <v>29</v>
      </c>
      <c r="F735">
        <v>50</v>
      </c>
      <c r="G735" t="str" cm="1">
        <f t="array" ref="G735">_xlfn.IFS(F735&lt;25,"18-24",F735&lt;35,"25-35",F735&lt;45,"35-44",F735&lt;55,"44-54",F735&gt;=55,"55+")</f>
        <v>44-54</v>
      </c>
      <c r="H735" t="s">
        <v>30</v>
      </c>
      <c r="I735">
        <v>3</v>
      </c>
      <c r="J735" t="str" cm="1">
        <f t="array" ref="J735">_xlfn.IFS(I735&lt;=0,"No Dependents",I735&lt;=1,"One",I735&lt;=2,"Two",I735&gt;=3,"Third")</f>
        <v>Third</v>
      </c>
      <c r="K735">
        <v>786</v>
      </c>
      <c r="L735" t="str" cm="1">
        <f t="array" ref="L735">_xlfn.IFS(K735&lt;=580,"Poor",K735&lt;=670,"fair",K735&lt;=740,"Good",K735&lt;=800,"Very Good",K735&gt;=800,"Excellent")</f>
        <v>Very Good</v>
      </c>
      <c r="M735">
        <v>1</v>
      </c>
      <c r="N735" t="str">
        <f t="shared" si="45"/>
        <v>Yes</v>
      </c>
      <c r="O735">
        <v>0.4</v>
      </c>
      <c r="P735" t="str" cm="1">
        <f t="array" ref="P735">_xlfn.IFS(O735&lt;=0.3,"Low Risk",O735&lt;=0.4,"medium Risk",O735&lt;=0.5,"High Risk",O735&gt;0.5,"Very High Risk")</f>
        <v>medium Risk</v>
      </c>
      <c r="Q735">
        <v>5154</v>
      </c>
      <c r="R735">
        <v>6766</v>
      </c>
      <c r="S735" t="str">
        <f t="shared" si="46"/>
        <v>Yes</v>
      </c>
      <c r="T735">
        <v>26685</v>
      </c>
      <c r="U735" t="str" cm="1">
        <f t="array" ref="U735">_xlfn.IFS(T735&lt;5000,"Small",T735&lt;20000,"Medium",T735&lt;35000,"Large",T735&gt;35000,"Very Large")</f>
        <v>Large</v>
      </c>
      <c r="V735">
        <v>84</v>
      </c>
      <c r="W735">
        <f t="shared" si="47"/>
        <v>7</v>
      </c>
      <c r="X735" t="s">
        <v>50</v>
      </c>
      <c r="Y735" t="s">
        <v>45</v>
      </c>
      <c r="Z735" t="s">
        <v>39</v>
      </c>
      <c r="AA735" t="s">
        <v>34</v>
      </c>
      <c r="AB735" t="s">
        <v>51</v>
      </c>
      <c r="AC735" t="s">
        <v>36</v>
      </c>
    </row>
    <row r="736" spans="1:29" x14ac:dyDescent="0.25">
      <c r="A736">
        <v>776</v>
      </c>
      <c r="B736">
        <v>9984</v>
      </c>
      <c r="C736">
        <v>6674</v>
      </c>
      <c r="D736">
        <f t="shared" si="44"/>
        <v>16658</v>
      </c>
      <c r="E736" t="s">
        <v>48</v>
      </c>
      <c r="F736">
        <v>55</v>
      </c>
      <c r="G736" t="str" cm="1">
        <f t="array" ref="G736">_xlfn.IFS(F736&lt;25,"18-24",F736&lt;35,"25-35",F736&lt;45,"35-44",F736&lt;55,"44-54",F736&gt;=55,"55+")</f>
        <v>55+</v>
      </c>
      <c r="H736" t="s">
        <v>30</v>
      </c>
      <c r="I736">
        <v>2</v>
      </c>
      <c r="J736" t="str" cm="1">
        <f t="array" ref="J736">_xlfn.IFS(I736&lt;=0,"No Dependents",I736&lt;=1,"One",I736&lt;=2,"Two",I736&gt;=3,"Third")</f>
        <v>Two</v>
      </c>
      <c r="K736">
        <v>615</v>
      </c>
      <c r="L736" t="str" cm="1">
        <f t="array" ref="L736">_xlfn.IFS(K736&lt;=580,"Poor",K736&lt;=670,"fair",K736&lt;=740,"Good",K736&lt;=800,"Very Good",K736&gt;=800,"Excellent")</f>
        <v>fair</v>
      </c>
      <c r="M736">
        <v>3</v>
      </c>
      <c r="N736" t="str">
        <f t="shared" si="45"/>
        <v>Yes</v>
      </c>
      <c r="O736">
        <v>0.28999999999999998</v>
      </c>
      <c r="P736" t="str" cm="1">
        <f t="array" ref="P736">_xlfn.IFS(O736&lt;=0.3,"Low Risk",O736&lt;=0.4,"medium Risk",O736&lt;=0.5,"High Risk",O736&gt;0.5,"Very High Risk")</f>
        <v>Low Risk</v>
      </c>
      <c r="Q736">
        <v>13767</v>
      </c>
      <c r="R736">
        <v>49954</v>
      </c>
      <c r="S736" t="str">
        <f t="shared" si="46"/>
        <v>Yes</v>
      </c>
      <c r="T736">
        <v>16977</v>
      </c>
      <c r="U736" t="str" cm="1">
        <f t="array" ref="U736">_xlfn.IFS(T736&lt;5000,"Small",T736&lt;20000,"Medium",T736&lt;35000,"Large",T736&gt;35000,"Very Large")</f>
        <v>Medium</v>
      </c>
      <c r="V736">
        <v>72</v>
      </c>
      <c r="W736">
        <f t="shared" si="47"/>
        <v>6</v>
      </c>
      <c r="X736" t="s">
        <v>37</v>
      </c>
      <c r="Y736" t="s">
        <v>32</v>
      </c>
      <c r="Z736" t="s">
        <v>39</v>
      </c>
      <c r="AA736" t="s">
        <v>34</v>
      </c>
      <c r="AB736" t="s">
        <v>35</v>
      </c>
      <c r="AC736" t="s">
        <v>36</v>
      </c>
    </row>
    <row r="737" spans="1:29" x14ac:dyDescent="0.25">
      <c r="A737">
        <v>777</v>
      </c>
      <c r="B737">
        <v>19988</v>
      </c>
      <c r="C737">
        <v>3683</v>
      </c>
      <c r="D737">
        <f t="shared" si="44"/>
        <v>23671</v>
      </c>
      <c r="E737" t="s">
        <v>29</v>
      </c>
      <c r="F737">
        <v>40</v>
      </c>
      <c r="G737" t="str" cm="1">
        <f t="array" ref="G737">_xlfn.IFS(F737&lt;25,"18-24",F737&lt;35,"25-35",F737&lt;45,"35-44",F737&lt;55,"44-54",F737&gt;=55,"55+")</f>
        <v>35-44</v>
      </c>
      <c r="H737" t="s">
        <v>30</v>
      </c>
      <c r="I737">
        <v>1</v>
      </c>
      <c r="J737" t="str" cm="1">
        <f t="array" ref="J737">_xlfn.IFS(I737&lt;=0,"No Dependents",I737&lt;=1,"One",I737&lt;=2,"Two",I737&gt;=3,"Third")</f>
        <v>One</v>
      </c>
      <c r="K737">
        <v>619</v>
      </c>
      <c r="L737" t="str" cm="1">
        <f t="array" ref="L737">_xlfn.IFS(K737&lt;=580,"Poor",K737&lt;=670,"fair",K737&lt;=740,"Good",K737&lt;=800,"Very Good",K737&gt;=800,"Excellent")</f>
        <v>fair</v>
      </c>
      <c r="M737">
        <v>3</v>
      </c>
      <c r="N737" t="str">
        <f t="shared" si="45"/>
        <v>Yes</v>
      </c>
      <c r="O737">
        <v>0.35</v>
      </c>
      <c r="P737" t="str" cm="1">
        <f t="array" ref="P737">_xlfn.IFS(O737&lt;=0.3,"Low Risk",O737&lt;=0.4,"medium Risk",O737&lt;=0.5,"High Risk",O737&gt;0.5,"Very High Risk")</f>
        <v>medium Risk</v>
      </c>
      <c r="Q737">
        <v>15226</v>
      </c>
      <c r="R737">
        <v>22829</v>
      </c>
      <c r="S737" t="str">
        <f t="shared" si="46"/>
        <v>Yes</v>
      </c>
      <c r="T737">
        <v>36904</v>
      </c>
      <c r="U737" t="str" cm="1">
        <f t="array" ref="U737">_xlfn.IFS(T737&lt;5000,"Small",T737&lt;20000,"Medium",T737&lt;35000,"Large",T737&gt;35000,"Very Large")</f>
        <v>Very Large</v>
      </c>
      <c r="V737">
        <v>84</v>
      </c>
      <c r="W737">
        <f t="shared" si="47"/>
        <v>7</v>
      </c>
      <c r="X737" t="s">
        <v>50</v>
      </c>
      <c r="Y737" t="s">
        <v>32</v>
      </c>
      <c r="Z737" t="s">
        <v>39</v>
      </c>
      <c r="AA737" t="s">
        <v>40</v>
      </c>
      <c r="AB737" t="s">
        <v>35</v>
      </c>
      <c r="AC737" t="s">
        <v>36</v>
      </c>
    </row>
    <row r="738" spans="1:29" x14ac:dyDescent="0.25">
      <c r="A738">
        <v>778</v>
      </c>
      <c r="B738">
        <v>14219</v>
      </c>
      <c r="C738">
        <v>7227</v>
      </c>
      <c r="D738">
        <f t="shared" si="44"/>
        <v>21446</v>
      </c>
      <c r="E738" t="s">
        <v>29</v>
      </c>
      <c r="F738">
        <v>58</v>
      </c>
      <c r="G738" t="str" cm="1">
        <f t="array" ref="G738">_xlfn.IFS(F738&lt;25,"18-24",F738&lt;35,"25-35",F738&lt;45,"35-44",F738&lt;55,"44-54",F738&gt;=55,"55+")</f>
        <v>55+</v>
      </c>
      <c r="H738" t="s">
        <v>30</v>
      </c>
      <c r="I738">
        <v>3</v>
      </c>
      <c r="J738" t="str" cm="1">
        <f t="array" ref="J738">_xlfn.IFS(I738&lt;=0,"No Dependents",I738&lt;=1,"One",I738&lt;=2,"Two",I738&gt;=3,"Third")</f>
        <v>Third</v>
      </c>
      <c r="K738">
        <v>590</v>
      </c>
      <c r="L738" t="str" cm="1">
        <f t="array" ref="L738">_xlfn.IFS(K738&lt;=580,"Poor",K738&lt;=670,"fair",K738&lt;=740,"Good",K738&lt;=800,"Very Good",K738&gt;=800,"Excellent")</f>
        <v>fair</v>
      </c>
      <c r="M738">
        <v>4</v>
      </c>
      <c r="N738" t="str">
        <f t="shared" si="45"/>
        <v>Yes</v>
      </c>
      <c r="O738">
        <v>0.4</v>
      </c>
      <c r="P738" t="str" cm="1">
        <f t="array" ref="P738">_xlfn.IFS(O738&lt;=0.3,"Low Risk",O738&lt;=0.4,"medium Risk",O738&lt;=0.5,"High Risk",O738&gt;0.5,"Very High Risk")</f>
        <v>medium Risk</v>
      </c>
      <c r="Q738">
        <v>1525</v>
      </c>
      <c r="R738">
        <v>20221</v>
      </c>
      <c r="S738" t="str">
        <f t="shared" si="46"/>
        <v>Yes</v>
      </c>
      <c r="T738">
        <v>26538</v>
      </c>
      <c r="U738" t="str" cm="1">
        <f t="array" ref="U738">_xlfn.IFS(T738&lt;5000,"Small",T738&lt;20000,"Medium",T738&lt;35000,"Large",T738&gt;35000,"Very Large")</f>
        <v>Large</v>
      </c>
      <c r="V738">
        <v>48</v>
      </c>
      <c r="W738">
        <f t="shared" si="47"/>
        <v>4</v>
      </c>
      <c r="X738" t="s">
        <v>47</v>
      </c>
      <c r="Y738" t="s">
        <v>32</v>
      </c>
      <c r="Z738" t="s">
        <v>39</v>
      </c>
      <c r="AA738" t="s">
        <v>40</v>
      </c>
      <c r="AB738" t="s">
        <v>35</v>
      </c>
      <c r="AC738" t="s">
        <v>36</v>
      </c>
    </row>
    <row r="739" spans="1:29" x14ac:dyDescent="0.25">
      <c r="A739">
        <v>779</v>
      </c>
      <c r="B739">
        <v>2235</v>
      </c>
      <c r="C739">
        <v>3273</v>
      </c>
      <c r="D739">
        <f t="shared" si="44"/>
        <v>5508</v>
      </c>
      <c r="E739" t="s">
        <v>29</v>
      </c>
      <c r="F739">
        <v>51</v>
      </c>
      <c r="G739" t="str" cm="1">
        <f t="array" ref="G739">_xlfn.IFS(F739&lt;25,"18-24",F739&lt;35,"25-35",F739&lt;45,"35-44",F739&lt;55,"44-54",F739&gt;=55,"55+")</f>
        <v>44-54</v>
      </c>
      <c r="H739" t="s">
        <v>30</v>
      </c>
      <c r="I739">
        <v>0</v>
      </c>
      <c r="J739" t="str" cm="1">
        <f t="array" ref="J739">_xlfn.IFS(I739&lt;=0,"No Dependents",I739&lt;=1,"One",I739&lt;=2,"Two",I739&gt;=3,"Third")</f>
        <v>No Dependents</v>
      </c>
      <c r="K739">
        <v>740</v>
      </c>
      <c r="L739" t="str" cm="1">
        <f t="array" ref="L739">_xlfn.IFS(K739&lt;=580,"Poor",K739&lt;=670,"fair",K739&lt;=740,"Good",K739&lt;=800,"Very Good",K739&gt;=800,"Excellent")</f>
        <v>Good</v>
      </c>
      <c r="M739">
        <v>1</v>
      </c>
      <c r="N739" t="str">
        <f t="shared" si="45"/>
        <v>Yes</v>
      </c>
      <c r="O739">
        <v>0.38</v>
      </c>
      <c r="P739" t="str" cm="1">
        <f t="array" ref="P739">_xlfn.IFS(O739&lt;=0.3,"Low Risk",O739&lt;=0.4,"medium Risk",O739&lt;=0.5,"High Risk",O739&gt;0.5,"Very High Risk")</f>
        <v>medium Risk</v>
      </c>
      <c r="Q739">
        <v>760</v>
      </c>
      <c r="R739">
        <v>25102</v>
      </c>
      <c r="S739" t="str">
        <f t="shared" si="46"/>
        <v>Yes</v>
      </c>
      <c r="T739">
        <v>39033</v>
      </c>
      <c r="U739" t="str" cm="1">
        <f t="array" ref="U739">_xlfn.IFS(T739&lt;5000,"Small",T739&lt;20000,"Medium",T739&lt;35000,"Large",T739&gt;35000,"Very Large")</f>
        <v>Very Large</v>
      </c>
      <c r="V739">
        <v>36</v>
      </c>
      <c r="W739">
        <f t="shared" si="47"/>
        <v>3</v>
      </c>
      <c r="X739" t="s">
        <v>37</v>
      </c>
      <c r="Y739" t="s">
        <v>45</v>
      </c>
      <c r="Z739" t="s">
        <v>39</v>
      </c>
      <c r="AA739" t="s">
        <v>40</v>
      </c>
      <c r="AB739" t="s">
        <v>43</v>
      </c>
      <c r="AC739" t="s">
        <v>36</v>
      </c>
    </row>
    <row r="740" spans="1:29" x14ac:dyDescent="0.25">
      <c r="A740">
        <v>780</v>
      </c>
      <c r="B740">
        <v>12161</v>
      </c>
      <c r="C740">
        <v>7000</v>
      </c>
      <c r="D740">
        <f t="shared" si="44"/>
        <v>19161</v>
      </c>
      <c r="E740" t="s">
        <v>29</v>
      </c>
      <c r="F740">
        <v>34</v>
      </c>
      <c r="G740" t="str" cm="1">
        <f t="array" ref="G740">_xlfn.IFS(F740&lt;25,"18-24",F740&lt;35,"25-35",F740&lt;45,"35-44",F740&lt;55,"44-54",F740&gt;=55,"55+")</f>
        <v>25-35</v>
      </c>
      <c r="H740" t="s">
        <v>30</v>
      </c>
      <c r="I740">
        <v>1</v>
      </c>
      <c r="J740" t="str" cm="1">
        <f t="array" ref="J740">_xlfn.IFS(I740&lt;=0,"No Dependents",I740&lt;=1,"One",I740&lt;=2,"Two",I740&gt;=3,"Third")</f>
        <v>One</v>
      </c>
      <c r="K740">
        <v>709</v>
      </c>
      <c r="L740" t="str" cm="1">
        <f t="array" ref="L740">_xlfn.IFS(K740&lt;=580,"Poor",K740&lt;=670,"fair",K740&lt;=740,"Good",K740&lt;=800,"Very Good",K740&gt;=800,"Excellent")</f>
        <v>Good</v>
      </c>
      <c r="M740">
        <v>3</v>
      </c>
      <c r="N740" t="str">
        <f t="shared" si="45"/>
        <v>Yes</v>
      </c>
      <c r="O740">
        <v>0.34</v>
      </c>
      <c r="P740" t="str" cm="1">
        <f t="array" ref="P740">_xlfn.IFS(O740&lt;=0.3,"Low Risk",O740&lt;=0.4,"medium Risk",O740&lt;=0.5,"High Risk",O740&gt;0.5,"Very High Risk")</f>
        <v>medium Risk</v>
      </c>
      <c r="Q740">
        <v>16978</v>
      </c>
      <c r="R740">
        <v>34433</v>
      </c>
      <c r="S740" t="str">
        <f t="shared" si="46"/>
        <v>Yes</v>
      </c>
      <c r="T740">
        <v>8965</v>
      </c>
      <c r="U740" t="str" cm="1">
        <f t="array" ref="U740">_xlfn.IFS(T740&lt;5000,"Small",T740&lt;20000,"Medium",T740&lt;35000,"Large",T740&gt;35000,"Very Large")</f>
        <v>Medium</v>
      </c>
      <c r="V740">
        <v>36</v>
      </c>
      <c r="W740">
        <f t="shared" si="47"/>
        <v>3</v>
      </c>
      <c r="X740" t="s">
        <v>50</v>
      </c>
      <c r="Y740" t="s">
        <v>38</v>
      </c>
      <c r="Z740" t="s">
        <v>39</v>
      </c>
      <c r="AA740" t="s">
        <v>40</v>
      </c>
      <c r="AB740" t="s">
        <v>48</v>
      </c>
      <c r="AC740" t="s">
        <v>44</v>
      </c>
    </row>
    <row r="741" spans="1:29" x14ac:dyDescent="0.25">
      <c r="A741">
        <v>781</v>
      </c>
      <c r="B741">
        <v>3908</v>
      </c>
      <c r="C741">
        <v>145</v>
      </c>
      <c r="D741">
        <f t="shared" si="44"/>
        <v>4053</v>
      </c>
      <c r="E741" t="s">
        <v>46</v>
      </c>
      <c r="F741">
        <v>44</v>
      </c>
      <c r="G741" t="str" cm="1">
        <f t="array" ref="G741">_xlfn.IFS(F741&lt;25,"18-24",F741&lt;35,"25-35",F741&lt;45,"35-44",F741&lt;55,"44-54",F741&gt;=55,"55+")</f>
        <v>35-44</v>
      </c>
      <c r="H741" t="s">
        <v>41</v>
      </c>
      <c r="I741">
        <v>1</v>
      </c>
      <c r="J741" t="str" cm="1">
        <f t="array" ref="J741">_xlfn.IFS(I741&lt;=0,"No Dependents",I741&lt;=1,"One",I741&lt;=2,"Two",I741&gt;=3,"Third")</f>
        <v>One</v>
      </c>
      <c r="K741">
        <v>569</v>
      </c>
      <c r="L741" t="str" cm="1">
        <f t="array" ref="L741">_xlfn.IFS(K741&lt;=580,"Poor",K741&lt;=670,"fair",K741&lt;=740,"Good",K741&lt;=800,"Very Good",K741&gt;=800,"Excellent")</f>
        <v>Poor</v>
      </c>
      <c r="M741">
        <v>1</v>
      </c>
      <c r="N741" t="str">
        <f t="shared" si="45"/>
        <v>Yes</v>
      </c>
      <c r="O741">
        <v>0.35</v>
      </c>
      <c r="P741" t="str" cm="1">
        <f t="array" ref="P741">_xlfn.IFS(O741&lt;=0.3,"Low Risk",O741&lt;=0.4,"medium Risk",O741&lt;=0.5,"High Risk",O741&gt;0.5,"Very High Risk")</f>
        <v>medium Risk</v>
      </c>
      <c r="Q741">
        <v>13880</v>
      </c>
      <c r="R741">
        <v>15932</v>
      </c>
      <c r="S741" t="str">
        <f t="shared" si="46"/>
        <v>Yes</v>
      </c>
      <c r="T741">
        <v>10597</v>
      </c>
      <c r="U741" t="str" cm="1">
        <f t="array" ref="U741">_xlfn.IFS(T741&lt;5000,"Small",T741&lt;20000,"Medium",T741&lt;35000,"Large",T741&gt;35000,"Very Large")</f>
        <v>Medium</v>
      </c>
      <c r="V741">
        <v>84</v>
      </c>
      <c r="W741">
        <f t="shared" si="47"/>
        <v>7</v>
      </c>
      <c r="X741" t="s">
        <v>50</v>
      </c>
      <c r="Y741" t="s">
        <v>45</v>
      </c>
      <c r="Z741" t="s">
        <v>39</v>
      </c>
      <c r="AA741" t="s">
        <v>40</v>
      </c>
      <c r="AB741" t="s">
        <v>35</v>
      </c>
      <c r="AC741" t="s">
        <v>36</v>
      </c>
    </row>
    <row r="742" spans="1:29" x14ac:dyDescent="0.25">
      <c r="A742">
        <v>782</v>
      </c>
      <c r="B742">
        <v>10567</v>
      </c>
      <c r="C742">
        <v>5010</v>
      </c>
      <c r="D742">
        <f t="shared" si="44"/>
        <v>15577</v>
      </c>
      <c r="E742" t="s">
        <v>29</v>
      </c>
      <c r="F742">
        <v>52</v>
      </c>
      <c r="G742" t="str" cm="1">
        <f t="array" ref="G742">_xlfn.IFS(F742&lt;25,"18-24",F742&lt;35,"25-35",F742&lt;45,"35-44",F742&lt;55,"44-54",F742&gt;=55,"55+")</f>
        <v>44-54</v>
      </c>
      <c r="H742" t="s">
        <v>30</v>
      </c>
      <c r="I742">
        <v>0</v>
      </c>
      <c r="J742" t="str" cm="1">
        <f t="array" ref="J742">_xlfn.IFS(I742&lt;=0,"No Dependents",I742&lt;=1,"One",I742&lt;=2,"Two",I742&gt;=3,"Third")</f>
        <v>No Dependents</v>
      </c>
      <c r="K742">
        <v>734</v>
      </c>
      <c r="L742" t="str" cm="1">
        <f t="array" ref="L742">_xlfn.IFS(K742&lt;=580,"Poor",K742&lt;=670,"fair",K742&lt;=740,"Good",K742&lt;=800,"Very Good",K742&gt;=800,"Excellent")</f>
        <v>Good</v>
      </c>
      <c r="M742">
        <v>1</v>
      </c>
      <c r="N742" t="str">
        <f t="shared" si="45"/>
        <v>Yes</v>
      </c>
      <c r="O742">
        <v>0.19</v>
      </c>
      <c r="P742" t="str" cm="1">
        <f t="array" ref="P742">_xlfn.IFS(O742&lt;=0.3,"Low Risk",O742&lt;=0.4,"medium Risk",O742&lt;=0.5,"High Risk",O742&gt;0.5,"Very High Risk")</f>
        <v>Low Risk</v>
      </c>
      <c r="Q742">
        <v>1055</v>
      </c>
      <c r="R742">
        <v>25714</v>
      </c>
      <c r="S742" t="str">
        <f t="shared" si="46"/>
        <v>Yes</v>
      </c>
      <c r="T742">
        <v>28740</v>
      </c>
      <c r="U742" t="str" cm="1">
        <f t="array" ref="U742">_xlfn.IFS(T742&lt;5000,"Small",T742&lt;20000,"Medium",T742&lt;35000,"Large",T742&gt;35000,"Very Large")</f>
        <v>Large</v>
      </c>
      <c r="V742">
        <v>48</v>
      </c>
      <c r="W742">
        <f t="shared" si="47"/>
        <v>4</v>
      </c>
      <c r="X742" t="s">
        <v>37</v>
      </c>
      <c r="Y742" t="s">
        <v>45</v>
      </c>
      <c r="Z742" t="s">
        <v>39</v>
      </c>
      <c r="AA742" t="s">
        <v>40</v>
      </c>
      <c r="AB742" t="s">
        <v>35</v>
      </c>
      <c r="AC742" t="s">
        <v>44</v>
      </c>
    </row>
    <row r="743" spans="1:29" x14ac:dyDescent="0.25">
      <c r="A743">
        <v>783</v>
      </c>
      <c r="B743">
        <v>5530</v>
      </c>
      <c r="C743">
        <v>3040</v>
      </c>
      <c r="D743">
        <f t="shared" si="44"/>
        <v>8570</v>
      </c>
      <c r="E743" t="s">
        <v>29</v>
      </c>
      <c r="F743">
        <v>56</v>
      </c>
      <c r="G743" t="str" cm="1">
        <f t="array" ref="G743">_xlfn.IFS(F743&lt;25,"18-24",F743&lt;35,"25-35",F743&lt;45,"35-44",F743&lt;55,"44-54",F743&gt;=55,"55+")</f>
        <v>55+</v>
      </c>
      <c r="H743" t="s">
        <v>41</v>
      </c>
      <c r="I743">
        <v>3</v>
      </c>
      <c r="J743" t="str" cm="1">
        <f t="array" ref="J743">_xlfn.IFS(I743&lt;=0,"No Dependents",I743&lt;=1,"One",I743&lt;=2,"Two",I743&gt;=3,"Third")</f>
        <v>Third</v>
      </c>
      <c r="K743">
        <v>775</v>
      </c>
      <c r="L743" t="str" cm="1">
        <f t="array" ref="L743">_xlfn.IFS(K743&lt;=580,"Poor",K743&lt;=670,"fair",K743&lt;=740,"Good",K743&lt;=800,"Very Good",K743&gt;=800,"Excellent")</f>
        <v>Very Good</v>
      </c>
      <c r="M743">
        <v>3</v>
      </c>
      <c r="N743" t="str">
        <f t="shared" si="45"/>
        <v>Yes</v>
      </c>
      <c r="O743">
        <v>0.51</v>
      </c>
      <c r="P743" t="str" cm="1">
        <f t="array" ref="P743">_xlfn.IFS(O743&lt;=0.3,"Low Risk",O743&lt;=0.4,"medium Risk",O743&lt;=0.5,"High Risk",O743&gt;0.5,"Very High Risk")</f>
        <v>Very High Risk</v>
      </c>
      <c r="Q743">
        <v>10046</v>
      </c>
      <c r="R743">
        <v>39743</v>
      </c>
      <c r="S743" t="str">
        <f t="shared" si="46"/>
        <v>Yes</v>
      </c>
      <c r="T743">
        <v>7569</v>
      </c>
      <c r="U743" t="str" cm="1">
        <f t="array" ref="U743">_xlfn.IFS(T743&lt;5000,"Small",T743&lt;20000,"Medium",T743&lt;35000,"Large",T743&gt;35000,"Very Large")</f>
        <v>Medium</v>
      </c>
      <c r="V743">
        <v>84</v>
      </c>
      <c r="W743">
        <f t="shared" si="47"/>
        <v>7</v>
      </c>
      <c r="X743" t="s">
        <v>42</v>
      </c>
      <c r="Y743" t="s">
        <v>45</v>
      </c>
      <c r="Z743" t="s">
        <v>33</v>
      </c>
      <c r="AA743" t="s">
        <v>40</v>
      </c>
      <c r="AB743" t="s">
        <v>35</v>
      </c>
      <c r="AC743" t="s">
        <v>36</v>
      </c>
    </row>
    <row r="744" spans="1:29" x14ac:dyDescent="0.25">
      <c r="A744">
        <v>784</v>
      </c>
      <c r="B744">
        <v>7256</v>
      </c>
      <c r="C744">
        <v>9654</v>
      </c>
      <c r="D744">
        <f t="shared" si="44"/>
        <v>16910</v>
      </c>
      <c r="E744" t="s">
        <v>48</v>
      </c>
      <c r="F744">
        <v>52</v>
      </c>
      <c r="G744" t="str" cm="1">
        <f t="array" ref="G744">_xlfn.IFS(F744&lt;25,"18-24",F744&lt;35,"25-35",F744&lt;45,"35-44",F744&lt;55,"44-54",F744&gt;=55,"55+")</f>
        <v>44-54</v>
      </c>
      <c r="H744" t="s">
        <v>30</v>
      </c>
      <c r="I744">
        <v>3</v>
      </c>
      <c r="J744" t="str" cm="1">
        <f t="array" ref="J744">_xlfn.IFS(I744&lt;=0,"No Dependents",I744&lt;=1,"One",I744&lt;=2,"Two",I744&gt;=3,"Third")</f>
        <v>Third</v>
      </c>
      <c r="K744">
        <v>727</v>
      </c>
      <c r="L744" t="str" cm="1">
        <f t="array" ref="L744">_xlfn.IFS(K744&lt;=580,"Poor",K744&lt;=670,"fair",K744&lt;=740,"Good",K744&lt;=800,"Very Good",K744&gt;=800,"Excellent")</f>
        <v>Good</v>
      </c>
      <c r="M744">
        <v>0</v>
      </c>
      <c r="N744" t="str">
        <f t="shared" si="45"/>
        <v>No</v>
      </c>
      <c r="O744">
        <v>0.37</v>
      </c>
      <c r="P744" t="str" cm="1">
        <f t="array" ref="P744">_xlfn.IFS(O744&lt;=0.3,"Low Risk",O744&lt;=0.4,"medium Risk",O744&lt;=0.5,"High Risk",O744&gt;0.5,"Very High Risk")</f>
        <v>medium Risk</v>
      </c>
      <c r="Q744">
        <v>3083</v>
      </c>
      <c r="R744">
        <v>2552</v>
      </c>
      <c r="S744" t="str">
        <f t="shared" si="46"/>
        <v>Yes</v>
      </c>
      <c r="T744">
        <v>38981</v>
      </c>
      <c r="U744" t="str" cm="1">
        <f t="array" ref="U744">_xlfn.IFS(T744&lt;5000,"Small",T744&lt;20000,"Medium",T744&lt;35000,"Large",T744&gt;35000,"Very Large")</f>
        <v>Very Large</v>
      </c>
      <c r="V744">
        <v>12</v>
      </c>
      <c r="W744">
        <f t="shared" si="47"/>
        <v>1</v>
      </c>
      <c r="X744" t="s">
        <v>50</v>
      </c>
      <c r="Y744" t="s">
        <v>32</v>
      </c>
      <c r="Z744" t="s">
        <v>39</v>
      </c>
      <c r="AA744" t="s">
        <v>34</v>
      </c>
      <c r="AB744" t="s">
        <v>35</v>
      </c>
      <c r="AC744" t="s">
        <v>36</v>
      </c>
    </row>
    <row r="745" spans="1:29" x14ac:dyDescent="0.25">
      <c r="A745">
        <v>785</v>
      </c>
      <c r="B745">
        <v>0</v>
      </c>
      <c r="C745">
        <v>9776</v>
      </c>
      <c r="D745">
        <f t="shared" si="44"/>
        <v>9776</v>
      </c>
      <c r="E745" t="s">
        <v>49</v>
      </c>
      <c r="F745">
        <v>35</v>
      </c>
      <c r="G745" t="str" cm="1">
        <f t="array" ref="G745">_xlfn.IFS(F745&lt;25,"18-24",F745&lt;35,"25-35",F745&lt;45,"35-44",F745&lt;55,"44-54",F745&gt;=55,"55+")</f>
        <v>35-44</v>
      </c>
      <c r="H745" t="s">
        <v>30</v>
      </c>
      <c r="I745">
        <v>1</v>
      </c>
      <c r="J745" t="str" cm="1">
        <f t="array" ref="J745">_xlfn.IFS(I745&lt;=0,"No Dependents",I745&lt;=1,"One",I745&lt;=2,"Two",I745&gt;=3,"Third")</f>
        <v>One</v>
      </c>
      <c r="K745">
        <v>757</v>
      </c>
      <c r="L745" t="str" cm="1">
        <f t="array" ref="L745">_xlfn.IFS(K745&lt;=580,"Poor",K745&lt;=670,"fair",K745&lt;=740,"Good",K745&lt;=800,"Very Good",K745&gt;=800,"Excellent")</f>
        <v>Very Good</v>
      </c>
      <c r="M745">
        <v>3</v>
      </c>
      <c r="N745" t="str">
        <f t="shared" si="45"/>
        <v>Yes</v>
      </c>
      <c r="O745">
        <v>0.17</v>
      </c>
      <c r="P745" t="str" cm="1">
        <f t="array" ref="P745">_xlfn.IFS(O745&lt;=0.3,"Low Risk",O745&lt;=0.4,"medium Risk",O745&lt;=0.5,"High Risk",O745&gt;0.5,"Very High Risk")</f>
        <v>Low Risk</v>
      </c>
      <c r="Q745">
        <v>15678</v>
      </c>
      <c r="R745">
        <v>45987</v>
      </c>
      <c r="S745" t="str">
        <f t="shared" si="46"/>
        <v>Yes</v>
      </c>
      <c r="T745">
        <v>12881</v>
      </c>
      <c r="U745" t="str" cm="1">
        <f t="array" ref="U745">_xlfn.IFS(T745&lt;5000,"Small",T745&lt;20000,"Medium",T745&lt;35000,"Large",T745&gt;35000,"Very Large")</f>
        <v>Medium</v>
      </c>
      <c r="V745">
        <v>12</v>
      </c>
      <c r="W745">
        <f t="shared" si="47"/>
        <v>1</v>
      </c>
      <c r="X745" t="s">
        <v>37</v>
      </c>
      <c r="Y745" t="s">
        <v>32</v>
      </c>
      <c r="Z745" t="s">
        <v>33</v>
      </c>
      <c r="AA745" t="s">
        <v>34</v>
      </c>
      <c r="AB745" t="s">
        <v>42</v>
      </c>
      <c r="AC745" t="s">
        <v>44</v>
      </c>
    </row>
    <row r="746" spans="1:29" x14ac:dyDescent="0.25">
      <c r="A746">
        <v>786</v>
      </c>
      <c r="B746">
        <v>7415</v>
      </c>
      <c r="C746">
        <v>482</v>
      </c>
      <c r="D746">
        <f t="shared" si="44"/>
        <v>7897</v>
      </c>
      <c r="E746" t="s">
        <v>49</v>
      </c>
      <c r="F746">
        <v>55</v>
      </c>
      <c r="G746" t="str" cm="1">
        <f t="array" ref="G746">_xlfn.IFS(F746&lt;25,"18-24",F746&lt;35,"25-35",F746&lt;45,"35-44",F746&lt;55,"44-54",F746&gt;=55,"55+")</f>
        <v>55+</v>
      </c>
      <c r="H746" t="s">
        <v>30</v>
      </c>
      <c r="I746">
        <v>1</v>
      </c>
      <c r="J746" t="str" cm="1">
        <f t="array" ref="J746">_xlfn.IFS(I746&lt;=0,"No Dependents",I746&lt;=1,"One",I746&lt;=2,"Two",I746&gt;=3,"Third")</f>
        <v>One</v>
      </c>
      <c r="K746">
        <v>702</v>
      </c>
      <c r="L746" t="str" cm="1">
        <f t="array" ref="L746">_xlfn.IFS(K746&lt;=580,"Poor",K746&lt;=670,"fair",K746&lt;=740,"Good",K746&lt;=800,"Very Good",K746&gt;=800,"Excellent")</f>
        <v>Good</v>
      </c>
      <c r="M746">
        <v>4</v>
      </c>
      <c r="N746" t="str">
        <f t="shared" si="45"/>
        <v>Yes</v>
      </c>
      <c r="O746">
        <v>0.48</v>
      </c>
      <c r="P746" t="str" cm="1">
        <f t="array" ref="P746">_xlfn.IFS(O746&lt;=0.3,"Low Risk",O746&lt;=0.4,"medium Risk",O746&lt;=0.5,"High Risk",O746&gt;0.5,"Very High Risk")</f>
        <v>High Risk</v>
      </c>
      <c r="Q746">
        <v>12108</v>
      </c>
      <c r="R746">
        <v>14274</v>
      </c>
      <c r="S746" t="str">
        <f t="shared" si="46"/>
        <v>Yes</v>
      </c>
      <c r="T746">
        <v>37996</v>
      </c>
      <c r="U746" t="str" cm="1">
        <f t="array" ref="U746">_xlfn.IFS(T746&lt;5000,"Small",T746&lt;20000,"Medium",T746&lt;35000,"Large",T746&gt;35000,"Very Large")</f>
        <v>Very Large</v>
      </c>
      <c r="V746">
        <v>60</v>
      </c>
      <c r="W746">
        <f t="shared" si="47"/>
        <v>5</v>
      </c>
      <c r="X746" t="s">
        <v>50</v>
      </c>
      <c r="Y746" t="s">
        <v>32</v>
      </c>
      <c r="Z746" t="s">
        <v>39</v>
      </c>
      <c r="AA746" t="s">
        <v>40</v>
      </c>
      <c r="AB746" t="s">
        <v>35</v>
      </c>
      <c r="AC746" t="s">
        <v>36</v>
      </c>
    </row>
    <row r="747" spans="1:29" x14ac:dyDescent="0.25">
      <c r="A747">
        <v>788</v>
      </c>
      <c r="B747">
        <v>13157</v>
      </c>
      <c r="C747">
        <v>1249</v>
      </c>
      <c r="D747">
        <f t="shared" si="44"/>
        <v>14406</v>
      </c>
      <c r="E747" t="s">
        <v>49</v>
      </c>
      <c r="F747">
        <v>36</v>
      </c>
      <c r="G747" t="str" cm="1">
        <f t="array" ref="G747">_xlfn.IFS(F747&lt;25,"18-24",F747&lt;35,"25-35",F747&lt;45,"35-44",F747&lt;55,"44-54",F747&gt;=55,"55+")</f>
        <v>35-44</v>
      </c>
      <c r="H747" t="s">
        <v>30</v>
      </c>
      <c r="I747">
        <v>3</v>
      </c>
      <c r="J747" t="str" cm="1">
        <f t="array" ref="J747">_xlfn.IFS(I747&lt;=0,"No Dependents",I747&lt;=1,"One",I747&lt;=2,"Two",I747&gt;=3,"Third")</f>
        <v>Third</v>
      </c>
      <c r="K747">
        <v>748</v>
      </c>
      <c r="L747" t="str" cm="1">
        <f t="array" ref="L747">_xlfn.IFS(K747&lt;=580,"Poor",K747&lt;=670,"fair",K747&lt;=740,"Good",K747&lt;=800,"Very Good",K747&gt;=800,"Excellent")</f>
        <v>Very Good</v>
      </c>
      <c r="M747">
        <v>3</v>
      </c>
      <c r="N747" t="str">
        <f t="shared" si="45"/>
        <v>Yes</v>
      </c>
      <c r="O747">
        <v>0.56999999999999995</v>
      </c>
      <c r="P747" t="str" cm="1">
        <f t="array" ref="P747">_xlfn.IFS(O747&lt;=0.3,"Low Risk",O747&lt;=0.4,"medium Risk",O747&lt;=0.5,"High Risk",O747&gt;0.5,"Very High Risk")</f>
        <v>Very High Risk</v>
      </c>
      <c r="Q747">
        <v>5957</v>
      </c>
      <c r="R747">
        <v>29250</v>
      </c>
      <c r="S747" t="str">
        <f t="shared" si="46"/>
        <v>Yes</v>
      </c>
      <c r="T747">
        <v>38177</v>
      </c>
      <c r="U747" t="str" cm="1">
        <f t="array" ref="U747">_xlfn.IFS(T747&lt;5000,"Small",T747&lt;20000,"Medium",T747&lt;35000,"Large",T747&gt;35000,"Very Large")</f>
        <v>Very Large</v>
      </c>
      <c r="V747">
        <v>60</v>
      </c>
      <c r="W747">
        <f t="shared" si="47"/>
        <v>5</v>
      </c>
      <c r="X747" t="s">
        <v>42</v>
      </c>
      <c r="Y747" t="s">
        <v>45</v>
      </c>
      <c r="Z747" t="s">
        <v>33</v>
      </c>
      <c r="AA747" t="s">
        <v>40</v>
      </c>
      <c r="AB747" t="s">
        <v>43</v>
      </c>
      <c r="AC747" t="s">
        <v>36</v>
      </c>
    </row>
    <row r="748" spans="1:29" x14ac:dyDescent="0.25">
      <c r="A748">
        <v>789</v>
      </c>
      <c r="B748">
        <v>7951</v>
      </c>
      <c r="C748">
        <v>630</v>
      </c>
      <c r="D748">
        <f t="shared" si="44"/>
        <v>8581</v>
      </c>
      <c r="E748" t="s">
        <v>29</v>
      </c>
      <c r="F748">
        <v>25</v>
      </c>
      <c r="G748" t="str" cm="1">
        <f t="array" ref="G748">_xlfn.IFS(F748&lt;25,"18-24",F748&lt;35,"25-35",F748&lt;45,"35-44",F748&lt;55,"44-54",F748&gt;=55,"55+")</f>
        <v>25-35</v>
      </c>
      <c r="H748" t="s">
        <v>41</v>
      </c>
      <c r="I748">
        <v>2</v>
      </c>
      <c r="J748" t="str" cm="1">
        <f t="array" ref="J748">_xlfn.IFS(I748&lt;=0,"No Dependents",I748&lt;=1,"One",I748&lt;=2,"Two",I748&gt;=3,"Third")</f>
        <v>Two</v>
      </c>
      <c r="K748">
        <v>588</v>
      </c>
      <c r="L748" t="str" cm="1">
        <f t="array" ref="L748">_xlfn.IFS(K748&lt;=580,"Poor",K748&lt;=670,"fair",K748&lt;=740,"Good",K748&lt;=800,"Very Good",K748&gt;=800,"Excellent")</f>
        <v>fair</v>
      </c>
      <c r="M748">
        <v>1</v>
      </c>
      <c r="N748" t="str">
        <f t="shared" si="45"/>
        <v>Yes</v>
      </c>
      <c r="O748">
        <v>0.28000000000000003</v>
      </c>
      <c r="P748" t="str" cm="1">
        <f t="array" ref="P748">_xlfn.IFS(O748&lt;=0.3,"Low Risk",O748&lt;=0.4,"medium Risk",O748&lt;=0.5,"High Risk",O748&gt;0.5,"Very High Risk")</f>
        <v>Low Risk</v>
      </c>
      <c r="Q748">
        <v>5255</v>
      </c>
      <c r="R748">
        <v>2808</v>
      </c>
      <c r="S748" t="str">
        <f t="shared" si="46"/>
        <v>Yes</v>
      </c>
      <c r="T748">
        <v>1590</v>
      </c>
      <c r="U748" t="str" cm="1">
        <f t="array" ref="U748">_xlfn.IFS(T748&lt;5000,"Small",T748&lt;20000,"Medium",T748&lt;35000,"Large",T748&gt;35000,"Very Large")</f>
        <v>Small</v>
      </c>
      <c r="V748">
        <v>12</v>
      </c>
      <c r="W748">
        <f t="shared" si="47"/>
        <v>1</v>
      </c>
      <c r="X748" t="s">
        <v>42</v>
      </c>
      <c r="Y748" t="s">
        <v>32</v>
      </c>
      <c r="Z748" t="s">
        <v>39</v>
      </c>
      <c r="AA748" t="s">
        <v>34</v>
      </c>
      <c r="AB748" t="s">
        <v>35</v>
      </c>
      <c r="AC748" t="s">
        <v>36</v>
      </c>
    </row>
    <row r="749" spans="1:29" x14ac:dyDescent="0.25">
      <c r="A749">
        <v>790</v>
      </c>
      <c r="B749">
        <v>10007</v>
      </c>
      <c r="C749">
        <v>8853</v>
      </c>
      <c r="D749">
        <f t="shared" si="44"/>
        <v>18860</v>
      </c>
      <c r="E749" t="s">
        <v>29</v>
      </c>
      <c r="F749">
        <v>41</v>
      </c>
      <c r="G749" t="str" cm="1">
        <f t="array" ref="G749">_xlfn.IFS(F749&lt;25,"18-24",F749&lt;35,"25-35",F749&lt;45,"35-44",F749&lt;55,"44-54",F749&gt;=55,"55+")</f>
        <v>35-44</v>
      </c>
      <c r="H749" t="s">
        <v>30</v>
      </c>
      <c r="I749">
        <v>1</v>
      </c>
      <c r="J749" t="str" cm="1">
        <f t="array" ref="J749">_xlfn.IFS(I749&lt;=0,"No Dependents",I749&lt;=1,"One",I749&lt;=2,"Two",I749&gt;=3,"Third")</f>
        <v>One</v>
      </c>
      <c r="K749">
        <v>694</v>
      </c>
      <c r="L749" t="str" cm="1">
        <f t="array" ref="L749">_xlfn.IFS(K749&lt;=580,"Poor",K749&lt;=670,"fair",K749&lt;=740,"Good",K749&lt;=800,"Very Good",K749&gt;=800,"Excellent")</f>
        <v>Good</v>
      </c>
      <c r="M749">
        <v>1</v>
      </c>
      <c r="N749" t="str">
        <f t="shared" si="45"/>
        <v>Yes</v>
      </c>
      <c r="O749">
        <v>0.17</v>
      </c>
      <c r="P749" t="str" cm="1">
        <f t="array" ref="P749">_xlfn.IFS(O749&lt;=0.3,"Low Risk",O749&lt;=0.4,"medium Risk",O749&lt;=0.5,"High Risk",O749&gt;0.5,"Very High Risk")</f>
        <v>Low Risk</v>
      </c>
      <c r="Q749">
        <v>0</v>
      </c>
      <c r="R749">
        <v>43858</v>
      </c>
      <c r="S749" t="str">
        <f t="shared" si="46"/>
        <v>Yes</v>
      </c>
      <c r="T749">
        <v>27119</v>
      </c>
      <c r="U749" t="str" cm="1">
        <f t="array" ref="U749">_xlfn.IFS(T749&lt;5000,"Small",T749&lt;20000,"Medium",T749&lt;35000,"Large",T749&gt;35000,"Very Large")</f>
        <v>Large</v>
      </c>
      <c r="V749">
        <v>48</v>
      </c>
      <c r="W749">
        <f t="shared" si="47"/>
        <v>4</v>
      </c>
      <c r="X749" t="s">
        <v>47</v>
      </c>
      <c r="Y749" t="s">
        <v>32</v>
      </c>
      <c r="Z749" t="s">
        <v>39</v>
      </c>
      <c r="AA749" t="s">
        <v>40</v>
      </c>
      <c r="AB749" t="s">
        <v>43</v>
      </c>
      <c r="AC749" t="s">
        <v>44</v>
      </c>
    </row>
    <row r="750" spans="1:29" x14ac:dyDescent="0.25">
      <c r="A750">
        <v>791</v>
      </c>
      <c r="B750">
        <v>0</v>
      </c>
      <c r="C750">
        <v>2852</v>
      </c>
      <c r="D750">
        <f t="shared" si="44"/>
        <v>2852</v>
      </c>
      <c r="E750" t="s">
        <v>49</v>
      </c>
      <c r="F750">
        <v>30</v>
      </c>
      <c r="G750" t="str" cm="1">
        <f t="array" ref="G750">_xlfn.IFS(F750&lt;25,"18-24",F750&lt;35,"25-35",F750&lt;45,"35-44",F750&lt;55,"44-54",F750&gt;=55,"55+")</f>
        <v>25-35</v>
      </c>
      <c r="H750" t="s">
        <v>41</v>
      </c>
      <c r="I750">
        <v>1</v>
      </c>
      <c r="J750" t="str" cm="1">
        <f t="array" ref="J750">_xlfn.IFS(I750&lt;=0,"No Dependents",I750&lt;=1,"One",I750&lt;=2,"Two",I750&gt;=3,"Third")</f>
        <v>One</v>
      </c>
      <c r="K750">
        <v>594</v>
      </c>
      <c r="L750" t="str" cm="1">
        <f t="array" ref="L750">_xlfn.IFS(K750&lt;=580,"Poor",K750&lt;=670,"fair",K750&lt;=740,"Good",K750&lt;=800,"Very Good",K750&gt;=800,"Excellent")</f>
        <v>fair</v>
      </c>
      <c r="M750">
        <v>3</v>
      </c>
      <c r="N750" t="str">
        <f t="shared" si="45"/>
        <v>Yes</v>
      </c>
      <c r="O750">
        <v>0.36</v>
      </c>
      <c r="P750" t="str" cm="1">
        <f t="array" ref="P750">_xlfn.IFS(O750&lt;=0.3,"Low Risk",O750&lt;=0.4,"medium Risk",O750&lt;=0.5,"High Risk",O750&gt;0.5,"Very High Risk")</f>
        <v>medium Risk</v>
      </c>
      <c r="Q750">
        <v>16344</v>
      </c>
      <c r="R750">
        <v>45028</v>
      </c>
      <c r="S750" t="str">
        <f t="shared" si="46"/>
        <v>Yes</v>
      </c>
      <c r="T750">
        <v>28915</v>
      </c>
      <c r="U750" t="str" cm="1">
        <f t="array" ref="U750">_xlfn.IFS(T750&lt;5000,"Small",T750&lt;20000,"Medium",T750&lt;35000,"Large",T750&gt;35000,"Very Large")</f>
        <v>Large</v>
      </c>
      <c r="V750">
        <v>24</v>
      </c>
      <c r="W750">
        <f t="shared" si="47"/>
        <v>2</v>
      </c>
      <c r="X750" t="s">
        <v>42</v>
      </c>
      <c r="Y750" t="s">
        <v>32</v>
      </c>
      <c r="Z750" t="s">
        <v>39</v>
      </c>
      <c r="AA750" t="s">
        <v>34</v>
      </c>
      <c r="AB750" t="s">
        <v>35</v>
      </c>
      <c r="AC750" t="s">
        <v>36</v>
      </c>
    </row>
    <row r="751" spans="1:29" x14ac:dyDescent="0.25">
      <c r="A751">
        <v>792</v>
      </c>
      <c r="B751">
        <v>17524</v>
      </c>
      <c r="C751">
        <v>987</v>
      </c>
      <c r="D751">
        <f t="shared" si="44"/>
        <v>18511</v>
      </c>
      <c r="E751" t="s">
        <v>29</v>
      </c>
      <c r="F751">
        <v>39</v>
      </c>
      <c r="G751" t="str" cm="1">
        <f t="array" ref="G751">_xlfn.IFS(F751&lt;25,"18-24",F751&lt;35,"25-35",F751&lt;45,"35-44",F751&lt;55,"44-54",F751&gt;=55,"55+")</f>
        <v>35-44</v>
      </c>
      <c r="H751" t="s">
        <v>41</v>
      </c>
      <c r="I751">
        <v>0</v>
      </c>
      <c r="J751" t="str" cm="1">
        <f t="array" ref="J751">_xlfn.IFS(I751&lt;=0,"No Dependents",I751&lt;=1,"One",I751&lt;=2,"Two",I751&gt;=3,"Third")</f>
        <v>No Dependents</v>
      </c>
      <c r="K751">
        <v>688</v>
      </c>
      <c r="L751" t="str" cm="1">
        <f t="array" ref="L751">_xlfn.IFS(K751&lt;=580,"Poor",K751&lt;=670,"fair",K751&lt;=740,"Good",K751&lt;=800,"Very Good",K751&gt;=800,"Excellent")</f>
        <v>Good</v>
      </c>
      <c r="M751">
        <v>2</v>
      </c>
      <c r="N751" t="str">
        <f t="shared" si="45"/>
        <v>Yes</v>
      </c>
      <c r="O751">
        <v>0.16</v>
      </c>
      <c r="P751" t="str" cm="1">
        <f t="array" ref="P751">_xlfn.IFS(O751&lt;=0.3,"Low Risk",O751&lt;=0.4,"medium Risk",O751&lt;=0.5,"High Risk",O751&gt;0.5,"Very High Risk")</f>
        <v>Low Risk</v>
      </c>
      <c r="Q751">
        <v>9691</v>
      </c>
      <c r="R751">
        <v>15295</v>
      </c>
      <c r="S751" t="str">
        <f t="shared" si="46"/>
        <v>Yes</v>
      </c>
      <c r="T751">
        <v>3708</v>
      </c>
      <c r="U751" t="str" cm="1">
        <f t="array" ref="U751">_xlfn.IFS(T751&lt;5000,"Small",T751&lt;20000,"Medium",T751&lt;35000,"Large",T751&gt;35000,"Very Large")</f>
        <v>Small</v>
      </c>
      <c r="V751">
        <v>48</v>
      </c>
      <c r="W751">
        <f t="shared" si="47"/>
        <v>4</v>
      </c>
      <c r="X751" t="s">
        <v>42</v>
      </c>
      <c r="Y751" t="s">
        <v>38</v>
      </c>
      <c r="Z751" t="s">
        <v>39</v>
      </c>
      <c r="AA751" t="s">
        <v>40</v>
      </c>
      <c r="AB751" t="s">
        <v>48</v>
      </c>
      <c r="AC751" t="s">
        <v>36</v>
      </c>
    </row>
    <row r="752" spans="1:29" x14ac:dyDescent="0.25">
      <c r="A752">
        <v>793</v>
      </c>
      <c r="B752">
        <v>2077</v>
      </c>
      <c r="C752">
        <v>7622</v>
      </c>
      <c r="D752">
        <f t="shared" si="44"/>
        <v>9699</v>
      </c>
      <c r="E752" t="s">
        <v>46</v>
      </c>
      <c r="F752">
        <v>45</v>
      </c>
      <c r="G752" t="str" cm="1">
        <f t="array" ref="G752">_xlfn.IFS(F752&lt;25,"18-24",F752&lt;35,"25-35",F752&lt;45,"35-44",F752&lt;55,"44-54",F752&gt;=55,"55+")</f>
        <v>44-54</v>
      </c>
      <c r="H752" t="s">
        <v>30</v>
      </c>
      <c r="I752">
        <v>0</v>
      </c>
      <c r="J752" t="str" cm="1">
        <f t="array" ref="J752">_xlfn.IFS(I752&lt;=0,"No Dependents",I752&lt;=1,"One",I752&lt;=2,"Two",I752&gt;=3,"Third")</f>
        <v>No Dependents</v>
      </c>
      <c r="K752">
        <v>619</v>
      </c>
      <c r="L752" t="str" cm="1">
        <f t="array" ref="L752">_xlfn.IFS(K752&lt;=580,"Poor",K752&lt;=670,"fair",K752&lt;=740,"Good",K752&lt;=800,"Very Good",K752&gt;=800,"Excellent")</f>
        <v>fair</v>
      </c>
      <c r="M752">
        <v>3</v>
      </c>
      <c r="N752" t="str">
        <f t="shared" si="45"/>
        <v>Yes</v>
      </c>
      <c r="O752">
        <v>0.56999999999999995</v>
      </c>
      <c r="P752" t="str" cm="1">
        <f t="array" ref="P752">_xlfn.IFS(O752&lt;=0.3,"Low Risk",O752&lt;=0.4,"medium Risk",O752&lt;=0.5,"High Risk",O752&gt;0.5,"Very High Risk")</f>
        <v>Very High Risk</v>
      </c>
      <c r="Q752">
        <v>18214</v>
      </c>
      <c r="R752">
        <v>47605</v>
      </c>
      <c r="S752" t="str">
        <f t="shared" si="46"/>
        <v>Yes</v>
      </c>
      <c r="T752">
        <v>39749</v>
      </c>
      <c r="U752" t="str" cm="1">
        <f t="array" ref="U752">_xlfn.IFS(T752&lt;5000,"Small",T752&lt;20000,"Medium",T752&lt;35000,"Large",T752&gt;35000,"Very Large")</f>
        <v>Very Large</v>
      </c>
      <c r="V752">
        <v>60</v>
      </c>
      <c r="W752">
        <f t="shared" si="47"/>
        <v>5</v>
      </c>
      <c r="X752" t="s">
        <v>47</v>
      </c>
      <c r="Y752" t="s">
        <v>45</v>
      </c>
      <c r="Z752" t="s">
        <v>39</v>
      </c>
      <c r="AA752" t="s">
        <v>40</v>
      </c>
      <c r="AB752" t="s">
        <v>35</v>
      </c>
      <c r="AC752" t="s">
        <v>36</v>
      </c>
    </row>
    <row r="753" spans="1:29" x14ac:dyDescent="0.25">
      <c r="A753">
        <v>794</v>
      </c>
      <c r="B753">
        <v>9577</v>
      </c>
      <c r="C753">
        <v>7327</v>
      </c>
      <c r="D753">
        <f t="shared" si="44"/>
        <v>16904</v>
      </c>
      <c r="E753" t="s">
        <v>29</v>
      </c>
      <c r="F753">
        <v>24</v>
      </c>
      <c r="G753" t="str" cm="1">
        <f t="array" ref="G753">_xlfn.IFS(F753&lt;25,"18-24",F753&lt;35,"25-35",F753&lt;45,"35-44",F753&lt;55,"44-54",F753&gt;=55,"55+")</f>
        <v>18-24</v>
      </c>
      <c r="H753" t="s">
        <v>30</v>
      </c>
      <c r="I753">
        <v>0</v>
      </c>
      <c r="J753" t="str" cm="1">
        <f t="array" ref="J753">_xlfn.IFS(I753&lt;=0,"No Dependents",I753&lt;=1,"One",I753&lt;=2,"Two",I753&gt;=3,"Third")</f>
        <v>No Dependents</v>
      </c>
      <c r="K753">
        <v>674</v>
      </c>
      <c r="L753" t="str" cm="1">
        <f t="array" ref="L753">_xlfn.IFS(K753&lt;=580,"Poor",K753&lt;=670,"fair",K753&lt;=740,"Good",K753&lt;=800,"Very Good",K753&gt;=800,"Excellent")</f>
        <v>Good</v>
      </c>
      <c r="M753">
        <v>2</v>
      </c>
      <c r="N753" t="str">
        <f t="shared" si="45"/>
        <v>Yes</v>
      </c>
      <c r="O753">
        <v>0.19</v>
      </c>
      <c r="P753" t="str" cm="1">
        <f t="array" ref="P753">_xlfn.IFS(O753&lt;=0.3,"Low Risk",O753&lt;=0.4,"medium Risk",O753&lt;=0.5,"High Risk",O753&gt;0.5,"Very High Risk")</f>
        <v>Low Risk</v>
      </c>
      <c r="Q753">
        <v>3395</v>
      </c>
      <c r="R753">
        <v>14669</v>
      </c>
      <c r="S753" t="str">
        <f t="shared" si="46"/>
        <v>Yes</v>
      </c>
      <c r="T753">
        <v>23106</v>
      </c>
      <c r="U753" t="str" cm="1">
        <f t="array" ref="U753">_xlfn.IFS(T753&lt;5000,"Small",T753&lt;20000,"Medium",T753&lt;35000,"Large",T753&gt;35000,"Very Large")</f>
        <v>Large</v>
      </c>
      <c r="V753">
        <v>36</v>
      </c>
      <c r="W753">
        <f t="shared" si="47"/>
        <v>3</v>
      </c>
      <c r="X753" t="s">
        <v>50</v>
      </c>
      <c r="Y753" t="s">
        <v>38</v>
      </c>
      <c r="Z753" t="s">
        <v>39</v>
      </c>
      <c r="AA753" t="s">
        <v>40</v>
      </c>
      <c r="AB753" t="s">
        <v>48</v>
      </c>
      <c r="AC753" t="s">
        <v>44</v>
      </c>
    </row>
    <row r="754" spans="1:29" x14ac:dyDescent="0.25">
      <c r="A754">
        <v>795</v>
      </c>
      <c r="B754">
        <v>18984</v>
      </c>
      <c r="C754">
        <v>9738</v>
      </c>
      <c r="D754">
        <f t="shared" si="44"/>
        <v>28722</v>
      </c>
      <c r="E754" t="s">
        <v>29</v>
      </c>
      <c r="F754">
        <v>49</v>
      </c>
      <c r="G754" t="str" cm="1">
        <f t="array" ref="G754">_xlfn.IFS(F754&lt;25,"18-24",F754&lt;35,"25-35",F754&lt;45,"35-44",F754&lt;55,"44-54",F754&gt;=55,"55+")</f>
        <v>44-54</v>
      </c>
      <c r="H754" t="s">
        <v>30</v>
      </c>
      <c r="I754">
        <v>2</v>
      </c>
      <c r="J754" t="str" cm="1">
        <f t="array" ref="J754">_xlfn.IFS(I754&lt;=0,"No Dependents",I754&lt;=1,"One",I754&lt;=2,"Two",I754&gt;=3,"Third")</f>
        <v>Two</v>
      </c>
      <c r="K754">
        <v>700</v>
      </c>
      <c r="L754" t="str" cm="1">
        <f t="array" ref="L754">_xlfn.IFS(K754&lt;=580,"Poor",K754&lt;=670,"fair",K754&lt;=740,"Good",K754&lt;=800,"Very Good",K754&gt;=800,"Excellent")</f>
        <v>Good</v>
      </c>
      <c r="M754">
        <v>2</v>
      </c>
      <c r="N754" t="str">
        <f t="shared" si="45"/>
        <v>Yes</v>
      </c>
      <c r="O754">
        <v>0.23</v>
      </c>
      <c r="P754" t="str" cm="1">
        <f t="array" ref="P754">_xlfn.IFS(O754&lt;=0.3,"Low Risk",O754&lt;=0.4,"medium Risk",O754&lt;=0.5,"High Risk",O754&gt;0.5,"Very High Risk")</f>
        <v>Low Risk</v>
      </c>
      <c r="Q754">
        <v>1203</v>
      </c>
      <c r="R754">
        <v>10523</v>
      </c>
      <c r="S754" t="str">
        <f t="shared" si="46"/>
        <v>Yes</v>
      </c>
      <c r="T754">
        <v>18131</v>
      </c>
      <c r="U754" t="str" cm="1">
        <f t="array" ref="U754">_xlfn.IFS(T754&lt;5000,"Small",T754&lt;20000,"Medium",T754&lt;35000,"Large",T754&gt;35000,"Very Large")</f>
        <v>Medium</v>
      </c>
      <c r="V754">
        <v>48</v>
      </c>
      <c r="W754">
        <f t="shared" si="47"/>
        <v>4</v>
      </c>
      <c r="X754" t="s">
        <v>50</v>
      </c>
      <c r="Y754" t="s">
        <v>45</v>
      </c>
      <c r="Z754" t="s">
        <v>33</v>
      </c>
      <c r="AA754" t="s">
        <v>40</v>
      </c>
      <c r="AB754" t="s">
        <v>35</v>
      </c>
      <c r="AC754" t="s">
        <v>44</v>
      </c>
    </row>
    <row r="755" spans="1:29" x14ac:dyDescent="0.25">
      <c r="A755">
        <v>796</v>
      </c>
      <c r="B755">
        <v>16060</v>
      </c>
      <c r="C755">
        <v>8841</v>
      </c>
      <c r="D755">
        <f t="shared" si="44"/>
        <v>24901</v>
      </c>
      <c r="E755" t="s">
        <v>46</v>
      </c>
      <c r="F755">
        <v>39</v>
      </c>
      <c r="G755" t="str" cm="1">
        <f t="array" ref="G755">_xlfn.IFS(F755&lt;25,"18-24",F755&lt;35,"25-35",F755&lt;45,"35-44",F755&lt;55,"44-54",F755&gt;=55,"55+")</f>
        <v>35-44</v>
      </c>
      <c r="H755" t="s">
        <v>30</v>
      </c>
      <c r="I755">
        <v>3</v>
      </c>
      <c r="J755" t="str" cm="1">
        <f t="array" ref="J755">_xlfn.IFS(I755&lt;=0,"No Dependents",I755&lt;=1,"One",I755&lt;=2,"Two",I755&gt;=3,"Third")</f>
        <v>Third</v>
      </c>
      <c r="K755">
        <v>640</v>
      </c>
      <c r="L755" t="str" cm="1">
        <f t="array" ref="L755">_xlfn.IFS(K755&lt;=580,"Poor",K755&lt;=670,"fair",K755&lt;=740,"Good",K755&lt;=800,"Very Good",K755&gt;=800,"Excellent")</f>
        <v>fair</v>
      </c>
      <c r="M755">
        <v>4</v>
      </c>
      <c r="N755" t="str">
        <f t="shared" si="45"/>
        <v>Yes</v>
      </c>
      <c r="O755">
        <v>0.35</v>
      </c>
      <c r="P755" t="str" cm="1">
        <f t="array" ref="P755">_xlfn.IFS(O755&lt;=0.3,"Low Risk",O755&lt;=0.4,"medium Risk",O755&lt;=0.5,"High Risk",O755&gt;0.5,"Very High Risk")</f>
        <v>medium Risk</v>
      </c>
      <c r="Q755">
        <v>19194</v>
      </c>
      <c r="R755">
        <v>45530</v>
      </c>
      <c r="S755" t="str">
        <f t="shared" si="46"/>
        <v>Yes</v>
      </c>
      <c r="T755">
        <v>7553</v>
      </c>
      <c r="U755" t="str" cm="1">
        <f t="array" ref="U755">_xlfn.IFS(T755&lt;5000,"Small",T755&lt;20000,"Medium",T755&lt;35000,"Large",T755&gt;35000,"Very Large")</f>
        <v>Medium</v>
      </c>
      <c r="V755">
        <v>60</v>
      </c>
      <c r="W755">
        <f t="shared" si="47"/>
        <v>5</v>
      </c>
      <c r="X755" t="s">
        <v>42</v>
      </c>
      <c r="Y755" t="s">
        <v>32</v>
      </c>
      <c r="Z755" t="s">
        <v>39</v>
      </c>
      <c r="AA755" t="s">
        <v>40</v>
      </c>
      <c r="AB755" t="s">
        <v>35</v>
      </c>
      <c r="AC755" t="s">
        <v>36</v>
      </c>
    </row>
    <row r="756" spans="1:29" x14ac:dyDescent="0.25">
      <c r="A756">
        <v>797</v>
      </c>
      <c r="B756">
        <v>19449</v>
      </c>
      <c r="C756">
        <v>9160</v>
      </c>
      <c r="D756">
        <f t="shared" si="44"/>
        <v>28609</v>
      </c>
      <c r="E756" t="s">
        <v>46</v>
      </c>
      <c r="F756">
        <v>22</v>
      </c>
      <c r="G756" t="str" cm="1">
        <f t="array" ref="G756">_xlfn.IFS(F756&lt;25,"18-24",F756&lt;35,"25-35",F756&lt;45,"35-44",F756&lt;55,"44-54",F756&gt;=55,"55+")</f>
        <v>18-24</v>
      </c>
      <c r="H756" t="s">
        <v>30</v>
      </c>
      <c r="I756">
        <v>3</v>
      </c>
      <c r="J756" t="str" cm="1">
        <f t="array" ref="J756">_xlfn.IFS(I756&lt;=0,"No Dependents",I756&lt;=1,"One",I756&lt;=2,"Two",I756&gt;=3,"Third")</f>
        <v>Third</v>
      </c>
      <c r="K756">
        <v>787</v>
      </c>
      <c r="L756" t="str" cm="1">
        <f t="array" ref="L756">_xlfn.IFS(K756&lt;=580,"Poor",K756&lt;=670,"fair",K756&lt;=740,"Good",K756&lt;=800,"Very Good",K756&gt;=800,"Excellent")</f>
        <v>Very Good</v>
      </c>
      <c r="M756">
        <v>1</v>
      </c>
      <c r="N756" t="str">
        <f t="shared" si="45"/>
        <v>Yes</v>
      </c>
      <c r="O756">
        <v>0.28999999999999998</v>
      </c>
      <c r="P756" t="str" cm="1">
        <f t="array" ref="P756">_xlfn.IFS(O756&lt;=0.3,"Low Risk",O756&lt;=0.4,"medium Risk",O756&lt;=0.5,"High Risk",O756&gt;0.5,"Very High Risk")</f>
        <v>Low Risk</v>
      </c>
      <c r="Q756">
        <v>19476</v>
      </c>
      <c r="R756">
        <v>13769</v>
      </c>
      <c r="S756" t="str">
        <f t="shared" si="46"/>
        <v>Yes</v>
      </c>
      <c r="T756">
        <v>18881</v>
      </c>
      <c r="U756" t="str" cm="1">
        <f t="array" ref="U756">_xlfn.IFS(T756&lt;5000,"Small",T756&lt;20000,"Medium",T756&lt;35000,"Large",T756&gt;35000,"Very Large")</f>
        <v>Medium</v>
      </c>
      <c r="V756">
        <v>60</v>
      </c>
      <c r="W756">
        <f t="shared" si="47"/>
        <v>5</v>
      </c>
      <c r="X756" t="s">
        <v>47</v>
      </c>
      <c r="Y756" t="s">
        <v>32</v>
      </c>
      <c r="Z756" t="s">
        <v>33</v>
      </c>
      <c r="AA756" t="s">
        <v>34</v>
      </c>
      <c r="AB756" t="s">
        <v>35</v>
      </c>
      <c r="AC756" t="s">
        <v>44</v>
      </c>
    </row>
    <row r="757" spans="1:29" x14ac:dyDescent="0.25">
      <c r="A757">
        <v>798</v>
      </c>
      <c r="B757">
        <v>0</v>
      </c>
      <c r="C757">
        <v>1100</v>
      </c>
      <c r="D757">
        <f t="shared" si="44"/>
        <v>1100</v>
      </c>
      <c r="E757" t="s">
        <v>46</v>
      </c>
      <c r="F757">
        <v>30</v>
      </c>
      <c r="G757" t="str" cm="1">
        <f t="array" ref="G757">_xlfn.IFS(F757&lt;25,"18-24",F757&lt;35,"25-35",F757&lt;45,"35-44",F757&lt;55,"44-54",F757&gt;=55,"55+")</f>
        <v>25-35</v>
      </c>
      <c r="H757" t="s">
        <v>30</v>
      </c>
      <c r="I757">
        <v>2</v>
      </c>
      <c r="J757" t="str" cm="1">
        <f t="array" ref="J757">_xlfn.IFS(I757&lt;=0,"No Dependents",I757&lt;=1,"One",I757&lt;=2,"Two",I757&gt;=3,"Third")</f>
        <v>Two</v>
      </c>
      <c r="K757">
        <v>619</v>
      </c>
      <c r="L757" t="str" cm="1">
        <f t="array" ref="L757">_xlfn.IFS(K757&lt;=580,"Poor",K757&lt;=670,"fair",K757&lt;=740,"Good",K757&lt;=800,"Very Good",K757&gt;=800,"Excellent")</f>
        <v>fair</v>
      </c>
      <c r="M757">
        <v>0</v>
      </c>
      <c r="N757" t="str">
        <f t="shared" si="45"/>
        <v>No</v>
      </c>
      <c r="O757">
        <v>0.5</v>
      </c>
      <c r="P757" t="str" cm="1">
        <f t="array" ref="P757">_xlfn.IFS(O757&lt;=0.3,"Low Risk",O757&lt;=0.4,"medium Risk",O757&lt;=0.5,"High Risk",O757&gt;0.5,"Very High Risk")</f>
        <v>High Risk</v>
      </c>
      <c r="Q757">
        <v>3044</v>
      </c>
      <c r="R757">
        <v>46499</v>
      </c>
      <c r="S757" t="str">
        <f t="shared" si="46"/>
        <v>Yes</v>
      </c>
      <c r="T757">
        <v>2379</v>
      </c>
      <c r="U757" t="str" cm="1">
        <f t="array" ref="U757">_xlfn.IFS(T757&lt;5000,"Small",T757&lt;20000,"Medium",T757&lt;35000,"Large",T757&gt;35000,"Very Large")</f>
        <v>Small</v>
      </c>
      <c r="V757">
        <v>60</v>
      </c>
      <c r="W757">
        <f t="shared" si="47"/>
        <v>5</v>
      </c>
      <c r="X757" t="s">
        <v>50</v>
      </c>
      <c r="Y757" t="s">
        <v>32</v>
      </c>
      <c r="Z757" t="s">
        <v>39</v>
      </c>
      <c r="AA757" t="s">
        <v>40</v>
      </c>
      <c r="AB757" t="s">
        <v>42</v>
      </c>
      <c r="AC757" t="s">
        <v>36</v>
      </c>
    </row>
    <row r="758" spans="1:29" x14ac:dyDescent="0.25">
      <c r="A758">
        <v>799</v>
      </c>
      <c r="B758">
        <v>11510</v>
      </c>
      <c r="C758">
        <v>6652</v>
      </c>
      <c r="D758">
        <f t="shared" si="44"/>
        <v>18162</v>
      </c>
      <c r="E758" t="s">
        <v>46</v>
      </c>
      <c r="F758">
        <v>45</v>
      </c>
      <c r="G758" t="str" cm="1">
        <f t="array" ref="G758">_xlfn.IFS(F758&lt;25,"18-24",F758&lt;35,"25-35",F758&lt;45,"35-44",F758&lt;55,"44-54",F758&gt;=55,"55+")</f>
        <v>44-54</v>
      </c>
      <c r="H758" t="s">
        <v>30</v>
      </c>
      <c r="I758">
        <v>1</v>
      </c>
      <c r="J758" t="str" cm="1">
        <f t="array" ref="J758">_xlfn.IFS(I758&lt;=0,"No Dependents",I758&lt;=1,"One",I758&lt;=2,"Two",I758&gt;=3,"Third")</f>
        <v>One</v>
      </c>
      <c r="K758">
        <v>715</v>
      </c>
      <c r="L758" t="str" cm="1">
        <f t="array" ref="L758">_xlfn.IFS(K758&lt;=580,"Poor",K758&lt;=670,"fair",K758&lt;=740,"Good",K758&lt;=800,"Very Good",K758&gt;=800,"Excellent")</f>
        <v>Good</v>
      </c>
      <c r="M758">
        <v>2</v>
      </c>
      <c r="N758" t="str">
        <f t="shared" si="45"/>
        <v>Yes</v>
      </c>
      <c r="O758">
        <v>0.33</v>
      </c>
      <c r="P758" t="str" cm="1">
        <f t="array" ref="P758">_xlfn.IFS(O758&lt;=0.3,"Low Risk",O758&lt;=0.4,"medium Risk",O758&lt;=0.5,"High Risk",O758&gt;0.5,"Very High Risk")</f>
        <v>medium Risk</v>
      </c>
      <c r="Q758">
        <v>7272</v>
      </c>
      <c r="R758">
        <v>44645</v>
      </c>
      <c r="S758" t="str">
        <f t="shared" si="46"/>
        <v>Yes</v>
      </c>
      <c r="T758">
        <v>26255</v>
      </c>
      <c r="U758" t="str" cm="1">
        <f t="array" ref="U758">_xlfn.IFS(T758&lt;5000,"Small",T758&lt;20000,"Medium",T758&lt;35000,"Large",T758&gt;35000,"Very Large")</f>
        <v>Large</v>
      </c>
      <c r="V758">
        <v>36</v>
      </c>
      <c r="W758">
        <f t="shared" si="47"/>
        <v>3</v>
      </c>
      <c r="X758" t="s">
        <v>31</v>
      </c>
      <c r="Y758" t="s">
        <v>45</v>
      </c>
      <c r="Z758" t="s">
        <v>39</v>
      </c>
      <c r="AA758" t="s">
        <v>40</v>
      </c>
      <c r="AB758" t="s">
        <v>35</v>
      </c>
      <c r="AC758" t="s">
        <v>44</v>
      </c>
    </row>
    <row r="759" spans="1:29" x14ac:dyDescent="0.25">
      <c r="A759">
        <v>800</v>
      </c>
      <c r="B759">
        <v>8943</v>
      </c>
      <c r="C759">
        <v>8632</v>
      </c>
      <c r="D759">
        <f t="shared" si="44"/>
        <v>17575</v>
      </c>
      <c r="E759" t="s">
        <v>29</v>
      </c>
      <c r="F759">
        <v>40</v>
      </c>
      <c r="G759" t="str" cm="1">
        <f t="array" ref="G759">_xlfn.IFS(F759&lt;25,"18-24",F759&lt;35,"25-35",F759&lt;45,"35-44",F759&lt;55,"44-54",F759&gt;=55,"55+")</f>
        <v>35-44</v>
      </c>
      <c r="H759" t="s">
        <v>30</v>
      </c>
      <c r="I759">
        <v>3</v>
      </c>
      <c r="J759" t="str" cm="1">
        <f t="array" ref="J759">_xlfn.IFS(I759&lt;=0,"No Dependents",I759&lt;=1,"One",I759&lt;=2,"Two",I759&gt;=3,"Third")</f>
        <v>Third</v>
      </c>
      <c r="K759">
        <v>679</v>
      </c>
      <c r="L759" t="str" cm="1">
        <f t="array" ref="L759">_xlfn.IFS(K759&lt;=580,"Poor",K759&lt;=670,"fair",K759&lt;=740,"Good",K759&lt;=800,"Very Good",K759&gt;=800,"Excellent")</f>
        <v>Good</v>
      </c>
      <c r="M759">
        <v>1</v>
      </c>
      <c r="N759" t="str">
        <f t="shared" si="45"/>
        <v>Yes</v>
      </c>
      <c r="O759">
        <v>0.19</v>
      </c>
      <c r="P759" t="str" cm="1">
        <f t="array" ref="P759">_xlfn.IFS(O759&lt;=0.3,"Low Risk",O759&lt;=0.4,"medium Risk",O759&lt;=0.5,"High Risk",O759&gt;0.5,"Very High Risk")</f>
        <v>Low Risk</v>
      </c>
      <c r="Q759">
        <v>3514</v>
      </c>
      <c r="R759">
        <v>25207</v>
      </c>
      <c r="S759" t="str">
        <f t="shared" si="46"/>
        <v>Yes</v>
      </c>
      <c r="T759">
        <v>4770</v>
      </c>
      <c r="U759" t="str" cm="1">
        <f t="array" ref="U759">_xlfn.IFS(T759&lt;5000,"Small",T759&lt;20000,"Medium",T759&lt;35000,"Large",T759&gt;35000,"Very Large")</f>
        <v>Small</v>
      </c>
      <c r="V759">
        <v>36</v>
      </c>
      <c r="W759">
        <f t="shared" si="47"/>
        <v>3</v>
      </c>
      <c r="X759" t="s">
        <v>37</v>
      </c>
      <c r="Y759" t="s">
        <v>32</v>
      </c>
      <c r="Z759" t="s">
        <v>33</v>
      </c>
      <c r="AA759" t="s">
        <v>34</v>
      </c>
      <c r="AB759" t="s">
        <v>43</v>
      </c>
      <c r="AC759" t="s">
        <v>44</v>
      </c>
    </row>
    <row r="760" spans="1:29" x14ac:dyDescent="0.25">
      <c r="A760">
        <v>801</v>
      </c>
      <c r="B760">
        <v>13954</v>
      </c>
      <c r="C760">
        <v>7421</v>
      </c>
      <c r="D760">
        <f t="shared" si="44"/>
        <v>21375</v>
      </c>
      <c r="E760" t="s">
        <v>29</v>
      </c>
      <c r="F760">
        <v>39</v>
      </c>
      <c r="G760" t="str" cm="1">
        <f t="array" ref="G760">_xlfn.IFS(F760&lt;25,"18-24",F760&lt;35,"25-35",F760&lt;45,"35-44",F760&lt;55,"44-54",F760&gt;=55,"55+")</f>
        <v>35-44</v>
      </c>
      <c r="H760" t="s">
        <v>41</v>
      </c>
      <c r="I760">
        <v>2</v>
      </c>
      <c r="J760" t="str" cm="1">
        <f t="array" ref="J760">_xlfn.IFS(I760&lt;=0,"No Dependents",I760&lt;=1,"One",I760&lt;=2,"Two",I760&gt;=3,"Third")</f>
        <v>Two</v>
      </c>
      <c r="K760">
        <v>763</v>
      </c>
      <c r="L760" t="str" cm="1">
        <f t="array" ref="L760">_xlfn.IFS(K760&lt;=580,"Poor",K760&lt;=670,"fair",K760&lt;=740,"Good",K760&lt;=800,"Very Good",K760&gt;=800,"Excellent")</f>
        <v>Very Good</v>
      </c>
      <c r="M760">
        <v>0</v>
      </c>
      <c r="N760" t="str">
        <f t="shared" si="45"/>
        <v>No</v>
      </c>
      <c r="O760">
        <v>0.23</v>
      </c>
      <c r="P760" t="str" cm="1">
        <f t="array" ref="P760">_xlfn.IFS(O760&lt;=0.3,"Low Risk",O760&lt;=0.4,"medium Risk",O760&lt;=0.5,"High Risk",O760&gt;0.5,"Very High Risk")</f>
        <v>Low Risk</v>
      </c>
      <c r="Q760">
        <v>9990</v>
      </c>
      <c r="R760">
        <v>35224</v>
      </c>
      <c r="S760" t="str">
        <f t="shared" si="46"/>
        <v>Yes</v>
      </c>
      <c r="T760">
        <v>20726</v>
      </c>
      <c r="U760" t="str" cm="1">
        <f t="array" ref="U760">_xlfn.IFS(T760&lt;5000,"Small",T760&lt;20000,"Medium",T760&lt;35000,"Large",T760&gt;35000,"Very Large")</f>
        <v>Large</v>
      </c>
      <c r="V760">
        <v>84</v>
      </c>
      <c r="W760">
        <f t="shared" si="47"/>
        <v>7</v>
      </c>
      <c r="X760" t="s">
        <v>37</v>
      </c>
      <c r="Y760" t="s">
        <v>45</v>
      </c>
      <c r="Z760" t="s">
        <v>39</v>
      </c>
      <c r="AA760" t="s">
        <v>40</v>
      </c>
      <c r="AB760" t="s">
        <v>42</v>
      </c>
      <c r="AC760" t="s">
        <v>36</v>
      </c>
    </row>
    <row r="761" spans="1:29" x14ac:dyDescent="0.25">
      <c r="A761">
        <v>802</v>
      </c>
      <c r="B761">
        <v>9804</v>
      </c>
      <c r="C761">
        <v>5016</v>
      </c>
      <c r="D761">
        <f t="shared" si="44"/>
        <v>14820</v>
      </c>
      <c r="E761" t="s">
        <v>49</v>
      </c>
      <c r="F761">
        <v>40</v>
      </c>
      <c r="G761" t="str" cm="1">
        <f t="array" ref="G761">_xlfn.IFS(F761&lt;25,"18-24",F761&lt;35,"25-35",F761&lt;45,"35-44",F761&lt;55,"44-54",F761&gt;=55,"55+")</f>
        <v>35-44</v>
      </c>
      <c r="H761" t="s">
        <v>41</v>
      </c>
      <c r="I761">
        <v>0</v>
      </c>
      <c r="J761" t="str" cm="1">
        <f t="array" ref="J761">_xlfn.IFS(I761&lt;=0,"No Dependents",I761&lt;=1,"One",I761&lt;=2,"Two",I761&gt;=3,"Third")</f>
        <v>No Dependents</v>
      </c>
      <c r="K761">
        <v>633</v>
      </c>
      <c r="L761" t="str" cm="1">
        <f t="array" ref="L761">_xlfn.IFS(K761&lt;=580,"Poor",K761&lt;=670,"fair",K761&lt;=740,"Good",K761&lt;=800,"Very Good",K761&gt;=800,"Excellent")</f>
        <v>fair</v>
      </c>
      <c r="M761">
        <v>2</v>
      </c>
      <c r="N761" t="str">
        <f t="shared" si="45"/>
        <v>Yes</v>
      </c>
      <c r="O761">
        <v>0.35</v>
      </c>
      <c r="P761" t="str" cm="1">
        <f t="array" ref="P761">_xlfn.IFS(O761&lt;=0.3,"Low Risk",O761&lt;=0.4,"medium Risk",O761&lt;=0.5,"High Risk",O761&gt;0.5,"Very High Risk")</f>
        <v>medium Risk</v>
      </c>
      <c r="Q761">
        <v>6192</v>
      </c>
      <c r="R761">
        <v>25557</v>
      </c>
      <c r="S761" t="str">
        <f t="shared" si="46"/>
        <v>Yes</v>
      </c>
      <c r="T761">
        <v>10088</v>
      </c>
      <c r="U761" t="str" cm="1">
        <f t="array" ref="U761">_xlfn.IFS(T761&lt;5000,"Small",T761&lt;20000,"Medium",T761&lt;35000,"Large",T761&gt;35000,"Very Large")</f>
        <v>Medium</v>
      </c>
      <c r="V761">
        <v>36</v>
      </c>
      <c r="W761">
        <f t="shared" si="47"/>
        <v>3</v>
      </c>
      <c r="X761" t="s">
        <v>37</v>
      </c>
      <c r="Y761" t="s">
        <v>45</v>
      </c>
      <c r="Z761" t="s">
        <v>39</v>
      </c>
      <c r="AA761" t="s">
        <v>40</v>
      </c>
      <c r="AB761" t="s">
        <v>43</v>
      </c>
      <c r="AC761" t="s">
        <v>36</v>
      </c>
    </row>
    <row r="762" spans="1:29" x14ac:dyDescent="0.25">
      <c r="A762">
        <v>803</v>
      </c>
      <c r="B762">
        <v>8565</v>
      </c>
      <c r="C762">
        <v>769</v>
      </c>
      <c r="D762">
        <f t="shared" si="44"/>
        <v>9334</v>
      </c>
      <c r="E762" t="s">
        <v>46</v>
      </c>
      <c r="F762">
        <v>44</v>
      </c>
      <c r="G762" t="str" cm="1">
        <f t="array" ref="G762">_xlfn.IFS(F762&lt;25,"18-24",F762&lt;35,"25-35",F762&lt;45,"35-44",F762&lt;55,"44-54",F762&gt;=55,"55+")</f>
        <v>35-44</v>
      </c>
      <c r="H762" t="s">
        <v>41</v>
      </c>
      <c r="I762">
        <v>2</v>
      </c>
      <c r="J762" t="str" cm="1">
        <f t="array" ref="J762">_xlfn.IFS(I762&lt;=0,"No Dependents",I762&lt;=1,"One",I762&lt;=2,"Two",I762&gt;=3,"Third")</f>
        <v>Two</v>
      </c>
      <c r="K762">
        <v>638</v>
      </c>
      <c r="L762" t="str" cm="1">
        <f t="array" ref="L762">_xlfn.IFS(K762&lt;=580,"Poor",K762&lt;=670,"fair",K762&lt;=740,"Good",K762&lt;=800,"Very Good",K762&gt;=800,"Excellent")</f>
        <v>fair</v>
      </c>
      <c r="M762">
        <v>1</v>
      </c>
      <c r="N762" t="str">
        <f t="shared" si="45"/>
        <v>Yes</v>
      </c>
      <c r="O762">
        <v>0.17</v>
      </c>
      <c r="P762" t="str" cm="1">
        <f t="array" ref="P762">_xlfn.IFS(O762&lt;=0.3,"Low Risk",O762&lt;=0.4,"medium Risk",O762&lt;=0.5,"High Risk",O762&gt;0.5,"Very High Risk")</f>
        <v>Low Risk</v>
      </c>
      <c r="Q762">
        <v>10767</v>
      </c>
      <c r="R762">
        <v>38191</v>
      </c>
      <c r="S762" t="str">
        <f t="shared" si="46"/>
        <v>Yes</v>
      </c>
      <c r="T762">
        <v>35314</v>
      </c>
      <c r="U762" t="str" cm="1">
        <f t="array" ref="U762">_xlfn.IFS(T762&lt;5000,"Small",T762&lt;20000,"Medium",T762&lt;35000,"Large",T762&gt;35000,"Very Large")</f>
        <v>Very Large</v>
      </c>
      <c r="V762">
        <v>24</v>
      </c>
      <c r="W762">
        <f t="shared" si="47"/>
        <v>2</v>
      </c>
      <c r="X762" t="s">
        <v>42</v>
      </c>
      <c r="Y762" t="s">
        <v>32</v>
      </c>
      <c r="Z762" t="s">
        <v>33</v>
      </c>
      <c r="AA762" t="s">
        <v>40</v>
      </c>
      <c r="AB762" t="s">
        <v>43</v>
      </c>
      <c r="AC762" t="s">
        <v>36</v>
      </c>
    </row>
    <row r="763" spans="1:29" x14ac:dyDescent="0.25">
      <c r="A763">
        <v>804</v>
      </c>
      <c r="B763">
        <v>7984</v>
      </c>
      <c r="C763">
        <v>1343</v>
      </c>
      <c r="D763">
        <f t="shared" si="44"/>
        <v>9327</v>
      </c>
      <c r="E763" t="s">
        <v>29</v>
      </c>
      <c r="F763">
        <v>31</v>
      </c>
      <c r="G763" t="str" cm="1">
        <f t="array" ref="G763">_xlfn.IFS(F763&lt;25,"18-24",F763&lt;35,"25-35",F763&lt;45,"35-44",F763&lt;55,"44-54",F763&gt;=55,"55+")</f>
        <v>25-35</v>
      </c>
      <c r="H763" t="s">
        <v>30</v>
      </c>
      <c r="I763">
        <v>0</v>
      </c>
      <c r="J763" t="str" cm="1">
        <f t="array" ref="J763">_xlfn.IFS(I763&lt;=0,"No Dependents",I763&lt;=1,"One",I763&lt;=2,"Two",I763&gt;=3,"Third")</f>
        <v>No Dependents</v>
      </c>
      <c r="K763">
        <v>628</v>
      </c>
      <c r="L763" t="str" cm="1">
        <f t="array" ref="L763">_xlfn.IFS(K763&lt;=580,"Poor",K763&lt;=670,"fair",K763&lt;=740,"Good",K763&lt;=800,"Very Good",K763&gt;=800,"Excellent")</f>
        <v>fair</v>
      </c>
      <c r="M763">
        <v>0</v>
      </c>
      <c r="N763" t="str">
        <f t="shared" si="45"/>
        <v>No</v>
      </c>
      <c r="O763">
        <v>0.41</v>
      </c>
      <c r="P763" t="str" cm="1">
        <f t="array" ref="P763">_xlfn.IFS(O763&lt;=0.3,"Low Risk",O763&lt;=0.4,"medium Risk",O763&lt;=0.5,"High Risk",O763&gt;0.5,"Very High Risk")</f>
        <v>High Risk</v>
      </c>
      <c r="Q763">
        <v>16528</v>
      </c>
      <c r="R763">
        <v>14246</v>
      </c>
      <c r="S763" t="str">
        <f t="shared" si="46"/>
        <v>Yes</v>
      </c>
      <c r="T763">
        <v>39976</v>
      </c>
      <c r="U763" t="str" cm="1">
        <f t="array" ref="U763">_xlfn.IFS(T763&lt;5000,"Small",T763&lt;20000,"Medium",T763&lt;35000,"Large",T763&gt;35000,"Very Large")</f>
        <v>Very Large</v>
      </c>
      <c r="V763">
        <v>36</v>
      </c>
      <c r="W763">
        <f t="shared" si="47"/>
        <v>3</v>
      </c>
      <c r="X763" t="s">
        <v>37</v>
      </c>
      <c r="Y763" t="s">
        <v>32</v>
      </c>
      <c r="Z763" t="s">
        <v>33</v>
      </c>
      <c r="AA763" t="s">
        <v>34</v>
      </c>
      <c r="AB763" t="s">
        <v>35</v>
      </c>
      <c r="AC763" t="s">
        <v>36</v>
      </c>
    </row>
    <row r="764" spans="1:29" x14ac:dyDescent="0.25">
      <c r="A764">
        <v>805</v>
      </c>
      <c r="B764">
        <v>6670</v>
      </c>
      <c r="C764">
        <v>4358</v>
      </c>
      <c r="D764">
        <f t="shared" si="44"/>
        <v>11028</v>
      </c>
      <c r="E764" t="s">
        <v>49</v>
      </c>
      <c r="F764">
        <v>54</v>
      </c>
      <c r="G764" t="str" cm="1">
        <f t="array" ref="G764">_xlfn.IFS(F764&lt;25,"18-24",F764&lt;35,"25-35",F764&lt;45,"35-44",F764&lt;55,"44-54",F764&gt;=55,"55+")</f>
        <v>44-54</v>
      </c>
      <c r="H764" t="s">
        <v>30</v>
      </c>
      <c r="I764">
        <v>3</v>
      </c>
      <c r="J764" t="str" cm="1">
        <f t="array" ref="J764">_xlfn.IFS(I764&lt;=0,"No Dependents",I764&lt;=1,"One",I764&lt;=2,"Two",I764&gt;=3,"Third")</f>
        <v>Third</v>
      </c>
      <c r="K764">
        <v>662</v>
      </c>
      <c r="L764" t="str" cm="1">
        <f t="array" ref="L764">_xlfn.IFS(K764&lt;=580,"Poor",K764&lt;=670,"fair",K764&lt;=740,"Good",K764&lt;=800,"Very Good",K764&gt;=800,"Excellent")</f>
        <v>fair</v>
      </c>
      <c r="M764">
        <v>4</v>
      </c>
      <c r="N764" t="str">
        <f t="shared" si="45"/>
        <v>Yes</v>
      </c>
      <c r="O764">
        <v>0.38</v>
      </c>
      <c r="P764" t="str" cm="1">
        <f t="array" ref="P764">_xlfn.IFS(O764&lt;=0.3,"Low Risk",O764&lt;=0.4,"medium Risk",O764&lt;=0.5,"High Risk",O764&gt;0.5,"Very High Risk")</f>
        <v>medium Risk</v>
      </c>
      <c r="Q764">
        <v>7507</v>
      </c>
      <c r="R764">
        <v>12846</v>
      </c>
      <c r="S764" t="str">
        <f t="shared" si="46"/>
        <v>Yes</v>
      </c>
      <c r="T764">
        <v>17350</v>
      </c>
      <c r="U764" t="str" cm="1">
        <f t="array" ref="U764">_xlfn.IFS(T764&lt;5000,"Small",T764&lt;20000,"Medium",T764&lt;35000,"Large",T764&gt;35000,"Very Large")</f>
        <v>Medium</v>
      </c>
      <c r="V764">
        <v>36</v>
      </c>
      <c r="W764">
        <f t="shared" si="47"/>
        <v>3</v>
      </c>
      <c r="X764" t="s">
        <v>37</v>
      </c>
      <c r="Y764" t="s">
        <v>32</v>
      </c>
      <c r="Z764" t="s">
        <v>39</v>
      </c>
      <c r="AA764" t="s">
        <v>34</v>
      </c>
      <c r="AB764" t="s">
        <v>35</v>
      </c>
      <c r="AC764" t="s">
        <v>44</v>
      </c>
    </row>
    <row r="765" spans="1:29" x14ac:dyDescent="0.25">
      <c r="A765">
        <v>806</v>
      </c>
      <c r="B765">
        <v>11184</v>
      </c>
      <c r="C765">
        <v>9769</v>
      </c>
      <c r="D765">
        <f t="shared" si="44"/>
        <v>20953</v>
      </c>
      <c r="E765" t="s">
        <v>29</v>
      </c>
      <c r="F765">
        <v>48</v>
      </c>
      <c r="G765" t="str" cm="1">
        <f t="array" ref="G765">_xlfn.IFS(F765&lt;25,"18-24",F765&lt;35,"25-35",F765&lt;45,"35-44",F765&lt;55,"44-54",F765&gt;=55,"55+")</f>
        <v>44-54</v>
      </c>
      <c r="H765" t="s">
        <v>30</v>
      </c>
      <c r="I765">
        <v>2</v>
      </c>
      <c r="J765" t="str" cm="1">
        <f t="array" ref="J765">_xlfn.IFS(I765&lt;=0,"No Dependents",I765&lt;=1,"One",I765&lt;=2,"Two",I765&gt;=3,"Third")</f>
        <v>Two</v>
      </c>
      <c r="K765">
        <v>550</v>
      </c>
      <c r="L765" t="str" cm="1">
        <f t="array" ref="L765">_xlfn.IFS(K765&lt;=580,"Poor",K765&lt;=670,"fair",K765&lt;=740,"Good",K765&lt;=800,"Very Good",K765&gt;=800,"Excellent")</f>
        <v>Poor</v>
      </c>
      <c r="M765">
        <v>1</v>
      </c>
      <c r="N765" t="str">
        <f t="shared" si="45"/>
        <v>Yes</v>
      </c>
      <c r="O765">
        <v>0.46</v>
      </c>
      <c r="P765" t="str" cm="1">
        <f t="array" ref="P765">_xlfn.IFS(O765&lt;=0.3,"Low Risk",O765&lt;=0.4,"medium Risk",O765&lt;=0.5,"High Risk",O765&gt;0.5,"Very High Risk")</f>
        <v>High Risk</v>
      </c>
      <c r="Q765">
        <v>4857</v>
      </c>
      <c r="R765">
        <v>37085</v>
      </c>
      <c r="S765" t="str">
        <f t="shared" si="46"/>
        <v>Yes</v>
      </c>
      <c r="T765">
        <v>35063</v>
      </c>
      <c r="U765" t="str" cm="1">
        <f t="array" ref="U765">_xlfn.IFS(T765&lt;5000,"Small",T765&lt;20000,"Medium",T765&lt;35000,"Large",T765&gt;35000,"Very Large")</f>
        <v>Very Large</v>
      </c>
      <c r="V765">
        <v>36</v>
      </c>
      <c r="W765">
        <f t="shared" si="47"/>
        <v>3</v>
      </c>
      <c r="X765" t="s">
        <v>31</v>
      </c>
      <c r="Y765" t="s">
        <v>45</v>
      </c>
      <c r="Z765" t="s">
        <v>39</v>
      </c>
      <c r="AA765" t="s">
        <v>40</v>
      </c>
      <c r="AB765" t="s">
        <v>43</v>
      </c>
      <c r="AC765" t="s">
        <v>36</v>
      </c>
    </row>
    <row r="766" spans="1:29" x14ac:dyDescent="0.25">
      <c r="A766">
        <v>807</v>
      </c>
      <c r="B766">
        <v>4192</v>
      </c>
      <c r="C766">
        <v>6780</v>
      </c>
      <c r="D766">
        <f t="shared" si="44"/>
        <v>10972</v>
      </c>
      <c r="E766" t="s">
        <v>29</v>
      </c>
      <c r="F766">
        <v>25</v>
      </c>
      <c r="G766" t="str" cm="1">
        <f t="array" ref="G766">_xlfn.IFS(F766&lt;25,"18-24",F766&lt;35,"25-35",F766&lt;45,"35-44",F766&lt;55,"44-54",F766&gt;=55,"55+")</f>
        <v>25-35</v>
      </c>
      <c r="H766" t="s">
        <v>30</v>
      </c>
      <c r="I766">
        <v>2</v>
      </c>
      <c r="J766" t="str" cm="1">
        <f t="array" ref="J766">_xlfn.IFS(I766&lt;=0,"No Dependents",I766&lt;=1,"One",I766&lt;=2,"Two",I766&gt;=3,"Third")</f>
        <v>Two</v>
      </c>
      <c r="K766">
        <v>621</v>
      </c>
      <c r="L766" t="str" cm="1">
        <f t="array" ref="L766">_xlfn.IFS(K766&lt;=580,"Poor",K766&lt;=670,"fair",K766&lt;=740,"Good",K766&lt;=800,"Very Good",K766&gt;=800,"Excellent")</f>
        <v>fair</v>
      </c>
      <c r="M766">
        <v>0</v>
      </c>
      <c r="N766" t="str">
        <f t="shared" si="45"/>
        <v>No</v>
      </c>
      <c r="O766">
        <v>0.56999999999999995</v>
      </c>
      <c r="P766" t="str" cm="1">
        <f t="array" ref="P766">_xlfn.IFS(O766&lt;=0.3,"Low Risk",O766&lt;=0.4,"medium Risk",O766&lt;=0.5,"High Risk",O766&gt;0.5,"Very High Risk")</f>
        <v>Very High Risk</v>
      </c>
      <c r="Q766">
        <v>12118</v>
      </c>
      <c r="R766">
        <v>45403</v>
      </c>
      <c r="S766" t="str">
        <f t="shared" si="46"/>
        <v>Yes</v>
      </c>
      <c r="T766">
        <v>16861</v>
      </c>
      <c r="U766" t="str" cm="1">
        <f t="array" ref="U766">_xlfn.IFS(T766&lt;5000,"Small",T766&lt;20000,"Medium",T766&lt;35000,"Large",T766&gt;35000,"Very Large")</f>
        <v>Medium</v>
      </c>
      <c r="V766">
        <v>48</v>
      </c>
      <c r="W766">
        <f t="shared" si="47"/>
        <v>4</v>
      </c>
      <c r="X766" t="s">
        <v>50</v>
      </c>
      <c r="Y766" t="s">
        <v>32</v>
      </c>
      <c r="Z766" t="s">
        <v>39</v>
      </c>
      <c r="AA766" t="s">
        <v>34</v>
      </c>
      <c r="AB766" t="s">
        <v>35</v>
      </c>
      <c r="AC766" t="s">
        <v>36</v>
      </c>
    </row>
    <row r="767" spans="1:29" x14ac:dyDescent="0.25">
      <c r="A767">
        <v>808</v>
      </c>
      <c r="B767">
        <v>0</v>
      </c>
      <c r="C767">
        <v>6602</v>
      </c>
      <c r="D767">
        <f t="shared" si="44"/>
        <v>6602</v>
      </c>
      <c r="E767" t="s">
        <v>29</v>
      </c>
      <c r="F767">
        <v>25</v>
      </c>
      <c r="G767" t="str" cm="1">
        <f t="array" ref="G767">_xlfn.IFS(F767&lt;25,"18-24",F767&lt;35,"25-35",F767&lt;45,"35-44",F767&lt;55,"44-54",F767&gt;=55,"55+")</f>
        <v>25-35</v>
      </c>
      <c r="H767" t="s">
        <v>30</v>
      </c>
      <c r="I767">
        <v>0</v>
      </c>
      <c r="J767" t="str" cm="1">
        <f t="array" ref="J767">_xlfn.IFS(I767&lt;=0,"No Dependents",I767&lt;=1,"One",I767&lt;=2,"Two",I767&gt;=3,"Third")</f>
        <v>No Dependents</v>
      </c>
      <c r="K767">
        <v>714</v>
      </c>
      <c r="L767" t="str" cm="1">
        <f t="array" ref="L767">_xlfn.IFS(K767&lt;=580,"Poor",K767&lt;=670,"fair",K767&lt;=740,"Good",K767&lt;=800,"Very Good",K767&gt;=800,"Excellent")</f>
        <v>Good</v>
      </c>
      <c r="M767">
        <v>0</v>
      </c>
      <c r="N767" t="str">
        <f t="shared" si="45"/>
        <v>No</v>
      </c>
      <c r="O767">
        <v>0.56000000000000005</v>
      </c>
      <c r="P767" t="str" cm="1">
        <f t="array" ref="P767">_xlfn.IFS(O767&lt;=0.3,"Low Risk",O767&lt;=0.4,"medium Risk",O767&lt;=0.5,"High Risk",O767&gt;0.5,"Very High Risk")</f>
        <v>Very High Risk</v>
      </c>
      <c r="Q767">
        <v>17761</v>
      </c>
      <c r="R767">
        <v>13470</v>
      </c>
      <c r="S767" t="str">
        <f t="shared" si="46"/>
        <v>Yes</v>
      </c>
      <c r="T767">
        <v>14973</v>
      </c>
      <c r="U767" t="str" cm="1">
        <f t="array" ref="U767">_xlfn.IFS(T767&lt;5000,"Small",T767&lt;20000,"Medium",T767&lt;35000,"Large",T767&gt;35000,"Very Large")</f>
        <v>Medium</v>
      </c>
      <c r="V767">
        <v>36</v>
      </c>
      <c r="W767">
        <f t="shared" si="47"/>
        <v>3</v>
      </c>
      <c r="X767" t="s">
        <v>31</v>
      </c>
      <c r="Y767" t="s">
        <v>32</v>
      </c>
      <c r="Z767" t="s">
        <v>39</v>
      </c>
      <c r="AA767" t="s">
        <v>34</v>
      </c>
      <c r="AB767" t="s">
        <v>35</v>
      </c>
      <c r="AC767" t="s">
        <v>36</v>
      </c>
    </row>
    <row r="768" spans="1:29" x14ac:dyDescent="0.25">
      <c r="A768">
        <v>809</v>
      </c>
      <c r="B768">
        <v>13246</v>
      </c>
      <c r="C768">
        <v>2349</v>
      </c>
      <c r="D768">
        <f t="shared" si="44"/>
        <v>15595</v>
      </c>
      <c r="E768" t="s">
        <v>49</v>
      </c>
      <c r="F768">
        <v>41</v>
      </c>
      <c r="G768" t="str" cm="1">
        <f t="array" ref="G768">_xlfn.IFS(F768&lt;25,"18-24",F768&lt;35,"25-35",F768&lt;45,"35-44",F768&lt;55,"44-54",F768&gt;=55,"55+")</f>
        <v>35-44</v>
      </c>
      <c r="H768" t="s">
        <v>41</v>
      </c>
      <c r="I768">
        <v>2</v>
      </c>
      <c r="J768" t="str" cm="1">
        <f t="array" ref="J768">_xlfn.IFS(I768&lt;=0,"No Dependents",I768&lt;=1,"One",I768&lt;=2,"Two",I768&gt;=3,"Third")</f>
        <v>Two</v>
      </c>
      <c r="K768">
        <v>598</v>
      </c>
      <c r="L768" t="str" cm="1">
        <f t="array" ref="L768">_xlfn.IFS(K768&lt;=580,"Poor",K768&lt;=670,"fair",K768&lt;=740,"Good",K768&lt;=800,"Very Good",K768&gt;=800,"Excellent")</f>
        <v>fair</v>
      </c>
      <c r="M768">
        <v>3</v>
      </c>
      <c r="N768" t="str">
        <f t="shared" si="45"/>
        <v>Yes</v>
      </c>
      <c r="O768">
        <v>0.56999999999999995</v>
      </c>
      <c r="P768" t="str" cm="1">
        <f t="array" ref="P768">_xlfn.IFS(O768&lt;=0.3,"Low Risk",O768&lt;=0.4,"medium Risk",O768&lt;=0.5,"High Risk",O768&gt;0.5,"Very High Risk")</f>
        <v>Very High Risk</v>
      </c>
      <c r="Q768">
        <v>3146</v>
      </c>
      <c r="R768">
        <v>13176</v>
      </c>
      <c r="S768" t="str">
        <f t="shared" si="46"/>
        <v>Yes</v>
      </c>
      <c r="T768">
        <v>18769</v>
      </c>
      <c r="U768" t="str" cm="1">
        <f t="array" ref="U768">_xlfn.IFS(T768&lt;5000,"Small",T768&lt;20000,"Medium",T768&lt;35000,"Large",T768&gt;35000,"Very Large")</f>
        <v>Medium</v>
      </c>
      <c r="V768">
        <v>24</v>
      </c>
      <c r="W768">
        <f t="shared" si="47"/>
        <v>2</v>
      </c>
      <c r="X768" t="s">
        <v>42</v>
      </c>
      <c r="Y768" t="s">
        <v>38</v>
      </c>
      <c r="Z768" t="s">
        <v>39</v>
      </c>
      <c r="AA768" t="s">
        <v>40</v>
      </c>
      <c r="AB768" t="s">
        <v>35</v>
      </c>
      <c r="AC768" t="s">
        <v>36</v>
      </c>
    </row>
    <row r="769" spans="1:29" x14ac:dyDescent="0.25">
      <c r="A769">
        <v>810</v>
      </c>
      <c r="B769">
        <v>14790</v>
      </c>
      <c r="C769">
        <v>5699</v>
      </c>
      <c r="D769">
        <f t="shared" si="44"/>
        <v>20489</v>
      </c>
      <c r="E769" t="s">
        <v>46</v>
      </c>
      <c r="F769">
        <v>32</v>
      </c>
      <c r="G769" t="str" cm="1">
        <f t="array" ref="G769">_xlfn.IFS(F769&lt;25,"18-24",F769&lt;35,"25-35",F769&lt;45,"35-44",F769&lt;55,"44-54",F769&gt;=55,"55+")</f>
        <v>25-35</v>
      </c>
      <c r="H769" t="s">
        <v>41</v>
      </c>
      <c r="I769">
        <v>2</v>
      </c>
      <c r="J769" t="str" cm="1">
        <f t="array" ref="J769">_xlfn.IFS(I769&lt;=0,"No Dependents",I769&lt;=1,"One",I769&lt;=2,"Two",I769&gt;=3,"Third")</f>
        <v>Two</v>
      </c>
      <c r="K769">
        <v>601</v>
      </c>
      <c r="L769" t="str" cm="1">
        <f t="array" ref="L769">_xlfn.IFS(K769&lt;=580,"Poor",K769&lt;=670,"fair",K769&lt;=740,"Good",K769&lt;=800,"Very Good",K769&gt;=800,"Excellent")</f>
        <v>fair</v>
      </c>
      <c r="M769">
        <v>0</v>
      </c>
      <c r="N769" t="str">
        <f t="shared" si="45"/>
        <v>No</v>
      </c>
      <c r="O769">
        <v>0.22</v>
      </c>
      <c r="P769" t="str" cm="1">
        <f t="array" ref="P769">_xlfn.IFS(O769&lt;=0.3,"Low Risk",O769&lt;=0.4,"medium Risk",O769&lt;=0.5,"High Risk",O769&gt;0.5,"Very High Risk")</f>
        <v>Low Risk</v>
      </c>
      <c r="Q769">
        <v>0</v>
      </c>
      <c r="R769">
        <v>41881</v>
      </c>
      <c r="S769" t="str">
        <f t="shared" si="46"/>
        <v>Yes</v>
      </c>
      <c r="T769">
        <v>18326</v>
      </c>
      <c r="U769" t="str" cm="1">
        <f t="array" ref="U769">_xlfn.IFS(T769&lt;5000,"Small",T769&lt;20000,"Medium",T769&lt;35000,"Large",T769&gt;35000,"Very Large")</f>
        <v>Medium</v>
      </c>
      <c r="V769">
        <v>60</v>
      </c>
      <c r="W769">
        <f t="shared" si="47"/>
        <v>5</v>
      </c>
      <c r="X769" t="s">
        <v>37</v>
      </c>
      <c r="Y769" t="s">
        <v>45</v>
      </c>
      <c r="Z769" t="s">
        <v>39</v>
      </c>
      <c r="AA769" t="s">
        <v>34</v>
      </c>
      <c r="AB769" t="s">
        <v>35</v>
      </c>
      <c r="AC769" t="s">
        <v>36</v>
      </c>
    </row>
    <row r="770" spans="1:29" x14ac:dyDescent="0.25">
      <c r="A770">
        <v>811</v>
      </c>
      <c r="B770">
        <v>5687</v>
      </c>
      <c r="C770">
        <v>1241</v>
      </c>
      <c r="D770">
        <f t="shared" si="44"/>
        <v>6928</v>
      </c>
      <c r="E770" t="s">
        <v>29</v>
      </c>
      <c r="F770">
        <v>24</v>
      </c>
      <c r="G770" t="str" cm="1">
        <f t="array" ref="G770">_xlfn.IFS(F770&lt;25,"18-24",F770&lt;35,"25-35",F770&lt;45,"35-44",F770&lt;55,"44-54",F770&gt;=55,"55+")</f>
        <v>18-24</v>
      </c>
      <c r="H770" t="s">
        <v>30</v>
      </c>
      <c r="I770">
        <v>3</v>
      </c>
      <c r="J770" t="str" cm="1">
        <f t="array" ref="J770">_xlfn.IFS(I770&lt;=0,"No Dependents",I770&lt;=1,"One",I770&lt;=2,"Two",I770&gt;=3,"Third")</f>
        <v>Third</v>
      </c>
      <c r="K770">
        <v>582</v>
      </c>
      <c r="L770" t="str" cm="1">
        <f t="array" ref="L770">_xlfn.IFS(K770&lt;=580,"Poor",K770&lt;=670,"fair",K770&lt;=740,"Good",K770&lt;=800,"Very Good",K770&gt;=800,"Excellent")</f>
        <v>fair</v>
      </c>
      <c r="M770">
        <v>2</v>
      </c>
      <c r="N770" t="str">
        <f t="shared" si="45"/>
        <v>Yes</v>
      </c>
      <c r="O770">
        <v>0.17</v>
      </c>
      <c r="P770" t="str" cm="1">
        <f t="array" ref="P770">_xlfn.IFS(O770&lt;=0.3,"Low Risk",O770&lt;=0.4,"medium Risk",O770&lt;=0.5,"High Risk",O770&gt;0.5,"Very High Risk")</f>
        <v>Low Risk</v>
      </c>
      <c r="Q770">
        <v>0</v>
      </c>
      <c r="R770">
        <v>13546</v>
      </c>
      <c r="S770" t="str">
        <f t="shared" si="46"/>
        <v>Yes</v>
      </c>
      <c r="T770">
        <v>37048</v>
      </c>
      <c r="U770" t="str" cm="1">
        <f t="array" ref="U770">_xlfn.IFS(T770&lt;5000,"Small",T770&lt;20000,"Medium",T770&lt;35000,"Large",T770&gt;35000,"Very Large")</f>
        <v>Very Large</v>
      </c>
      <c r="V770">
        <v>48</v>
      </c>
      <c r="W770">
        <f t="shared" si="47"/>
        <v>4</v>
      </c>
      <c r="X770" t="s">
        <v>50</v>
      </c>
      <c r="Y770" t="s">
        <v>45</v>
      </c>
      <c r="Z770" t="s">
        <v>39</v>
      </c>
      <c r="AA770" t="s">
        <v>40</v>
      </c>
      <c r="AB770" t="s">
        <v>43</v>
      </c>
      <c r="AC770" t="s">
        <v>36</v>
      </c>
    </row>
    <row r="771" spans="1:29" x14ac:dyDescent="0.25">
      <c r="A771">
        <v>812</v>
      </c>
      <c r="B771">
        <v>6018</v>
      </c>
      <c r="C771">
        <v>1125</v>
      </c>
      <c r="D771">
        <f t="shared" ref="D771:D834" si="48">B771+C771</f>
        <v>7143</v>
      </c>
      <c r="E771" t="s">
        <v>49</v>
      </c>
      <c r="F771">
        <v>40</v>
      </c>
      <c r="G771" t="str" cm="1">
        <f t="array" ref="G771">_xlfn.IFS(F771&lt;25,"18-24",F771&lt;35,"25-35",F771&lt;45,"35-44",F771&lt;55,"44-54",F771&gt;=55,"55+")</f>
        <v>35-44</v>
      </c>
      <c r="H771" t="s">
        <v>30</v>
      </c>
      <c r="I771">
        <v>2</v>
      </c>
      <c r="J771" t="str" cm="1">
        <f t="array" ref="J771">_xlfn.IFS(I771&lt;=0,"No Dependents",I771&lt;=1,"One",I771&lt;=2,"Two",I771&gt;=3,"Third")</f>
        <v>Two</v>
      </c>
      <c r="K771">
        <v>571</v>
      </c>
      <c r="L771" t="str" cm="1">
        <f t="array" ref="L771">_xlfn.IFS(K771&lt;=580,"Poor",K771&lt;=670,"fair",K771&lt;=740,"Good",K771&lt;=800,"Very Good",K771&gt;=800,"Excellent")</f>
        <v>Poor</v>
      </c>
      <c r="M771">
        <v>2</v>
      </c>
      <c r="N771" t="str">
        <f t="shared" ref="N771:N834" si="49">IF(M771&gt;0,"Yes","No")</f>
        <v>Yes</v>
      </c>
      <c r="O771">
        <v>0.25</v>
      </c>
      <c r="P771" t="str" cm="1">
        <f t="array" ref="P771">_xlfn.IFS(O771&lt;=0.3,"Low Risk",O771&lt;=0.4,"medium Risk",O771&lt;=0.5,"High Risk",O771&gt;0.5,"Very High Risk")</f>
        <v>Low Risk</v>
      </c>
      <c r="Q771">
        <v>4414</v>
      </c>
      <c r="R771">
        <v>6805</v>
      </c>
      <c r="S771" t="str">
        <f t="shared" ref="S771:S834" si="50">IF(R771&gt;100,"Yes","No")</f>
        <v>Yes</v>
      </c>
      <c r="T771">
        <v>3786</v>
      </c>
      <c r="U771" t="str" cm="1">
        <f t="array" ref="U771">_xlfn.IFS(T771&lt;5000,"Small",T771&lt;20000,"Medium",T771&lt;35000,"Large",T771&gt;35000,"Very Large")</f>
        <v>Small</v>
      </c>
      <c r="V771">
        <v>12</v>
      </c>
      <c r="W771">
        <f t="shared" ref="W771:W834" si="51">V771/12</f>
        <v>1</v>
      </c>
      <c r="X771" t="s">
        <v>37</v>
      </c>
      <c r="Y771" t="s">
        <v>45</v>
      </c>
      <c r="Z771" t="s">
        <v>33</v>
      </c>
      <c r="AA771" t="s">
        <v>34</v>
      </c>
      <c r="AB771" t="s">
        <v>43</v>
      </c>
      <c r="AC771" t="s">
        <v>36</v>
      </c>
    </row>
    <row r="772" spans="1:29" x14ac:dyDescent="0.25">
      <c r="A772">
        <v>813</v>
      </c>
      <c r="B772">
        <v>13302</v>
      </c>
      <c r="C772">
        <v>9382</v>
      </c>
      <c r="D772">
        <f t="shared" si="48"/>
        <v>22684</v>
      </c>
      <c r="E772" t="s">
        <v>52</v>
      </c>
      <c r="F772">
        <v>58</v>
      </c>
      <c r="G772" t="str" cm="1">
        <f t="array" ref="G772">_xlfn.IFS(F772&lt;25,"18-24",F772&lt;35,"25-35",F772&lt;45,"35-44",F772&lt;55,"44-54",F772&gt;=55,"55+")</f>
        <v>55+</v>
      </c>
      <c r="H772" t="s">
        <v>30</v>
      </c>
      <c r="I772">
        <v>1</v>
      </c>
      <c r="J772" t="str" cm="1">
        <f t="array" ref="J772">_xlfn.IFS(I772&lt;=0,"No Dependents",I772&lt;=1,"One",I772&lt;=2,"Two",I772&gt;=3,"Third")</f>
        <v>One</v>
      </c>
      <c r="K772">
        <v>663</v>
      </c>
      <c r="L772" t="str" cm="1">
        <f t="array" ref="L772">_xlfn.IFS(K772&lt;=580,"Poor",K772&lt;=670,"fair",K772&lt;=740,"Good",K772&lt;=800,"Very Good",K772&gt;=800,"Excellent")</f>
        <v>fair</v>
      </c>
      <c r="M772">
        <v>1</v>
      </c>
      <c r="N772" t="str">
        <f t="shared" si="49"/>
        <v>Yes</v>
      </c>
      <c r="O772">
        <v>0.55000000000000004</v>
      </c>
      <c r="P772" t="str" cm="1">
        <f t="array" ref="P772">_xlfn.IFS(O772&lt;=0.3,"Low Risk",O772&lt;=0.4,"medium Risk",O772&lt;=0.5,"High Risk",O772&gt;0.5,"Very High Risk")</f>
        <v>Very High Risk</v>
      </c>
      <c r="Q772">
        <v>17494</v>
      </c>
      <c r="R772">
        <v>16788</v>
      </c>
      <c r="S772" t="str">
        <f t="shared" si="50"/>
        <v>Yes</v>
      </c>
      <c r="T772">
        <v>36001</v>
      </c>
      <c r="U772" t="str" cm="1">
        <f t="array" ref="U772">_xlfn.IFS(T772&lt;5000,"Small",T772&lt;20000,"Medium",T772&lt;35000,"Large",T772&gt;35000,"Very Large")</f>
        <v>Very Large</v>
      </c>
      <c r="V772">
        <v>36</v>
      </c>
      <c r="W772">
        <f t="shared" si="51"/>
        <v>3</v>
      </c>
      <c r="X772" t="s">
        <v>37</v>
      </c>
      <c r="Y772" t="s">
        <v>38</v>
      </c>
      <c r="Z772" t="s">
        <v>33</v>
      </c>
      <c r="AA772" t="s">
        <v>40</v>
      </c>
      <c r="AB772" t="s">
        <v>48</v>
      </c>
      <c r="AC772" t="s">
        <v>36</v>
      </c>
    </row>
    <row r="773" spans="1:29" x14ac:dyDescent="0.25">
      <c r="A773">
        <v>814</v>
      </c>
      <c r="B773">
        <v>3970</v>
      </c>
      <c r="C773">
        <v>6764</v>
      </c>
      <c r="D773">
        <f t="shared" si="48"/>
        <v>10734</v>
      </c>
      <c r="E773" t="s">
        <v>29</v>
      </c>
      <c r="F773">
        <v>45</v>
      </c>
      <c r="G773" t="str" cm="1">
        <f t="array" ref="G773">_xlfn.IFS(F773&lt;25,"18-24",F773&lt;35,"25-35",F773&lt;45,"35-44",F773&lt;55,"44-54",F773&gt;=55,"55+")</f>
        <v>44-54</v>
      </c>
      <c r="H773" t="s">
        <v>30</v>
      </c>
      <c r="I773">
        <v>0</v>
      </c>
      <c r="J773" t="str" cm="1">
        <f t="array" ref="J773">_xlfn.IFS(I773&lt;=0,"No Dependents",I773&lt;=1,"One",I773&lt;=2,"Two",I773&gt;=3,"Third")</f>
        <v>No Dependents</v>
      </c>
      <c r="K773">
        <v>788</v>
      </c>
      <c r="L773" t="str" cm="1">
        <f t="array" ref="L773">_xlfn.IFS(K773&lt;=580,"Poor",K773&lt;=670,"fair",K773&lt;=740,"Good",K773&lt;=800,"Very Good",K773&gt;=800,"Excellent")</f>
        <v>Very Good</v>
      </c>
      <c r="M773">
        <v>3</v>
      </c>
      <c r="N773" t="str">
        <f t="shared" si="49"/>
        <v>Yes</v>
      </c>
      <c r="O773">
        <v>0.59</v>
      </c>
      <c r="P773" t="str" cm="1">
        <f t="array" ref="P773">_xlfn.IFS(O773&lt;=0.3,"Low Risk",O773&lt;=0.4,"medium Risk",O773&lt;=0.5,"High Risk",O773&gt;0.5,"Very High Risk")</f>
        <v>Very High Risk</v>
      </c>
      <c r="Q773">
        <v>3937</v>
      </c>
      <c r="R773">
        <v>29348</v>
      </c>
      <c r="S773" t="str">
        <f t="shared" si="50"/>
        <v>Yes</v>
      </c>
      <c r="T773">
        <v>2620</v>
      </c>
      <c r="U773" t="str" cm="1">
        <f t="array" ref="U773">_xlfn.IFS(T773&lt;5000,"Small",T773&lt;20000,"Medium",T773&lt;35000,"Large",T773&gt;35000,"Very Large")</f>
        <v>Small</v>
      </c>
      <c r="V773">
        <v>84</v>
      </c>
      <c r="W773">
        <f t="shared" si="51"/>
        <v>7</v>
      </c>
      <c r="X773" t="s">
        <v>42</v>
      </c>
      <c r="Y773" t="s">
        <v>45</v>
      </c>
      <c r="Z773" t="s">
        <v>39</v>
      </c>
      <c r="AA773" t="s">
        <v>34</v>
      </c>
      <c r="AB773" t="s">
        <v>35</v>
      </c>
      <c r="AC773" t="s">
        <v>36</v>
      </c>
    </row>
    <row r="774" spans="1:29" x14ac:dyDescent="0.25">
      <c r="A774">
        <v>815</v>
      </c>
      <c r="B774">
        <v>10389</v>
      </c>
      <c r="C774">
        <v>5101</v>
      </c>
      <c r="D774">
        <f t="shared" si="48"/>
        <v>15490</v>
      </c>
      <c r="E774" t="s">
        <v>29</v>
      </c>
      <c r="F774">
        <v>34</v>
      </c>
      <c r="G774" t="str" cm="1">
        <f t="array" ref="G774">_xlfn.IFS(F774&lt;25,"18-24",F774&lt;35,"25-35",F774&lt;45,"35-44",F774&lt;55,"44-54",F774&gt;=55,"55+")</f>
        <v>25-35</v>
      </c>
      <c r="H774" t="s">
        <v>30</v>
      </c>
      <c r="I774">
        <v>2</v>
      </c>
      <c r="J774" t="str" cm="1">
        <f t="array" ref="J774">_xlfn.IFS(I774&lt;=0,"No Dependents",I774&lt;=1,"One",I774&lt;=2,"Two",I774&gt;=3,"Third")</f>
        <v>Two</v>
      </c>
      <c r="K774">
        <v>550</v>
      </c>
      <c r="L774" t="str" cm="1">
        <f t="array" ref="L774">_xlfn.IFS(K774&lt;=580,"Poor",K774&lt;=670,"fair",K774&lt;=740,"Good",K774&lt;=800,"Very Good",K774&gt;=800,"Excellent")</f>
        <v>Poor</v>
      </c>
      <c r="M774">
        <v>2</v>
      </c>
      <c r="N774" t="str">
        <f t="shared" si="49"/>
        <v>Yes</v>
      </c>
      <c r="O774">
        <v>0.53</v>
      </c>
      <c r="P774" t="str" cm="1">
        <f t="array" ref="P774">_xlfn.IFS(O774&lt;=0.3,"Low Risk",O774&lt;=0.4,"medium Risk",O774&lt;=0.5,"High Risk",O774&gt;0.5,"Very High Risk")</f>
        <v>Very High Risk</v>
      </c>
      <c r="Q774">
        <v>3963</v>
      </c>
      <c r="R774">
        <v>8080</v>
      </c>
      <c r="S774" t="str">
        <f t="shared" si="50"/>
        <v>Yes</v>
      </c>
      <c r="T774">
        <v>37303</v>
      </c>
      <c r="U774" t="str" cm="1">
        <f t="array" ref="U774">_xlfn.IFS(T774&lt;5000,"Small",T774&lt;20000,"Medium",T774&lt;35000,"Large",T774&gt;35000,"Very Large")</f>
        <v>Very Large</v>
      </c>
      <c r="V774">
        <v>84</v>
      </c>
      <c r="W774">
        <f t="shared" si="51"/>
        <v>7</v>
      </c>
      <c r="X774" t="s">
        <v>37</v>
      </c>
      <c r="Y774" t="s">
        <v>32</v>
      </c>
      <c r="Z774" t="s">
        <v>39</v>
      </c>
      <c r="AA774" t="s">
        <v>40</v>
      </c>
      <c r="AB774" t="s">
        <v>48</v>
      </c>
      <c r="AC774" t="s">
        <v>36</v>
      </c>
    </row>
    <row r="775" spans="1:29" x14ac:dyDescent="0.25">
      <c r="A775">
        <v>816</v>
      </c>
      <c r="B775">
        <v>19586</v>
      </c>
      <c r="C775">
        <v>7843</v>
      </c>
      <c r="D775">
        <f t="shared" si="48"/>
        <v>27429</v>
      </c>
      <c r="E775" t="s">
        <v>29</v>
      </c>
      <c r="F775">
        <v>31</v>
      </c>
      <c r="G775" t="str" cm="1">
        <f t="array" ref="G775">_xlfn.IFS(F775&lt;25,"18-24",F775&lt;35,"25-35",F775&lt;45,"35-44",F775&lt;55,"44-54",F775&gt;=55,"55+")</f>
        <v>25-35</v>
      </c>
      <c r="H775" t="s">
        <v>30</v>
      </c>
      <c r="I775">
        <v>0</v>
      </c>
      <c r="J775" t="str" cm="1">
        <f t="array" ref="J775">_xlfn.IFS(I775&lt;=0,"No Dependents",I775&lt;=1,"One",I775&lt;=2,"Two",I775&gt;=3,"Third")</f>
        <v>No Dependents</v>
      </c>
      <c r="K775">
        <v>780</v>
      </c>
      <c r="L775" t="str" cm="1">
        <f t="array" ref="L775">_xlfn.IFS(K775&lt;=580,"Poor",K775&lt;=670,"fair",K775&lt;=740,"Good",K775&lt;=800,"Very Good",K775&gt;=800,"Excellent")</f>
        <v>Very Good</v>
      </c>
      <c r="M775">
        <v>2</v>
      </c>
      <c r="N775" t="str">
        <f t="shared" si="49"/>
        <v>Yes</v>
      </c>
      <c r="O775">
        <v>0.16</v>
      </c>
      <c r="P775" t="str" cm="1">
        <f t="array" ref="P775">_xlfn.IFS(O775&lt;=0.3,"Low Risk",O775&lt;=0.4,"medium Risk",O775&lt;=0.5,"High Risk",O775&gt;0.5,"Very High Risk")</f>
        <v>Low Risk</v>
      </c>
      <c r="Q775">
        <v>5897</v>
      </c>
      <c r="R775">
        <v>35886</v>
      </c>
      <c r="S775" t="str">
        <f t="shared" si="50"/>
        <v>Yes</v>
      </c>
      <c r="T775">
        <v>20589</v>
      </c>
      <c r="U775" t="str" cm="1">
        <f t="array" ref="U775">_xlfn.IFS(T775&lt;5000,"Small",T775&lt;20000,"Medium",T775&lt;35000,"Large",T775&gt;35000,"Very Large")</f>
        <v>Large</v>
      </c>
      <c r="V775">
        <v>60</v>
      </c>
      <c r="W775">
        <f t="shared" si="51"/>
        <v>5</v>
      </c>
      <c r="X775" t="s">
        <v>47</v>
      </c>
      <c r="Y775" t="s">
        <v>32</v>
      </c>
      <c r="Z775" t="s">
        <v>39</v>
      </c>
      <c r="AA775" t="s">
        <v>34</v>
      </c>
      <c r="AB775" t="s">
        <v>42</v>
      </c>
      <c r="AC775" t="s">
        <v>44</v>
      </c>
    </row>
    <row r="776" spans="1:29" x14ac:dyDescent="0.25">
      <c r="A776">
        <v>817</v>
      </c>
      <c r="B776">
        <v>17374</v>
      </c>
      <c r="C776">
        <v>72</v>
      </c>
      <c r="D776">
        <f t="shared" si="48"/>
        <v>17446</v>
      </c>
      <c r="E776" t="s">
        <v>29</v>
      </c>
      <c r="F776">
        <v>52</v>
      </c>
      <c r="G776" t="str" cm="1">
        <f t="array" ref="G776">_xlfn.IFS(F776&lt;25,"18-24",F776&lt;35,"25-35",F776&lt;45,"35-44",F776&lt;55,"44-54",F776&gt;=55,"55+")</f>
        <v>44-54</v>
      </c>
      <c r="H776" t="s">
        <v>30</v>
      </c>
      <c r="I776">
        <v>0</v>
      </c>
      <c r="J776" t="str" cm="1">
        <f t="array" ref="J776">_xlfn.IFS(I776&lt;=0,"No Dependents",I776&lt;=1,"One",I776&lt;=2,"Two",I776&gt;=3,"Third")</f>
        <v>No Dependents</v>
      </c>
      <c r="K776">
        <v>567</v>
      </c>
      <c r="L776" t="str" cm="1">
        <f t="array" ref="L776">_xlfn.IFS(K776&lt;=580,"Poor",K776&lt;=670,"fair",K776&lt;=740,"Good",K776&lt;=800,"Very Good",K776&gt;=800,"Excellent")</f>
        <v>Poor</v>
      </c>
      <c r="M776">
        <v>3</v>
      </c>
      <c r="N776" t="str">
        <f t="shared" si="49"/>
        <v>Yes</v>
      </c>
      <c r="O776">
        <v>0.56999999999999995</v>
      </c>
      <c r="P776" t="str" cm="1">
        <f t="array" ref="P776">_xlfn.IFS(O776&lt;=0.3,"Low Risk",O776&lt;=0.4,"medium Risk",O776&lt;=0.5,"High Risk",O776&gt;0.5,"Very High Risk")</f>
        <v>Very High Risk</v>
      </c>
      <c r="Q776">
        <v>0</v>
      </c>
      <c r="R776">
        <v>23764</v>
      </c>
      <c r="S776" t="str">
        <f t="shared" si="50"/>
        <v>Yes</v>
      </c>
      <c r="T776">
        <v>3882</v>
      </c>
      <c r="U776" t="str" cm="1">
        <f t="array" ref="U776">_xlfn.IFS(T776&lt;5000,"Small",T776&lt;20000,"Medium",T776&lt;35000,"Large",T776&gt;35000,"Very Large")</f>
        <v>Small</v>
      </c>
      <c r="V776">
        <v>60</v>
      </c>
      <c r="W776">
        <f t="shared" si="51"/>
        <v>5</v>
      </c>
      <c r="X776" t="s">
        <v>50</v>
      </c>
      <c r="Y776" t="s">
        <v>45</v>
      </c>
      <c r="Z776" t="s">
        <v>39</v>
      </c>
      <c r="AA776" t="s">
        <v>40</v>
      </c>
      <c r="AB776" t="s">
        <v>48</v>
      </c>
      <c r="AC776" t="s">
        <v>36</v>
      </c>
    </row>
    <row r="777" spans="1:29" x14ac:dyDescent="0.25">
      <c r="A777">
        <v>819</v>
      </c>
      <c r="B777">
        <v>7408</v>
      </c>
      <c r="C777">
        <v>0</v>
      </c>
      <c r="D777">
        <f t="shared" si="48"/>
        <v>7408</v>
      </c>
      <c r="E777" t="s">
        <v>52</v>
      </c>
      <c r="F777">
        <v>38</v>
      </c>
      <c r="G777" t="str" cm="1">
        <f t="array" ref="G777">_xlfn.IFS(F777&lt;25,"18-24",F777&lt;35,"25-35",F777&lt;45,"35-44",F777&lt;55,"44-54",F777&gt;=55,"55+")</f>
        <v>35-44</v>
      </c>
      <c r="H777" t="s">
        <v>30</v>
      </c>
      <c r="I777">
        <v>2</v>
      </c>
      <c r="J777" t="str" cm="1">
        <f t="array" ref="J777">_xlfn.IFS(I777&lt;=0,"No Dependents",I777&lt;=1,"One",I777&lt;=2,"Two",I777&gt;=3,"Third")</f>
        <v>Two</v>
      </c>
      <c r="K777">
        <v>667</v>
      </c>
      <c r="L777" t="str" cm="1">
        <f t="array" ref="L777">_xlfn.IFS(K777&lt;=580,"Poor",K777&lt;=670,"fair",K777&lt;=740,"Good",K777&lt;=800,"Very Good",K777&gt;=800,"Excellent")</f>
        <v>fair</v>
      </c>
      <c r="M777">
        <v>2</v>
      </c>
      <c r="N777" t="str">
        <f t="shared" si="49"/>
        <v>Yes</v>
      </c>
      <c r="O777">
        <v>0.1</v>
      </c>
      <c r="P777" t="str" cm="1">
        <f t="array" ref="P777">_xlfn.IFS(O777&lt;=0.3,"Low Risk",O777&lt;=0.4,"medium Risk",O777&lt;=0.5,"High Risk",O777&gt;0.5,"Very High Risk")</f>
        <v>Low Risk</v>
      </c>
      <c r="Q777">
        <v>17500</v>
      </c>
      <c r="R777">
        <v>33333</v>
      </c>
      <c r="S777" t="str">
        <f t="shared" si="50"/>
        <v>Yes</v>
      </c>
      <c r="T777">
        <v>10745</v>
      </c>
      <c r="U777" t="str" cm="1">
        <f t="array" ref="U777">_xlfn.IFS(T777&lt;5000,"Small",T777&lt;20000,"Medium",T777&lt;35000,"Large",T777&gt;35000,"Very Large")</f>
        <v>Medium</v>
      </c>
      <c r="V777">
        <v>84</v>
      </c>
      <c r="W777">
        <f t="shared" si="51"/>
        <v>7</v>
      </c>
      <c r="X777" t="s">
        <v>42</v>
      </c>
      <c r="Y777" t="s">
        <v>45</v>
      </c>
      <c r="Z777" t="s">
        <v>39</v>
      </c>
      <c r="AA777" t="s">
        <v>40</v>
      </c>
      <c r="AB777" t="s">
        <v>42</v>
      </c>
      <c r="AC777" t="s">
        <v>44</v>
      </c>
    </row>
    <row r="778" spans="1:29" x14ac:dyDescent="0.25">
      <c r="A778">
        <v>820</v>
      </c>
      <c r="B778">
        <v>11446</v>
      </c>
      <c r="C778">
        <v>2472</v>
      </c>
      <c r="D778">
        <f t="shared" si="48"/>
        <v>13918</v>
      </c>
      <c r="E778" t="s">
        <v>46</v>
      </c>
      <c r="F778">
        <v>47</v>
      </c>
      <c r="G778" t="str" cm="1">
        <f t="array" ref="G778">_xlfn.IFS(F778&lt;25,"18-24",F778&lt;35,"25-35",F778&lt;45,"35-44",F778&lt;55,"44-54",F778&gt;=55,"55+")</f>
        <v>44-54</v>
      </c>
      <c r="H778" t="s">
        <v>41</v>
      </c>
      <c r="I778">
        <v>2</v>
      </c>
      <c r="J778" t="str" cm="1">
        <f t="array" ref="J778">_xlfn.IFS(I778&lt;=0,"No Dependents",I778&lt;=1,"One",I778&lt;=2,"Two",I778&gt;=3,"Third")</f>
        <v>Two</v>
      </c>
      <c r="K778">
        <v>666</v>
      </c>
      <c r="L778" t="str" cm="1">
        <f t="array" ref="L778">_xlfn.IFS(K778&lt;=580,"Poor",K778&lt;=670,"fair",K778&lt;=740,"Good",K778&lt;=800,"Very Good",K778&gt;=800,"Excellent")</f>
        <v>fair</v>
      </c>
      <c r="M778">
        <v>0</v>
      </c>
      <c r="N778" t="str">
        <f t="shared" si="49"/>
        <v>No</v>
      </c>
      <c r="O778">
        <v>0.32</v>
      </c>
      <c r="P778" t="str" cm="1">
        <f t="array" ref="P778">_xlfn.IFS(O778&lt;=0.3,"Low Risk",O778&lt;=0.4,"medium Risk",O778&lt;=0.5,"High Risk",O778&gt;0.5,"Very High Risk")</f>
        <v>medium Risk</v>
      </c>
      <c r="Q778">
        <v>16056</v>
      </c>
      <c r="R778">
        <v>15701</v>
      </c>
      <c r="S778" t="str">
        <f t="shared" si="50"/>
        <v>Yes</v>
      </c>
      <c r="T778">
        <v>37665</v>
      </c>
      <c r="U778" t="str" cm="1">
        <f t="array" ref="U778">_xlfn.IFS(T778&lt;5000,"Small",T778&lt;20000,"Medium",T778&lt;35000,"Large",T778&gt;35000,"Very Large")</f>
        <v>Very Large</v>
      </c>
      <c r="V778">
        <v>12</v>
      </c>
      <c r="W778">
        <f t="shared" si="51"/>
        <v>1</v>
      </c>
      <c r="X778" t="s">
        <v>42</v>
      </c>
      <c r="Y778" t="s">
        <v>38</v>
      </c>
      <c r="Z778" t="s">
        <v>39</v>
      </c>
      <c r="AA778" t="s">
        <v>34</v>
      </c>
      <c r="AB778" t="s">
        <v>35</v>
      </c>
      <c r="AC778" t="s">
        <v>44</v>
      </c>
    </row>
    <row r="779" spans="1:29" x14ac:dyDescent="0.25">
      <c r="A779">
        <v>821</v>
      </c>
      <c r="B779">
        <v>2922</v>
      </c>
      <c r="C779">
        <v>707</v>
      </c>
      <c r="D779">
        <f t="shared" si="48"/>
        <v>3629</v>
      </c>
      <c r="E779" t="s">
        <v>29</v>
      </c>
      <c r="F779">
        <v>38</v>
      </c>
      <c r="G779" t="str" cm="1">
        <f t="array" ref="G779">_xlfn.IFS(F779&lt;25,"18-24",F779&lt;35,"25-35",F779&lt;45,"35-44",F779&lt;55,"44-54",F779&gt;=55,"55+")</f>
        <v>35-44</v>
      </c>
      <c r="H779" t="s">
        <v>30</v>
      </c>
      <c r="I779">
        <v>0</v>
      </c>
      <c r="J779" t="str" cm="1">
        <f t="array" ref="J779">_xlfn.IFS(I779&lt;=0,"No Dependents",I779&lt;=1,"One",I779&lt;=2,"Two",I779&gt;=3,"Third")</f>
        <v>No Dependents</v>
      </c>
      <c r="K779">
        <v>586</v>
      </c>
      <c r="L779" t="str" cm="1">
        <f t="array" ref="L779">_xlfn.IFS(K779&lt;=580,"Poor",K779&lt;=670,"fair",K779&lt;=740,"Good",K779&lt;=800,"Very Good",K779&gt;=800,"Excellent")</f>
        <v>fair</v>
      </c>
      <c r="M779">
        <v>1</v>
      </c>
      <c r="N779" t="str">
        <f t="shared" si="49"/>
        <v>Yes</v>
      </c>
      <c r="O779">
        <v>0.12</v>
      </c>
      <c r="P779" t="str" cm="1">
        <f t="array" ref="P779">_xlfn.IFS(O779&lt;=0.3,"Low Risk",O779&lt;=0.4,"medium Risk",O779&lt;=0.5,"High Risk",O779&gt;0.5,"Very High Risk")</f>
        <v>Low Risk</v>
      </c>
      <c r="Q779">
        <v>1750</v>
      </c>
      <c r="R779">
        <v>14859</v>
      </c>
      <c r="S779" t="str">
        <f t="shared" si="50"/>
        <v>Yes</v>
      </c>
      <c r="T779">
        <v>16861</v>
      </c>
      <c r="U779" t="str" cm="1">
        <f t="array" ref="U779">_xlfn.IFS(T779&lt;5000,"Small",T779&lt;20000,"Medium",T779&lt;35000,"Large",T779&gt;35000,"Very Large")</f>
        <v>Medium</v>
      </c>
      <c r="V779">
        <v>72</v>
      </c>
      <c r="W779">
        <f t="shared" si="51"/>
        <v>6</v>
      </c>
      <c r="X779" t="s">
        <v>37</v>
      </c>
      <c r="Y779" t="s">
        <v>32</v>
      </c>
      <c r="Z779" t="s">
        <v>33</v>
      </c>
      <c r="AA779" t="s">
        <v>34</v>
      </c>
      <c r="AB779" t="s">
        <v>35</v>
      </c>
      <c r="AC779" t="s">
        <v>36</v>
      </c>
    </row>
    <row r="780" spans="1:29" x14ac:dyDescent="0.25">
      <c r="A780">
        <v>822</v>
      </c>
      <c r="B780">
        <v>2419</v>
      </c>
      <c r="C780">
        <v>1804</v>
      </c>
      <c r="D780">
        <f t="shared" si="48"/>
        <v>4223</v>
      </c>
      <c r="E780" t="s">
        <v>29</v>
      </c>
      <c r="F780">
        <v>43</v>
      </c>
      <c r="G780" t="str" cm="1">
        <f t="array" ref="G780">_xlfn.IFS(F780&lt;25,"18-24",F780&lt;35,"25-35",F780&lt;45,"35-44",F780&lt;55,"44-54",F780&gt;=55,"55+")</f>
        <v>35-44</v>
      </c>
      <c r="H780" t="s">
        <v>30</v>
      </c>
      <c r="I780">
        <v>1</v>
      </c>
      <c r="J780" t="str" cm="1">
        <f t="array" ref="J780">_xlfn.IFS(I780&lt;=0,"No Dependents",I780&lt;=1,"One",I780&lt;=2,"Two",I780&gt;=3,"Third")</f>
        <v>One</v>
      </c>
      <c r="K780">
        <v>771</v>
      </c>
      <c r="L780" t="str" cm="1">
        <f t="array" ref="L780">_xlfn.IFS(K780&lt;=580,"Poor",K780&lt;=670,"fair",K780&lt;=740,"Good",K780&lt;=800,"Very Good",K780&gt;=800,"Excellent")</f>
        <v>Very Good</v>
      </c>
      <c r="M780">
        <v>2</v>
      </c>
      <c r="N780" t="str">
        <f t="shared" si="49"/>
        <v>Yes</v>
      </c>
      <c r="O780">
        <v>0.37</v>
      </c>
      <c r="P780" t="str" cm="1">
        <f t="array" ref="P780">_xlfn.IFS(O780&lt;=0.3,"Low Risk",O780&lt;=0.4,"medium Risk",O780&lt;=0.5,"High Risk",O780&gt;0.5,"Very High Risk")</f>
        <v>medium Risk</v>
      </c>
      <c r="Q780">
        <v>4027</v>
      </c>
      <c r="R780">
        <v>21183</v>
      </c>
      <c r="S780" t="str">
        <f t="shared" si="50"/>
        <v>Yes</v>
      </c>
      <c r="T780">
        <v>27171</v>
      </c>
      <c r="U780" t="str" cm="1">
        <f t="array" ref="U780">_xlfn.IFS(T780&lt;5000,"Small",T780&lt;20000,"Medium",T780&lt;35000,"Large",T780&gt;35000,"Very Large")</f>
        <v>Large</v>
      </c>
      <c r="V780">
        <v>48</v>
      </c>
      <c r="W780">
        <f t="shared" si="51"/>
        <v>4</v>
      </c>
      <c r="X780" t="s">
        <v>37</v>
      </c>
      <c r="Y780" t="s">
        <v>32</v>
      </c>
      <c r="Z780" t="s">
        <v>33</v>
      </c>
      <c r="AA780" t="s">
        <v>40</v>
      </c>
      <c r="AB780" t="s">
        <v>35</v>
      </c>
      <c r="AC780" t="s">
        <v>36</v>
      </c>
    </row>
    <row r="781" spans="1:29" x14ac:dyDescent="0.25">
      <c r="A781">
        <v>824</v>
      </c>
      <c r="B781">
        <v>3120</v>
      </c>
      <c r="C781">
        <v>3713</v>
      </c>
      <c r="D781">
        <f t="shared" si="48"/>
        <v>6833</v>
      </c>
      <c r="E781" t="s">
        <v>29</v>
      </c>
      <c r="F781">
        <v>41</v>
      </c>
      <c r="G781" t="str" cm="1">
        <f t="array" ref="G781">_xlfn.IFS(F781&lt;25,"18-24",F781&lt;35,"25-35",F781&lt;45,"35-44",F781&lt;55,"44-54",F781&gt;=55,"55+")</f>
        <v>35-44</v>
      </c>
      <c r="H781" t="s">
        <v>30</v>
      </c>
      <c r="I781">
        <v>1</v>
      </c>
      <c r="J781" t="str" cm="1">
        <f t="array" ref="J781">_xlfn.IFS(I781&lt;=0,"No Dependents",I781&lt;=1,"One",I781&lt;=2,"Two",I781&gt;=3,"Third")</f>
        <v>One</v>
      </c>
      <c r="K781">
        <v>772</v>
      </c>
      <c r="L781" t="str" cm="1">
        <f t="array" ref="L781">_xlfn.IFS(K781&lt;=580,"Poor",K781&lt;=670,"fair",K781&lt;=740,"Good",K781&lt;=800,"Very Good",K781&gt;=800,"Excellent")</f>
        <v>Very Good</v>
      </c>
      <c r="M781">
        <v>4</v>
      </c>
      <c r="N781" t="str">
        <f t="shared" si="49"/>
        <v>Yes</v>
      </c>
      <c r="O781">
        <v>0.34</v>
      </c>
      <c r="P781" t="str" cm="1">
        <f t="array" ref="P781">_xlfn.IFS(O781&lt;=0.3,"Low Risk",O781&lt;=0.4,"medium Risk",O781&lt;=0.5,"High Risk",O781&gt;0.5,"Very High Risk")</f>
        <v>medium Risk</v>
      </c>
      <c r="Q781">
        <v>5745</v>
      </c>
      <c r="R781">
        <v>31749</v>
      </c>
      <c r="S781" t="str">
        <f t="shared" si="50"/>
        <v>Yes</v>
      </c>
      <c r="T781">
        <v>3837</v>
      </c>
      <c r="U781" t="str" cm="1">
        <f t="array" ref="U781">_xlfn.IFS(T781&lt;5000,"Small",T781&lt;20000,"Medium",T781&lt;35000,"Large",T781&gt;35000,"Very Large")</f>
        <v>Small</v>
      </c>
      <c r="V781">
        <v>24</v>
      </c>
      <c r="W781">
        <f t="shared" si="51"/>
        <v>2</v>
      </c>
      <c r="X781" t="s">
        <v>42</v>
      </c>
      <c r="Y781" t="s">
        <v>32</v>
      </c>
      <c r="Z781" t="s">
        <v>39</v>
      </c>
      <c r="AA781" t="s">
        <v>40</v>
      </c>
      <c r="AB781" t="s">
        <v>48</v>
      </c>
      <c r="AC781" t="s">
        <v>44</v>
      </c>
    </row>
    <row r="782" spans="1:29" x14ac:dyDescent="0.25">
      <c r="A782">
        <v>825</v>
      </c>
      <c r="B782">
        <v>13260</v>
      </c>
      <c r="C782">
        <v>5051</v>
      </c>
      <c r="D782">
        <f t="shared" si="48"/>
        <v>18311</v>
      </c>
      <c r="E782" t="s">
        <v>49</v>
      </c>
      <c r="F782">
        <v>25</v>
      </c>
      <c r="G782" t="str" cm="1">
        <f t="array" ref="G782">_xlfn.IFS(F782&lt;25,"18-24",F782&lt;35,"25-35",F782&lt;45,"35-44",F782&lt;55,"44-54",F782&gt;=55,"55+")</f>
        <v>25-35</v>
      </c>
      <c r="H782" t="s">
        <v>30</v>
      </c>
      <c r="I782">
        <v>0</v>
      </c>
      <c r="J782" t="str" cm="1">
        <f t="array" ref="J782">_xlfn.IFS(I782&lt;=0,"No Dependents",I782&lt;=1,"One",I782&lt;=2,"Two",I782&gt;=3,"Third")</f>
        <v>No Dependents</v>
      </c>
      <c r="K782">
        <v>613</v>
      </c>
      <c r="L782" t="str" cm="1">
        <f t="array" ref="L782">_xlfn.IFS(K782&lt;=580,"Poor",K782&lt;=670,"fair",K782&lt;=740,"Good",K782&lt;=800,"Very Good",K782&gt;=800,"Excellent")</f>
        <v>fair</v>
      </c>
      <c r="M782">
        <v>0</v>
      </c>
      <c r="N782" t="str">
        <f t="shared" si="49"/>
        <v>No</v>
      </c>
      <c r="O782">
        <v>0.41</v>
      </c>
      <c r="P782" t="str" cm="1">
        <f t="array" ref="P782">_xlfn.IFS(O782&lt;=0.3,"Low Risk",O782&lt;=0.4,"medium Risk",O782&lt;=0.5,"High Risk",O782&gt;0.5,"Very High Risk")</f>
        <v>High Risk</v>
      </c>
      <c r="Q782">
        <v>9679</v>
      </c>
      <c r="R782">
        <v>31887</v>
      </c>
      <c r="S782" t="str">
        <f t="shared" si="50"/>
        <v>Yes</v>
      </c>
      <c r="T782">
        <v>9599</v>
      </c>
      <c r="U782" t="str" cm="1">
        <f t="array" ref="U782">_xlfn.IFS(T782&lt;5000,"Small",T782&lt;20000,"Medium",T782&lt;35000,"Large",T782&gt;35000,"Very Large")</f>
        <v>Medium</v>
      </c>
      <c r="V782">
        <v>72</v>
      </c>
      <c r="W782">
        <f t="shared" si="51"/>
        <v>6</v>
      </c>
      <c r="X782" t="s">
        <v>42</v>
      </c>
      <c r="Y782" t="s">
        <v>45</v>
      </c>
      <c r="Z782" t="s">
        <v>39</v>
      </c>
      <c r="AA782" t="s">
        <v>34</v>
      </c>
      <c r="AB782" t="s">
        <v>42</v>
      </c>
      <c r="AC782" t="s">
        <v>36</v>
      </c>
    </row>
    <row r="783" spans="1:29" x14ac:dyDescent="0.25">
      <c r="A783">
        <v>826</v>
      </c>
      <c r="B783">
        <v>19334</v>
      </c>
      <c r="C783">
        <v>2475</v>
      </c>
      <c r="D783">
        <f t="shared" si="48"/>
        <v>21809</v>
      </c>
      <c r="E783" t="s">
        <v>29</v>
      </c>
      <c r="F783">
        <v>43</v>
      </c>
      <c r="G783" t="str" cm="1">
        <f t="array" ref="G783">_xlfn.IFS(F783&lt;25,"18-24",F783&lt;35,"25-35",F783&lt;45,"35-44",F783&lt;55,"44-54",F783&gt;=55,"55+")</f>
        <v>35-44</v>
      </c>
      <c r="H783" t="s">
        <v>30</v>
      </c>
      <c r="I783">
        <v>3</v>
      </c>
      <c r="J783" t="str" cm="1">
        <f t="array" ref="J783">_xlfn.IFS(I783&lt;=0,"No Dependents",I783&lt;=1,"One",I783&lt;=2,"Two",I783&gt;=3,"Third")</f>
        <v>Third</v>
      </c>
      <c r="K783">
        <v>687</v>
      </c>
      <c r="L783" t="str" cm="1">
        <f t="array" ref="L783">_xlfn.IFS(K783&lt;=580,"Poor",K783&lt;=670,"fair",K783&lt;=740,"Good",K783&lt;=800,"Very Good",K783&gt;=800,"Excellent")</f>
        <v>Good</v>
      </c>
      <c r="M783">
        <v>1</v>
      </c>
      <c r="N783" t="str">
        <f t="shared" si="49"/>
        <v>Yes</v>
      </c>
      <c r="O783">
        <v>0.53</v>
      </c>
      <c r="P783" t="str" cm="1">
        <f t="array" ref="P783">_xlfn.IFS(O783&lt;=0.3,"Low Risk",O783&lt;=0.4,"medium Risk",O783&lt;=0.5,"High Risk",O783&gt;0.5,"Very High Risk")</f>
        <v>Very High Risk</v>
      </c>
      <c r="Q783">
        <v>5938</v>
      </c>
      <c r="R783">
        <v>42244</v>
      </c>
      <c r="S783" t="str">
        <f t="shared" si="50"/>
        <v>Yes</v>
      </c>
      <c r="T783">
        <v>16911</v>
      </c>
      <c r="U783" t="str" cm="1">
        <f t="array" ref="U783">_xlfn.IFS(T783&lt;5000,"Small",T783&lt;20000,"Medium",T783&lt;35000,"Large",T783&gt;35000,"Very Large")</f>
        <v>Medium</v>
      </c>
      <c r="V783">
        <v>60</v>
      </c>
      <c r="W783">
        <f t="shared" si="51"/>
        <v>5</v>
      </c>
      <c r="X783" t="s">
        <v>42</v>
      </c>
      <c r="Y783" t="s">
        <v>32</v>
      </c>
      <c r="Z783" t="s">
        <v>39</v>
      </c>
      <c r="AA783" t="s">
        <v>34</v>
      </c>
      <c r="AB783" t="s">
        <v>51</v>
      </c>
      <c r="AC783" t="s">
        <v>36</v>
      </c>
    </row>
    <row r="784" spans="1:29" x14ac:dyDescent="0.25">
      <c r="A784">
        <v>827</v>
      </c>
      <c r="B784">
        <v>4336</v>
      </c>
      <c r="C784">
        <v>3610</v>
      </c>
      <c r="D784">
        <f t="shared" si="48"/>
        <v>7946</v>
      </c>
      <c r="E784" t="s">
        <v>49</v>
      </c>
      <c r="F784">
        <v>45</v>
      </c>
      <c r="G784" t="str" cm="1">
        <f t="array" ref="G784">_xlfn.IFS(F784&lt;25,"18-24",F784&lt;35,"25-35",F784&lt;45,"35-44",F784&lt;55,"44-54",F784&gt;=55,"55+")</f>
        <v>44-54</v>
      </c>
      <c r="H784" t="s">
        <v>41</v>
      </c>
      <c r="I784">
        <v>0</v>
      </c>
      <c r="J784" t="str" cm="1">
        <f t="array" ref="J784">_xlfn.IFS(I784&lt;=0,"No Dependents",I784&lt;=1,"One",I784&lt;=2,"Two",I784&gt;=3,"Third")</f>
        <v>No Dependents</v>
      </c>
      <c r="K784">
        <v>628</v>
      </c>
      <c r="L784" t="str" cm="1">
        <f t="array" ref="L784">_xlfn.IFS(K784&lt;=580,"Poor",K784&lt;=670,"fair",K784&lt;=740,"Good",K784&lt;=800,"Very Good",K784&gt;=800,"Excellent")</f>
        <v>fair</v>
      </c>
      <c r="M784">
        <v>2</v>
      </c>
      <c r="N784" t="str">
        <f t="shared" si="49"/>
        <v>Yes</v>
      </c>
      <c r="O784">
        <v>0.43</v>
      </c>
      <c r="P784" t="str" cm="1">
        <f t="array" ref="P784">_xlfn.IFS(O784&lt;=0.3,"Low Risk",O784&lt;=0.4,"medium Risk",O784&lt;=0.5,"High Risk",O784&gt;0.5,"Very High Risk")</f>
        <v>High Risk</v>
      </c>
      <c r="Q784">
        <v>12150</v>
      </c>
      <c r="R784">
        <v>8776</v>
      </c>
      <c r="S784" t="str">
        <f t="shared" si="50"/>
        <v>Yes</v>
      </c>
      <c r="T784">
        <v>21553</v>
      </c>
      <c r="U784" t="str" cm="1">
        <f t="array" ref="U784">_xlfn.IFS(T784&lt;5000,"Small",T784&lt;20000,"Medium",T784&lt;35000,"Large",T784&gt;35000,"Very Large")</f>
        <v>Large</v>
      </c>
      <c r="V784">
        <v>72</v>
      </c>
      <c r="W784">
        <f t="shared" si="51"/>
        <v>6</v>
      </c>
      <c r="X784" t="s">
        <v>37</v>
      </c>
      <c r="Y784" t="s">
        <v>32</v>
      </c>
      <c r="Z784" t="s">
        <v>33</v>
      </c>
      <c r="AA784" t="s">
        <v>40</v>
      </c>
      <c r="AB784" t="s">
        <v>48</v>
      </c>
      <c r="AC784" t="s">
        <v>36</v>
      </c>
    </row>
    <row r="785" spans="1:29" x14ac:dyDescent="0.25">
      <c r="A785">
        <v>828</v>
      </c>
      <c r="B785">
        <v>7373</v>
      </c>
      <c r="C785">
        <v>4255</v>
      </c>
      <c r="D785">
        <f t="shared" si="48"/>
        <v>11628</v>
      </c>
      <c r="E785" t="s">
        <v>49</v>
      </c>
      <c r="F785">
        <v>30</v>
      </c>
      <c r="G785" t="str" cm="1">
        <f t="array" ref="G785">_xlfn.IFS(F785&lt;25,"18-24",F785&lt;35,"25-35",F785&lt;45,"35-44",F785&lt;55,"44-54",F785&gt;=55,"55+")</f>
        <v>25-35</v>
      </c>
      <c r="H785" t="s">
        <v>30</v>
      </c>
      <c r="I785">
        <v>0</v>
      </c>
      <c r="J785" t="str" cm="1">
        <f t="array" ref="J785">_xlfn.IFS(I785&lt;=0,"No Dependents",I785&lt;=1,"One",I785&lt;=2,"Two",I785&gt;=3,"Third")</f>
        <v>No Dependents</v>
      </c>
      <c r="K785">
        <v>719</v>
      </c>
      <c r="L785" t="str" cm="1">
        <f t="array" ref="L785">_xlfn.IFS(K785&lt;=580,"Poor",K785&lt;=670,"fair",K785&lt;=740,"Good",K785&lt;=800,"Very Good",K785&gt;=800,"Excellent")</f>
        <v>Good</v>
      </c>
      <c r="M785">
        <v>1</v>
      </c>
      <c r="N785" t="str">
        <f t="shared" si="49"/>
        <v>Yes</v>
      </c>
      <c r="O785">
        <v>0.32</v>
      </c>
      <c r="P785" t="str" cm="1">
        <f t="array" ref="P785">_xlfn.IFS(O785&lt;=0.3,"Low Risk",O785&lt;=0.4,"medium Risk",O785&lt;=0.5,"High Risk",O785&gt;0.5,"Very High Risk")</f>
        <v>medium Risk</v>
      </c>
      <c r="Q785">
        <v>13406</v>
      </c>
      <c r="R785">
        <v>15021</v>
      </c>
      <c r="S785" t="str">
        <f t="shared" si="50"/>
        <v>Yes</v>
      </c>
      <c r="T785">
        <v>24813</v>
      </c>
      <c r="U785" t="str" cm="1">
        <f t="array" ref="U785">_xlfn.IFS(T785&lt;5000,"Small",T785&lt;20000,"Medium",T785&lt;35000,"Large",T785&gt;35000,"Very Large")</f>
        <v>Large</v>
      </c>
      <c r="V785">
        <v>84</v>
      </c>
      <c r="W785">
        <f t="shared" si="51"/>
        <v>7</v>
      </c>
      <c r="X785" t="s">
        <v>42</v>
      </c>
      <c r="Y785" t="s">
        <v>32</v>
      </c>
      <c r="Z785" t="s">
        <v>39</v>
      </c>
      <c r="AA785" t="s">
        <v>34</v>
      </c>
      <c r="AB785" t="s">
        <v>43</v>
      </c>
      <c r="AC785" t="s">
        <v>44</v>
      </c>
    </row>
    <row r="786" spans="1:29" x14ac:dyDescent="0.25">
      <c r="A786">
        <v>829</v>
      </c>
      <c r="B786">
        <v>4243</v>
      </c>
      <c r="C786">
        <v>7397</v>
      </c>
      <c r="D786">
        <f t="shared" si="48"/>
        <v>11640</v>
      </c>
      <c r="E786" t="s">
        <v>29</v>
      </c>
      <c r="F786">
        <v>42</v>
      </c>
      <c r="G786" t="str" cm="1">
        <f t="array" ref="G786">_xlfn.IFS(F786&lt;25,"18-24",F786&lt;35,"25-35",F786&lt;45,"35-44",F786&lt;55,"44-54",F786&gt;=55,"55+")</f>
        <v>35-44</v>
      </c>
      <c r="H786" t="s">
        <v>30</v>
      </c>
      <c r="I786">
        <v>2</v>
      </c>
      <c r="J786" t="str" cm="1">
        <f t="array" ref="J786">_xlfn.IFS(I786&lt;=0,"No Dependents",I786&lt;=1,"One",I786&lt;=2,"Two",I786&gt;=3,"Third")</f>
        <v>Two</v>
      </c>
      <c r="K786">
        <v>672</v>
      </c>
      <c r="L786" t="str" cm="1">
        <f t="array" ref="L786">_xlfn.IFS(K786&lt;=580,"Poor",K786&lt;=670,"fair",K786&lt;=740,"Good",K786&lt;=800,"Very Good",K786&gt;=800,"Excellent")</f>
        <v>Good</v>
      </c>
      <c r="M786">
        <v>3</v>
      </c>
      <c r="N786" t="str">
        <f t="shared" si="49"/>
        <v>Yes</v>
      </c>
      <c r="O786">
        <v>0.51</v>
      </c>
      <c r="P786" t="str" cm="1">
        <f t="array" ref="P786">_xlfn.IFS(O786&lt;=0.3,"Low Risk",O786&lt;=0.4,"medium Risk",O786&lt;=0.5,"High Risk",O786&gt;0.5,"Very High Risk")</f>
        <v>Very High Risk</v>
      </c>
      <c r="Q786">
        <v>0</v>
      </c>
      <c r="R786">
        <v>4327</v>
      </c>
      <c r="S786" t="str">
        <f t="shared" si="50"/>
        <v>Yes</v>
      </c>
      <c r="T786">
        <v>39255</v>
      </c>
      <c r="U786" t="str" cm="1">
        <f t="array" ref="U786">_xlfn.IFS(T786&lt;5000,"Small",T786&lt;20000,"Medium",T786&lt;35000,"Large",T786&gt;35000,"Very Large")</f>
        <v>Very Large</v>
      </c>
      <c r="V786">
        <v>60</v>
      </c>
      <c r="W786">
        <f t="shared" si="51"/>
        <v>5</v>
      </c>
      <c r="X786" t="s">
        <v>47</v>
      </c>
      <c r="Y786" t="s">
        <v>32</v>
      </c>
      <c r="Z786" t="s">
        <v>39</v>
      </c>
      <c r="AA786" t="s">
        <v>40</v>
      </c>
      <c r="AB786" t="s">
        <v>42</v>
      </c>
      <c r="AC786" t="s">
        <v>36</v>
      </c>
    </row>
    <row r="787" spans="1:29" x14ac:dyDescent="0.25">
      <c r="A787">
        <v>830</v>
      </c>
      <c r="B787">
        <v>6612</v>
      </c>
      <c r="C787">
        <v>0</v>
      </c>
      <c r="D787">
        <f t="shared" si="48"/>
        <v>6612</v>
      </c>
      <c r="E787" t="s">
        <v>49</v>
      </c>
      <c r="F787">
        <v>39</v>
      </c>
      <c r="G787" t="str" cm="1">
        <f t="array" ref="G787">_xlfn.IFS(F787&lt;25,"18-24",F787&lt;35,"25-35",F787&lt;45,"35-44",F787&lt;55,"44-54",F787&gt;=55,"55+")</f>
        <v>35-44</v>
      </c>
      <c r="H787" t="s">
        <v>41</v>
      </c>
      <c r="I787">
        <v>1</v>
      </c>
      <c r="J787" t="str" cm="1">
        <f t="array" ref="J787">_xlfn.IFS(I787&lt;=0,"No Dependents",I787&lt;=1,"One",I787&lt;=2,"Two",I787&gt;=3,"Third")</f>
        <v>One</v>
      </c>
      <c r="K787">
        <v>725</v>
      </c>
      <c r="L787" t="str" cm="1">
        <f t="array" ref="L787">_xlfn.IFS(K787&lt;=580,"Poor",K787&lt;=670,"fair",K787&lt;=740,"Good",K787&lt;=800,"Very Good",K787&gt;=800,"Excellent")</f>
        <v>Good</v>
      </c>
      <c r="M787">
        <v>2</v>
      </c>
      <c r="N787" t="str">
        <f t="shared" si="49"/>
        <v>Yes</v>
      </c>
      <c r="O787">
        <v>0.55000000000000004</v>
      </c>
      <c r="P787" t="str" cm="1">
        <f t="array" ref="P787">_xlfn.IFS(O787&lt;=0.3,"Low Risk",O787&lt;=0.4,"medium Risk",O787&lt;=0.5,"High Risk",O787&gt;0.5,"Very High Risk")</f>
        <v>Very High Risk</v>
      </c>
      <c r="Q787">
        <v>17743</v>
      </c>
      <c r="R787">
        <v>48043</v>
      </c>
      <c r="S787" t="str">
        <f t="shared" si="50"/>
        <v>Yes</v>
      </c>
      <c r="T787">
        <v>30520</v>
      </c>
      <c r="U787" t="str" cm="1">
        <f t="array" ref="U787">_xlfn.IFS(T787&lt;5000,"Small",T787&lt;20000,"Medium",T787&lt;35000,"Large",T787&gt;35000,"Very Large")</f>
        <v>Large</v>
      </c>
      <c r="V787">
        <v>72</v>
      </c>
      <c r="W787">
        <f t="shared" si="51"/>
        <v>6</v>
      </c>
      <c r="X787" t="s">
        <v>31</v>
      </c>
      <c r="Y787" t="s">
        <v>32</v>
      </c>
      <c r="Z787" t="s">
        <v>39</v>
      </c>
      <c r="AA787" t="s">
        <v>40</v>
      </c>
      <c r="AB787" t="s">
        <v>43</v>
      </c>
      <c r="AC787" t="s">
        <v>36</v>
      </c>
    </row>
    <row r="788" spans="1:29" x14ac:dyDescent="0.25">
      <c r="A788">
        <v>831</v>
      </c>
      <c r="B788">
        <v>15946</v>
      </c>
      <c r="C788">
        <v>9777</v>
      </c>
      <c r="D788">
        <f t="shared" si="48"/>
        <v>25723</v>
      </c>
      <c r="E788" t="s">
        <v>46</v>
      </c>
      <c r="F788">
        <v>21</v>
      </c>
      <c r="G788" t="str" cm="1">
        <f t="array" ref="G788">_xlfn.IFS(F788&lt;25,"18-24",F788&lt;35,"25-35",F788&lt;45,"35-44",F788&lt;55,"44-54",F788&gt;=55,"55+")</f>
        <v>18-24</v>
      </c>
      <c r="H788" t="s">
        <v>30</v>
      </c>
      <c r="I788">
        <v>3</v>
      </c>
      <c r="J788" t="str" cm="1">
        <f t="array" ref="J788">_xlfn.IFS(I788&lt;=0,"No Dependents",I788&lt;=1,"One",I788&lt;=2,"Two",I788&gt;=3,"Third")</f>
        <v>Third</v>
      </c>
      <c r="K788">
        <v>593</v>
      </c>
      <c r="L788" t="str" cm="1">
        <f t="array" ref="L788">_xlfn.IFS(K788&lt;=580,"Poor",K788&lt;=670,"fair",K788&lt;=740,"Good",K788&lt;=800,"Very Good",K788&gt;=800,"Excellent")</f>
        <v>fair</v>
      </c>
      <c r="M788">
        <v>2</v>
      </c>
      <c r="N788" t="str">
        <f t="shared" si="49"/>
        <v>Yes</v>
      </c>
      <c r="O788">
        <v>0.16</v>
      </c>
      <c r="P788" t="str" cm="1">
        <f t="array" ref="P788">_xlfn.IFS(O788&lt;=0.3,"Low Risk",O788&lt;=0.4,"medium Risk",O788&lt;=0.5,"High Risk",O788&gt;0.5,"Very High Risk")</f>
        <v>Low Risk</v>
      </c>
      <c r="Q788">
        <v>4853</v>
      </c>
      <c r="R788">
        <v>7614</v>
      </c>
      <c r="S788" t="str">
        <f t="shared" si="50"/>
        <v>Yes</v>
      </c>
      <c r="T788">
        <v>0</v>
      </c>
      <c r="U788" t="str" cm="1">
        <f t="array" ref="U788">_xlfn.IFS(T788&lt;5000,"Small",T788&lt;20000,"Medium",T788&lt;35000,"Large",T788&gt;35000,"Very Large")</f>
        <v>Small</v>
      </c>
      <c r="V788">
        <v>60</v>
      </c>
      <c r="W788">
        <f t="shared" si="51"/>
        <v>5</v>
      </c>
      <c r="X788" t="s">
        <v>42</v>
      </c>
      <c r="Y788" t="s">
        <v>32</v>
      </c>
      <c r="Z788" t="s">
        <v>39</v>
      </c>
      <c r="AA788" t="s">
        <v>34</v>
      </c>
      <c r="AB788" t="s">
        <v>43</v>
      </c>
      <c r="AC788" t="s">
        <v>36</v>
      </c>
    </row>
    <row r="789" spans="1:29" x14ac:dyDescent="0.25">
      <c r="A789">
        <v>832</v>
      </c>
      <c r="B789">
        <v>13104</v>
      </c>
      <c r="C789">
        <v>8258</v>
      </c>
      <c r="D789">
        <f t="shared" si="48"/>
        <v>21362</v>
      </c>
      <c r="E789" t="s">
        <v>46</v>
      </c>
      <c r="F789">
        <v>27</v>
      </c>
      <c r="G789" t="str" cm="1">
        <f t="array" ref="G789">_xlfn.IFS(F789&lt;25,"18-24",F789&lt;35,"25-35",F789&lt;45,"35-44",F789&lt;55,"44-54",F789&gt;=55,"55+")</f>
        <v>25-35</v>
      </c>
      <c r="H789" t="s">
        <v>30</v>
      </c>
      <c r="I789">
        <v>1</v>
      </c>
      <c r="J789" t="str" cm="1">
        <f t="array" ref="J789">_xlfn.IFS(I789&lt;=0,"No Dependents",I789&lt;=1,"One",I789&lt;=2,"Two",I789&gt;=3,"Third")</f>
        <v>One</v>
      </c>
      <c r="K789">
        <v>631</v>
      </c>
      <c r="L789" t="str" cm="1">
        <f t="array" ref="L789">_xlfn.IFS(K789&lt;=580,"Poor",K789&lt;=670,"fair",K789&lt;=740,"Good",K789&lt;=800,"Very Good",K789&gt;=800,"Excellent")</f>
        <v>fair</v>
      </c>
      <c r="M789">
        <v>3</v>
      </c>
      <c r="N789" t="str">
        <f t="shared" si="49"/>
        <v>Yes</v>
      </c>
      <c r="O789">
        <v>0.37</v>
      </c>
      <c r="P789" t="str" cm="1">
        <f t="array" ref="P789">_xlfn.IFS(O789&lt;=0.3,"Low Risk",O789&lt;=0.4,"medium Risk",O789&lt;=0.5,"High Risk",O789&gt;0.5,"Very High Risk")</f>
        <v>medium Risk</v>
      </c>
      <c r="Q789">
        <v>18325</v>
      </c>
      <c r="R789">
        <v>1245</v>
      </c>
      <c r="S789" t="str">
        <f t="shared" si="50"/>
        <v>Yes</v>
      </c>
      <c r="T789">
        <v>1236</v>
      </c>
      <c r="U789" t="str" cm="1">
        <f t="array" ref="U789">_xlfn.IFS(T789&lt;5000,"Small",T789&lt;20000,"Medium",T789&lt;35000,"Large",T789&gt;35000,"Very Large")</f>
        <v>Small</v>
      </c>
      <c r="V789">
        <v>60</v>
      </c>
      <c r="W789">
        <f t="shared" si="51"/>
        <v>5</v>
      </c>
      <c r="X789" t="s">
        <v>31</v>
      </c>
      <c r="Y789" t="s">
        <v>45</v>
      </c>
      <c r="Z789" t="s">
        <v>39</v>
      </c>
      <c r="AA789" t="s">
        <v>34</v>
      </c>
      <c r="AB789" t="s">
        <v>35</v>
      </c>
      <c r="AC789" t="s">
        <v>36</v>
      </c>
    </row>
    <row r="790" spans="1:29" x14ac:dyDescent="0.25">
      <c r="A790">
        <v>833</v>
      </c>
      <c r="B790">
        <v>15429</v>
      </c>
      <c r="C790">
        <v>7979</v>
      </c>
      <c r="D790">
        <f t="shared" si="48"/>
        <v>23408</v>
      </c>
      <c r="E790" t="s">
        <v>46</v>
      </c>
      <c r="F790">
        <v>24</v>
      </c>
      <c r="G790" t="str" cm="1">
        <f t="array" ref="G790">_xlfn.IFS(F790&lt;25,"18-24",F790&lt;35,"25-35",F790&lt;45,"35-44",F790&lt;55,"44-54",F790&gt;=55,"55+")</f>
        <v>18-24</v>
      </c>
      <c r="H790" t="s">
        <v>30</v>
      </c>
      <c r="I790">
        <v>3</v>
      </c>
      <c r="J790" t="str" cm="1">
        <f t="array" ref="J790">_xlfn.IFS(I790&lt;=0,"No Dependents",I790&lt;=1,"One",I790&lt;=2,"Two",I790&gt;=3,"Third")</f>
        <v>Third</v>
      </c>
      <c r="K790">
        <v>636</v>
      </c>
      <c r="L790" t="str" cm="1">
        <f t="array" ref="L790">_xlfn.IFS(K790&lt;=580,"Poor",K790&lt;=670,"fair",K790&lt;=740,"Good",K790&lt;=800,"Very Good",K790&gt;=800,"Excellent")</f>
        <v>fair</v>
      </c>
      <c r="M790">
        <v>4</v>
      </c>
      <c r="N790" t="str">
        <f t="shared" si="49"/>
        <v>Yes</v>
      </c>
      <c r="O790">
        <v>0.24</v>
      </c>
      <c r="P790" t="str" cm="1">
        <f t="array" ref="P790">_xlfn.IFS(O790&lt;=0.3,"Low Risk",O790&lt;=0.4,"medium Risk",O790&lt;=0.5,"High Risk",O790&gt;0.5,"Very High Risk")</f>
        <v>Low Risk</v>
      </c>
      <c r="Q790">
        <v>3148</v>
      </c>
      <c r="R790">
        <v>41011</v>
      </c>
      <c r="S790" t="str">
        <f t="shared" si="50"/>
        <v>Yes</v>
      </c>
      <c r="T790">
        <v>28350</v>
      </c>
      <c r="U790" t="str" cm="1">
        <f t="array" ref="U790">_xlfn.IFS(T790&lt;5000,"Small",T790&lt;20000,"Medium",T790&lt;35000,"Large",T790&gt;35000,"Very Large")</f>
        <v>Large</v>
      </c>
      <c r="V790">
        <v>48</v>
      </c>
      <c r="W790">
        <f t="shared" si="51"/>
        <v>4</v>
      </c>
      <c r="X790" t="s">
        <v>37</v>
      </c>
      <c r="Y790" t="s">
        <v>32</v>
      </c>
      <c r="Z790" t="s">
        <v>39</v>
      </c>
      <c r="AA790" t="s">
        <v>40</v>
      </c>
      <c r="AB790" t="s">
        <v>43</v>
      </c>
      <c r="AC790" t="s">
        <v>36</v>
      </c>
    </row>
    <row r="791" spans="1:29" x14ac:dyDescent="0.25">
      <c r="A791">
        <v>834</v>
      </c>
      <c r="B791">
        <v>8371</v>
      </c>
      <c r="C791">
        <v>2428</v>
      </c>
      <c r="D791">
        <f t="shared" si="48"/>
        <v>10799</v>
      </c>
      <c r="E791" t="s">
        <v>29</v>
      </c>
      <c r="F791">
        <v>21</v>
      </c>
      <c r="G791" t="str" cm="1">
        <f t="array" ref="G791">_xlfn.IFS(F791&lt;25,"18-24",F791&lt;35,"25-35",F791&lt;45,"35-44",F791&lt;55,"44-54",F791&gt;=55,"55+")</f>
        <v>18-24</v>
      </c>
      <c r="H791" t="s">
        <v>41</v>
      </c>
      <c r="I791">
        <v>0</v>
      </c>
      <c r="J791" t="str" cm="1">
        <f t="array" ref="J791">_xlfn.IFS(I791&lt;=0,"No Dependents",I791&lt;=1,"One",I791&lt;=2,"Two",I791&gt;=3,"Third")</f>
        <v>No Dependents</v>
      </c>
      <c r="K791">
        <v>774</v>
      </c>
      <c r="L791" t="str" cm="1">
        <f t="array" ref="L791">_xlfn.IFS(K791&lt;=580,"Poor",K791&lt;=670,"fair",K791&lt;=740,"Good",K791&lt;=800,"Very Good",K791&gt;=800,"Excellent")</f>
        <v>Very Good</v>
      </c>
      <c r="M791">
        <v>2</v>
      </c>
      <c r="N791" t="str">
        <f t="shared" si="49"/>
        <v>Yes</v>
      </c>
      <c r="O791">
        <v>0.12</v>
      </c>
      <c r="P791" t="str" cm="1">
        <f t="array" ref="P791">_xlfn.IFS(O791&lt;=0.3,"Low Risk",O791&lt;=0.4,"medium Risk",O791&lt;=0.5,"High Risk",O791&gt;0.5,"Very High Risk")</f>
        <v>Low Risk</v>
      </c>
      <c r="Q791">
        <v>16243</v>
      </c>
      <c r="R791">
        <v>10355</v>
      </c>
      <c r="S791" t="str">
        <f t="shared" si="50"/>
        <v>Yes</v>
      </c>
      <c r="T791">
        <v>12549</v>
      </c>
      <c r="U791" t="str" cm="1">
        <f t="array" ref="U791">_xlfn.IFS(T791&lt;5000,"Small",T791&lt;20000,"Medium",T791&lt;35000,"Large",T791&gt;35000,"Very Large")</f>
        <v>Medium</v>
      </c>
      <c r="V791">
        <v>12</v>
      </c>
      <c r="W791">
        <f t="shared" si="51"/>
        <v>1</v>
      </c>
      <c r="X791" t="s">
        <v>42</v>
      </c>
      <c r="Y791" t="s">
        <v>32</v>
      </c>
      <c r="Z791" t="s">
        <v>39</v>
      </c>
      <c r="AA791" t="s">
        <v>40</v>
      </c>
      <c r="AB791" t="s">
        <v>42</v>
      </c>
      <c r="AC791" t="s">
        <v>44</v>
      </c>
    </row>
    <row r="792" spans="1:29" x14ac:dyDescent="0.25">
      <c r="A792">
        <v>835</v>
      </c>
      <c r="B792">
        <v>8359</v>
      </c>
      <c r="C792">
        <v>7426</v>
      </c>
      <c r="D792">
        <f t="shared" si="48"/>
        <v>15785</v>
      </c>
      <c r="E792" t="s">
        <v>29</v>
      </c>
      <c r="F792">
        <v>35</v>
      </c>
      <c r="G792" t="str" cm="1">
        <f t="array" ref="G792">_xlfn.IFS(F792&lt;25,"18-24",F792&lt;35,"25-35",F792&lt;45,"35-44",F792&lt;55,"44-54",F792&gt;=55,"55+")</f>
        <v>35-44</v>
      </c>
      <c r="H792" t="s">
        <v>41</v>
      </c>
      <c r="I792">
        <v>2</v>
      </c>
      <c r="J792" t="str" cm="1">
        <f t="array" ref="J792">_xlfn.IFS(I792&lt;=0,"No Dependents",I792&lt;=1,"One",I792&lt;=2,"Two",I792&gt;=3,"Third")</f>
        <v>Two</v>
      </c>
      <c r="K792">
        <v>565</v>
      </c>
      <c r="L792" t="str" cm="1">
        <f t="array" ref="L792">_xlfn.IFS(K792&lt;=580,"Poor",K792&lt;=670,"fair",K792&lt;=740,"Good",K792&lt;=800,"Very Good",K792&gt;=800,"Excellent")</f>
        <v>Poor</v>
      </c>
      <c r="M792">
        <v>1</v>
      </c>
      <c r="N792" t="str">
        <f t="shared" si="49"/>
        <v>Yes</v>
      </c>
      <c r="O792">
        <v>0.35</v>
      </c>
      <c r="P792" t="str" cm="1">
        <f t="array" ref="P792">_xlfn.IFS(O792&lt;=0.3,"Low Risk",O792&lt;=0.4,"medium Risk",O792&lt;=0.5,"High Risk",O792&gt;0.5,"Very High Risk")</f>
        <v>medium Risk</v>
      </c>
      <c r="Q792">
        <v>7933</v>
      </c>
      <c r="R792">
        <v>33305</v>
      </c>
      <c r="S792" t="str">
        <f t="shared" si="50"/>
        <v>Yes</v>
      </c>
      <c r="T792">
        <v>28453</v>
      </c>
      <c r="U792" t="str" cm="1">
        <f t="array" ref="U792">_xlfn.IFS(T792&lt;5000,"Small",T792&lt;20000,"Medium",T792&lt;35000,"Large",T792&gt;35000,"Very Large")</f>
        <v>Large</v>
      </c>
      <c r="V792">
        <v>60</v>
      </c>
      <c r="W792">
        <f t="shared" si="51"/>
        <v>5</v>
      </c>
      <c r="X792" t="s">
        <v>50</v>
      </c>
      <c r="Y792" t="s">
        <v>38</v>
      </c>
      <c r="Z792" t="s">
        <v>39</v>
      </c>
      <c r="AA792" t="s">
        <v>34</v>
      </c>
      <c r="AB792" t="s">
        <v>43</v>
      </c>
      <c r="AC792" t="s">
        <v>36</v>
      </c>
    </row>
    <row r="793" spans="1:29" x14ac:dyDescent="0.25">
      <c r="A793">
        <v>836</v>
      </c>
      <c r="B793">
        <v>9863</v>
      </c>
      <c r="C793">
        <v>8533</v>
      </c>
      <c r="D793">
        <f t="shared" si="48"/>
        <v>18396</v>
      </c>
      <c r="E793" t="s">
        <v>29</v>
      </c>
      <c r="F793">
        <v>32</v>
      </c>
      <c r="G793" t="str" cm="1">
        <f t="array" ref="G793">_xlfn.IFS(F793&lt;25,"18-24",F793&lt;35,"25-35",F793&lt;45,"35-44",F793&lt;55,"44-54",F793&gt;=55,"55+")</f>
        <v>25-35</v>
      </c>
      <c r="H793" t="s">
        <v>30</v>
      </c>
      <c r="I793">
        <v>2</v>
      </c>
      <c r="J793" t="str" cm="1">
        <f t="array" ref="J793">_xlfn.IFS(I793&lt;=0,"No Dependents",I793&lt;=1,"One",I793&lt;=2,"Two",I793&gt;=3,"Third")</f>
        <v>Two</v>
      </c>
      <c r="K793">
        <v>603</v>
      </c>
      <c r="L793" t="str" cm="1">
        <f t="array" ref="L793">_xlfn.IFS(K793&lt;=580,"Poor",K793&lt;=670,"fair",K793&lt;=740,"Good",K793&lt;=800,"Very Good",K793&gt;=800,"Excellent")</f>
        <v>fair</v>
      </c>
      <c r="M793">
        <v>0</v>
      </c>
      <c r="N793" t="str">
        <f t="shared" si="49"/>
        <v>No</v>
      </c>
      <c r="O793">
        <v>0.53</v>
      </c>
      <c r="P793" t="str" cm="1">
        <f t="array" ref="P793">_xlfn.IFS(O793&lt;=0.3,"Low Risk",O793&lt;=0.4,"medium Risk",O793&lt;=0.5,"High Risk",O793&gt;0.5,"Very High Risk")</f>
        <v>Very High Risk</v>
      </c>
      <c r="Q793">
        <v>9436</v>
      </c>
      <c r="R793">
        <v>48692</v>
      </c>
      <c r="S793" t="str">
        <f t="shared" si="50"/>
        <v>Yes</v>
      </c>
      <c r="T793">
        <v>36191</v>
      </c>
      <c r="U793" t="str" cm="1">
        <f t="array" ref="U793">_xlfn.IFS(T793&lt;5000,"Small",T793&lt;20000,"Medium",T793&lt;35000,"Large",T793&gt;35000,"Very Large")</f>
        <v>Very Large</v>
      </c>
      <c r="V793">
        <v>24</v>
      </c>
      <c r="W793">
        <f t="shared" si="51"/>
        <v>2</v>
      </c>
      <c r="X793" t="s">
        <v>37</v>
      </c>
      <c r="Y793" t="s">
        <v>38</v>
      </c>
      <c r="Z793" t="s">
        <v>39</v>
      </c>
      <c r="AA793" t="s">
        <v>40</v>
      </c>
      <c r="AB793" t="s">
        <v>51</v>
      </c>
      <c r="AC793" t="s">
        <v>36</v>
      </c>
    </row>
    <row r="794" spans="1:29" x14ac:dyDescent="0.25">
      <c r="A794">
        <v>837</v>
      </c>
      <c r="B794">
        <v>5228</v>
      </c>
      <c r="C794">
        <v>5249</v>
      </c>
      <c r="D794">
        <f t="shared" si="48"/>
        <v>10477</v>
      </c>
      <c r="E794" t="s">
        <v>29</v>
      </c>
      <c r="F794">
        <v>42</v>
      </c>
      <c r="G794" t="str" cm="1">
        <f t="array" ref="G794">_xlfn.IFS(F794&lt;25,"18-24",F794&lt;35,"25-35",F794&lt;45,"35-44",F794&lt;55,"44-54",F794&gt;=55,"55+")</f>
        <v>35-44</v>
      </c>
      <c r="H794" t="s">
        <v>41</v>
      </c>
      <c r="I794">
        <v>1</v>
      </c>
      <c r="J794" t="str" cm="1">
        <f t="array" ref="J794">_xlfn.IFS(I794&lt;=0,"No Dependents",I794&lt;=1,"One",I794&lt;=2,"Two",I794&gt;=3,"Third")</f>
        <v>One</v>
      </c>
      <c r="K794">
        <v>550</v>
      </c>
      <c r="L794" t="str" cm="1">
        <f t="array" ref="L794">_xlfn.IFS(K794&lt;=580,"Poor",K794&lt;=670,"fair",K794&lt;=740,"Good",K794&lt;=800,"Very Good",K794&gt;=800,"Excellent")</f>
        <v>Poor</v>
      </c>
      <c r="M794">
        <v>0</v>
      </c>
      <c r="N794" t="str">
        <f t="shared" si="49"/>
        <v>No</v>
      </c>
      <c r="O794">
        <v>0.18</v>
      </c>
      <c r="P794" t="str" cm="1">
        <f t="array" ref="P794">_xlfn.IFS(O794&lt;=0.3,"Low Risk",O794&lt;=0.4,"medium Risk",O794&lt;=0.5,"High Risk",O794&gt;0.5,"Very High Risk")</f>
        <v>Low Risk</v>
      </c>
      <c r="Q794">
        <v>17669</v>
      </c>
      <c r="R794">
        <v>0</v>
      </c>
      <c r="S794" t="str">
        <f t="shared" si="50"/>
        <v>No</v>
      </c>
      <c r="T794">
        <v>13906</v>
      </c>
      <c r="U794" t="str" cm="1">
        <f t="array" ref="U794">_xlfn.IFS(T794&lt;5000,"Small",T794&lt;20000,"Medium",T794&lt;35000,"Large",T794&gt;35000,"Very Large")</f>
        <v>Medium</v>
      </c>
      <c r="V794">
        <v>84</v>
      </c>
      <c r="W794">
        <f t="shared" si="51"/>
        <v>7</v>
      </c>
      <c r="X794" t="s">
        <v>47</v>
      </c>
      <c r="Y794" t="s">
        <v>32</v>
      </c>
      <c r="Z794" t="s">
        <v>39</v>
      </c>
      <c r="AA794" t="s">
        <v>34</v>
      </c>
      <c r="AB794" t="s">
        <v>35</v>
      </c>
      <c r="AC794" t="s">
        <v>44</v>
      </c>
    </row>
    <row r="795" spans="1:29" x14ac:dyDescent="0.25">
      <c r="A795">
        <v>838</v>
      </c>
      <c r="B795">
        <v>16382</v>
      </c>
      <c r="C795">
        <v>5291</v>
      </c>
      <c r="D795">
        <f t="shared" si="48"/>
        <v>21673</v>
      </c>
      <c r="E795" t="s">
        <v>46</v>
      </c>
      <c r="F795">
        <v>42</v>
      </c>
      <c r="G795" t="str" cm="1">
        <f t="array" ref="G795">_xlfn.IFS(F795&lt;25,"18-24",F795&lt;35,"25-35",F795&lt;45,"35-44",F795&lt;55,"44-54",F795&gt;=55,"55+")</f>
        <v>35-44</v>
      </c>
      <c r="H795" t="s">
        <v>41</v>
      </c>
      <c r="I795">
        <v>2</v>
      </c>
      <c r="J795" t="str" cm="1">
        <f t="array" ref="J795">_xlfn.IFS(I795&lt;=0,"No Dependents",I795&lt;=1,"One",I795&lt;=2,"Two",I795&gt;=3,"Third")</f>
        <v>Two</v>
      </c>
      <c r="K795">
        <v>712</v>
      </c>
      <c r="L795" t="str" cm="1">
        <f t="array" ref="L795">_xlfn.IFS(K795&lt;=580,"Poor",K795&lt;=670,"fair",K795&lt;=740,"Good",K795&lt;=800,"Very Good",K795&gt;=800,"Excellent")</f>
        <v>Good</v>
      </c>
      <c r="M795">
        <v>4</v>
      </c>
      <c r="N795" t="str">
        <f t="shared" si="49"/>
        <v>Yes</v>
      </c>
      <c r="O795">
        <v>0.51</v>
      </c>
      <c r="P795" t="str" cm="1">
        <f t="array" ref="P795">_xlfn.IFS(O795&lt;=0.3,"Low Risk",O795&lt;=0.4,"medium Risk",O795&lt;=0.5,"High Risk",O795&gt;0.5,"Very High Risk")</f>
        <v>Very High Risk</v>
      </c>
      <c r="Q795">
        <v>0</v>
      </c>
      <c r="R795">
        <v>49692</v>
      </c>
      <c r="S795" t="str">
        <f t="shared" si="50"/>
        <v>Yes</v>
      </c>
      <c r="T795">
        <v>15988</v>
      </c>
      <c r="U795" t="str" cm="1">
        <f t="array" ref="U795">_xlfn.IFS(T795&lt;5000,"Small",T795&lt;20000,"Medium",T795&lt;35000,"Large",T795&gt;35000,"Very Large")</f>
        <v>Medium</v>
      </c>
      <c r="V795">
        <v>84</v>
      </c>
      <c r="W795">
        <f t="shared" si="51"/>
        <v>7</v>
      </c>
      <c r="X795" t="s">
        <v>47</v>
      </c>
      <c r="Y795" t="s">
        <v>32</v>
      </c>
      <c r="Z795" t="s">
        <v>33</v>
      </c>
      <c r="AA795" t="s">
        <v>34</v>
      </c>
      <c r="AB795" t="s">
        <v>35</v>
      </c>
      <c r="AC795" t="s">
        <v>36</v>
      </c>
    </row>
    <row r="796" spans="1:29" x14ac:dyDescent="0.25">
      <c r="A796">
        <v>839</v>
      </c>
      <c r="B796">
        <v>0</v>
      </c>
      <c r="C796">
        <v>2817</v>
      </c>
      <c r="D796">
        <f t="shared" si="48"/>
        <v>2817</v>
      </c>
      <c r="E796" t="s">
        <v>29</v>
      </c>
      <c r="F796">
        <v>37</v>
      </c>
      <c r="G796" t="str" cm="1">
        <f t="array" ref="G796">_xlfn.IFS(F796&lt;25,"18-24",F796&lt;35,"25-35",F796&lt;45,"35-44",F796&lt;55,"44-54",F796&gt;=55,"55+")</f>
        <v>35-44</v>
      </c>
      <c r="H796" t="s">
        <v>30</v>
      </c>
      <c r="I796">
        <v>1</v>
      </c>
      <c r="J796" t="str" cm="1">
        <f t="array" ref="J796">_xlfn.IFS(I796&lt;=0,"No Dependents",I796&lt;=1,"One",I796&lt;=2,"Two",I796&gt;=3,"Third")</f>
        <v>One</v>
      </c>
      <c r="K796">
        <v>647</v>
      </c>
      <c r="L796" t="str" cm="1">
        <f t="array" ref="L796">_xlfn.IFS(K796&lt;=580,"Poor",K796&lt;=670,"fair",K796&lt;=740,"Good",K796&lt;=800,"Very Good",K796&gt;=800,"Excellent")</f>
        <v>fair</v>
      </c>
      <c r="M796">
        <v>0</v>
      </c>
      <c r="N796" t="str">
        <f t="shared" si="49"/>
        <v>No</v>
      </c>
      <c r="O796">
        <v>0.35</v>
      </c>
      <c r="P796" t="str" cm="1">
        <f t="array" ref="P796">_xlfn.IFS(O796&lt;=0.3,"Low Risk",O796&lt;=0.4,"medium Risk",O796&lt;=0.5,"High Risk",O796&gt;0.5,"Very High Risk")</f>
        <v>medium Risk</v>
      </c>
      <c r="Q796">
        <v>14679</v>
      </c>
      <c r="R796">
        <v>0</v>
      </c>
      <c r="S796" t="str">
        <f t="shared" si="50"/>
        <v>No</v>
      </c>
      <c r="T796">
        <v>28723</v>
      </c>
      <c r="U796" t="str" cm="1">
        <f t="array" ref="U796">_xlfn.IFS(T796&lt;5000,"Small",T796&lt;20000,"Medium",T796&lt;35000,"Large",T796&gt;35000,"Very Large")</f>
        <v>Large</v>
      </c>
      <c r="V796">
        <v>24</v>
      </c>
      <c r="W796">
        <f t="shared" si="51"/>
        <v>2</v>
      </c>
      <c r="X796" t="s">
        <v>42</v>
      </c>
      <c r="Y796" t="s">
        <v>45</v>
      </c>
      <c r="Z796" t="s">
        <v>39</v>
      </c>
      <c r="AA796" t="s">
        <v>40</v>
      </c>
      <c r="AB796" t="s">
        <v>35</v>
      </c>
      <c r="AC796" t="s">
        <v>36</v>
      </c>
    </row>
    <row r="797" spans="1:29" x14ac:dyDescent="0.25">
      <c r="A797">
        <v>840</v>
      </c>
      <c r="B797">
        <v>5756</v>
      </c>
      <c r="C797">
        <v>9424</v>
      </c>
      <c r="D797">
        <f t="shared" si="48"/>
        <v>15180</v>
      </c>
      <c r="E797" t="s">
        <v>48</v>
      </c>
      <c r="F797">
        <v>49</v>
      </c>
      <c r="G797" t="str" cm="1">
        <f t="array" ref="G797">_xlfn.IFS(F797&lt;25,"18-24",F797&lt;35,"25-35",F797&lt;45,"35-44",F797&lt;55,"44-54",F797&gt;=55,"55+")</f>
        <v>44-54</v>
      </c>
      <c r="H797" t="s">
        <v>30</v>
      </c>
      <c r="I797">
        <v>1</v>
      </c>
      <c r="J797" t="str" cm="1">
        <f t="array" ref="J797">_xlfn.IFS(I797&lt;=0,"No Dependents",I797&lt;=1,"One",I797&lt;=2,"Two",I797&gt;=3,"Third")</f>
        <v>One</v>
      </c>
      <c r="K797">
        <v>705</v>
      </c>
      <c r="L797" t="str" cm="1">
        <f t="array" ref="L797">_xlfn.IFS(K797&lt;=580,"Poor",K797&lt;=670,"fair",K797&lt;=740,"Good",K797&lt;=800,"Very Good",K797&gt;=800,"Excellent")</f>
        <v>Good</v>
      </c>
      <c r="M797">
        <v>1</v>
      </c>
      <c r="N797" t="str">
        <f t="shared" si="49"/>
        <v>Yes</v>
      </c>
      <c r="O797">
        <v>0.56000000000000005</v>
      </c>
      <c r="P797" t="str" cm="1">
        <f t="array" ref="P797">_xlfn.IFS(O797&lt;=0.3,"Low Risk",O797&lt;=0.4,"medium Risk",O797&lt;=0.5,"High Risk",O797&gt;0.5,"Very High Risk")</f>
        <v>Very High Risk</v>
      </c>
      <c r="Q797">
        <v>11228</v>
      </c>
      <c r="R797">
        <v>0</v>
      </c>
      <c r="S797" t="str">
        <f t="shared" si="50"/>
        <v>No</v>
      </c>
      <c r="T797">
        <v>34800</v>
      </c>
      <c r="U797" t="str" cm="1">
        <f t="array" ref="U797">_xlfn.IFS(T797&lt;5000,"Small",T797&lt;20000,"Medium",T797&lt;35000,"Large",T797&gt;35000,"Very Large")</f>
        <v>Large</v>
      </c>
      <c r="V797">
        <v>36</v>
      </c>
      <c r="W797">
        <f t="shared" si="51"/>
        <v>3</v>
      </c>
      <c r="X797" t="s">
        <v>31</v>
      </c>
      <c r="Y797" t="s">
        <v>32</v>
      </c>
      <c r="Z797" t="s">
        <v>39</v>
      </c>
      <c r="AA797" t="s">
        <v>40</v>
      </c>
      <c r="AB797" t="s">
        <v>42</v>
      </c>
      <c r="AC797" t="s">
        <v>36</v>
      </c>
    </row>
    <row r="798" spans="1:29" x14ac:dyDescent="0.25">
      <c r="A798">
        <v>841</v>
      </c>
      <c r="B798">
        <v>17770</v>
      </c>
      <c r="C798">
        <v>3874</v>
      </c>
      <c r="D798">
        <f t="shared" si="48"/>
        <v>21644</v>
      </c>
      <c r="E798" t="s">
        <v>49</v>
      </c>
      <c r="F798">
        <v>34</v>
      </c>
      <c r="G798" t="str" cm="1">
        <f t="array" ref="G798">_xlfn.IFS(F798&lt;25,"18-24",F798&lt;35,"25-35",F798&lt;45,"35-44",F798&lt;55,"44-54",F798&gt;=55,"55+")</f>
        <v>25-35</v>
      </c>
      <c r="H798" t="s">
        <v>30</v>
      </c>
      <c r="I798">
        <v>3</v>
      </c>
      <c r="J798" t="str" cm="1">
        <f t="array" ref="J798">_xlfn.IFS(I798&lt;=0,"No Dependents",I798&lt;=1,"One",I798&lt;=2,"Two",I798&gt;=3,"Third")</f>
        <v>Third</v>
      </c>
      <c r="K798">
        <v>551</v>
      </c>
      <c r="L798" t="str" cm="1">
        <f t="array" ref="L798">_xlfn.IFS(K798&lt;=580,"Poor",K798&lt;=670,"fair",K798&lt;=740,"Good",K798&lt;=800,"Very Good",K798&gt;=800,"Excellent")</f>
        <v>Poor</v>
      </c>
      <c r="M798">
        <v>1</v>
      </c>
      <c r="N798" t="str">
        <f t="shared" si="49"/>
        <v>Yes</v>
      </c>
      <c r="O798">
        <v>0.23</v>
      </c>
      <c r="P798" t="str" cm="1">
        <f t="array" ref="P798">_xlfn.IFS(O798&lt;=0.3,"Low Risk",O798&lt;=0.4,"medium Risk",O798&lt;=0.5,"High Risk",O798&gt;0.5,"Very High Risk")</f>
        <v>Low Risk</v>
      </c>
      <c r="Q798">
        <v>770</v>
      </c>
      <c r="R798">
        <v>1415</v>
      </c>
      <c r="S798" t="str">
        <f t="shared" si="50"/>
        <v>Yes</v>
      </c>
      <c r="T798">
        <v>28430</v>
      </c>
      <c r="U798" t="str" cm="1">
        <f t="array" ref="U798">_xlfn.IFS(T798&lt;5000,"Small",T798&lt;20000,"Medium",T798&lt;35000,"Large",T798&gt;35000,"Very Large")</f>
        <v>Large</v>
      </c>
      <c r="V798">
        <v>60</v>
      </c>
      <c r="W798">
        <f t="shared" si="51"/>
        <v>5</v>
      </c>
      <c r="X798" t="s">
        <v>50</v>
      </c>
      <c r="Y798" t="s">
        <v>32</v>
      </c>
      <c r="Z798" t="s">
        <v>39</v>
      </c>
      <c r="AA798" t="s">
        <v>40</v>
      </c>
      <c r="AB798" t="s">
        <v>35</v>
      </c>
      <c r="AC798" t="s">
        <v>36</v>
      </c>
    </row>
    <row r="799" spans="1:29" x14ac:dyDescent="0.25">
      <c r="A799">
        <v>842</v>
      </c>
      <c r="B799">
        <v>0</v>
      </c>
      <c r="C799">
        <v>9686</v>
      </c>
      <c r="D799">
        <f t="shared" si="48"/>
        <v>9686</v>
      </c>
      <c r="E799" t="s">
        <v>29</v>
      </c>
      <c r="F799">
        <v>40</v>
      </c>
      <c r="G799" t="str" cm="1">
        <f t="array" ref="G799">_xlfn.IFS(F799&lt;25,"18-24",F799&lt;35,"25-35",F799&lt;45,"35-44",F799&lt;55,"44-54",F799&gt;=55,"55+")</f>
        <v>35-44</v>
      </c>
      <c r="H799" t="s">
        <v>41</v>
      </c>
      <c r="I799">
        <v>1</v>
      </c>
      <c r="J799" t="str" cm="1">
        <f t="array" ref="J799">_xlfn.IFS(I799&lt;=0,"No Dependents",I799&lt;=1,"One",I799&lt;=2,"Two",I799&gt;=3,"Third")</f>
        <v>One</v>
      </c>
      <c r="K799">
        <v>643</v>
      </c>
      <c r="L799" t="str" cm="1">
        <f t="array" ref="L799">_xlfn.IFS(K799&lt;=580,"Poor",K799&lt;=670,"fair",K799&lt;=740,"Good",K799&lt;=800,"Very Good",K799&gt;=800,"Excellent")</f>
        <v>fair</v>
      </c>
      <c r="M799">
        <v>3</v>
      </c>
      <c r="N799" t="str">
        <f t="shared" si="49"/>
        <v>Yes</v>
      </c>
      <c r="O799">
        <v>0.55000000000000004</v>
      </c>
      <c r="P799" t="str" cm="1">
        <f t="array" ref="P799">_xlfn.IFS(O799&lt;=0.3,"Low Risk",O799&lt;=0.4,"medium Risk",O799&lt;=0.5,"High Risk",O799&gt;0.5,"Very High Risk")</f>
        <v>Very High Risk</v>
      </c>
      <c r="Q799">
        <v>1843</v>
      </c>
      <c r="R799">
        <v>43798</v>
      </c>
      <c r="S799" t="str">
        <f t="shared" si="50"/>
        <v>Yes</v>
      </c>
      <c r="T799">
        <v>33535</v>
      </c>
      <c r="U799" t="str" cm="1">
        <f t="array" ref="U799">_xlfn.IFS(T799&lt;5000,"Small",T799&lt;20000,"Medium",T799&lt;35000,"Large",T799&gt;35000,"Very Large")</f>
        <v>Large</v>
      </c>
      <c r="V799">
        <v>60</v>
      </c>
      <c r="W799">
        <f t="shared" si="51"/>
        <v>5</v>
      </c>
      <c r="X799" t="s">
        <v>42</v>
      </c>
      <c r="Y799" t="s">
        <v>32</v>
      </c>
      <c r="Z799" t="s">
        <v>33</v>
      </c>
      <c r="AA799" t="s">
        <v>40</v>
      </c>
      <c r="AB799" t="s">
        <v>43</v>
      </c>
      <c r="AC799" t="s">
        <v>36</v>
      </c>
    </row>
    <row r="800" spans="1:29" x14ac:dyDescent="0.25">
      <c r="A800">
        <v>843</v>
      </c>
      <c r="B800">
        <v>4674</v>
      </c>
      <c r="C800">
        <v>4211</v>
      </c>
      <c r="D800">
        <f t="shared" si="48"/>
        <v>8885</v>
      </c>
      <c r="E800" t="s">
        <v>29</v>
      </c>
      <c r="F800">
        <v>53</v>
      </c>
      <c r="G800" t="str" cm="1">
        <f t="array" ref="G800">_xlfn.IFS(F800&lt;25,"18-24",F800&lt;35,"25-35",F800&lt;45,"35-44",F800&lt;55,"44-54",F800&gt;=55,"55+")</f>
        <v>44-54</v>
      </c>
      <c r="H800" t="s">
        <v>30</v>
      </c>
      <c r="I800">
        <v>3</v>
      </c>
      <c r="J800" t="str" cm="1">
        <f t="array" ref="J800">_xlfn.IFS(I800&lt;=0,"No Dependents",I800&lt;=1,"One",I800&lt;=2,"Two",I800&gt;=3,"Third")</f>
        <v>Third</v>
      </c>
      <c r="K800">
        <v>550</v>
      </c>
      <c r="L800" t="str" cm="1">
        <f t="array" ref="L800">_xlfn.IFS(K800&lt;=580,"Poor",K800&lt;=670,"fair",K800&lt;=740,"Good",K800&lt;=800,"Very Good",K800&gt;=800,"Excellent")</f>
        <v>Poor</v>
      </c>
      <c r="M800">
        <v>4</v>
      </c>
      <c r="N800" t="str">
        <f t="shared" si="49"/>
        <v>Yes</v>
      </c>
      <c r="O800">
        <v>0.26</v>
      </c>
      <c r="P800" t="str" cm="1">
        <f t="array" ref="P800">_xlfn.IFS(O800&lt;=0.3,"Low Risk",O800&lt;=0.4,"medium Risk",O800&lt;=0.5,"High Risk",O800&gt;0.5,"Very High Risk")</f>
        <v>Low Risk</v>
      </c>
      <c r="Q800">
        <v>73</v>
      </c>
      <c r="R800">
        <v>1652</v>
      </c>
      <c r="S800" t="str">
        <f t="shared" si="50"/>
        <v>Yes</v>
      </c>
      <c r="T800">
        <v>3940</v>
      </c>
      <c r="U800" t="str" cm="1">
        <f t="array" ref="U800">_xlfn.IFS(T800&lt;5000,"Small",T800&lt;20000,"Medium",T800&lt;35000,"Large",T800&gt;35000,"Very Large")</f>
        <v>Small</v>
      </c>
      <c r="V800">
        <v>60</v>
      </c>
      <c r="W800">
        <f t="shared" si="51"/>
        <v>5</v>
      </c>
      <c r="X800" t="s">
        <v>47</v>
      </c>
      <c r="Y800" t="s">
        <v>32</v>
      </c>
      <c r="Z800" t="s">
        <v>39</v>
      </c>
      <c r="AA800" t="s">
        <v>34</v>
      </c>
      <c r="AB800" t="s">
        <v>43</v>
      </c>
      <c r="AC800" t="s">
        <v>44</v>
      </c>
    </row>
    <row r="801" spans="1:29" x14ac:dyDescent="0.25">
      <c r="A801">
        <v>844</v>
      </c>
      <c r="B801">
        <v>8898</v>
      </c>
      <c r="C801">
        <v>661</v>
      </c>
      <c r="D801">
        <f t="shared" si="48"/>
        <v>9559</v>
      </c>
      <c r="E801" t="s">
        <v>49</v>
      </c>
      <c r="F801">
        <v>35</v>
      </c>
      <c r="G801" t="str" cm="1">
        <f t="array" ref="G801">_xlfn.IFS(F801&lt;25,"18-24",F801&lt;35,"25-35",F801&lt;45,"35-44",F801&lt;55,"44-54",F801&gt;=55,"55+")</f>
        <v>35-44</v>
      </c>
      <c r="H801" t="s">
        <v>41</v>
      </c>
      <c r="I801">
        <v>2</v>
      </c>
      <c r="J801" t="str" cm="1">
        <f t="array" ref="J801">_xlfn.IFS(I801&lt;=0,"No Dependents",I801&lt;=1,"One",I801&lt;=2,"Two",I801&gt;=3,"Third")</f>
        <v>Two</v>
      </c>
      <c r="K801">
        <v>718</v>
      </c>
      <c r="L801" t="str" cm="1">
        <f t="array" ref="L801">_xlfn.IFS(K801&lt;=580,"Poor",K801&lt;=670,"fair",K801&lt;=740,"Good",K801&lt;=800,"Very Good",K801&gt;=800,"Excellent")</f>
        <v>Good</v>
      </c>
      <c r="M801">
        <v>3</v>
      </c>
      <c r="N801" t="str">
        <f t="shared" si="49"/>
        <v>Yes</v>
      </c>
      <c r="O801">
        <v>0.38</v>
      </c>
      <c r="P801" t="str" cm="1">
        <f t="array" ref="P801">_xlfn.IFS(O801&lt;=0.3,"Low Risk",O801&lt;=0.4,"medium Risk",O801&lt;=0.5,"High Risk",O801&gt;0.5,"Very High Risk")</f>
        <v>medium Risk</v>
      </c>
      <c r="Q801">
        <v>18044</v>
      </c>
      <c r="R801">
        <v>43625</v>
      </c>
      <c r="S801" t="str">
        <f t="shared" si="50"/>
        <v>Yes</v>
      </c>
      <c r="T801">
        <v>22793</v>
      </c>
      <c r="U801" t="str" cm="1">
        <f t="array" ref="U801">_xlfn.IFS(T801&lt;5000,"Small",T801&lt;20000,"Medium",T801&lt;35000,"Large",T801&gt;35000,"Very Large")</f>
        <v>Large</v>
      </c>
      <c r="V801">
        <v>72</v>
      </c>
      <c r="W801">
        <f t="shared" si="51"/>
        <v>6</v>
      </c>
      <c r="X801" t="s">
        <v>42</v>
      </c>
      <c r="Y801" t="s">
        <v>45</v>
      </c>
      <c r="Z801" t="s">
        <v>39</v>
      </c>
      <c r="AA801" t="s">
        <v>34</v>
      </c>
      <c r="AB801" t="s">
        <v>48</v>
      </c>
      <c r="AC801" t="s">
        <v>44</v>
      </c>
    </row>
    <row r="802" spans="1:29" x14ac:dyDescent="0.25">
      <c r="A802">
        <v>845</v>
      </c>
      <c r="B802">
        <v>12147</v>
      </c>
      <c r="C802">
        <v>3374</v>
      </c>
      <c r="D802">
        <f t="shared" si="48"/>
        <v>15521</v>
      </c>
      <c r="E802" t="s">
        <v>49</v>
      </c>
      <c r="F802">
        <v>32</v>
      </c>
      <c r="G802" t="str" cm="1">
        <f t="array" ref="G802">_xlfn.IFS(F802&lt;25,"18-24",F802&lt;35,"25-35",F802&lt;45,"35-44",F802&lt;55,"44-54",F802&gt;=55,"55+")</f>
        <v>25-35</v>
      </c>
      <c r="H802" t="s">
        <v>30</v>
      </c>
      <c r="I802">
        <v>1</v>
      </c>
      <c r="J802" t="str" cm="1">
        <f t="array" ref="J802">_xlfn.IFS(I802&lt;=0,"No Dependents",I802&lt;=1,"One",I802&lt;=2,"Two",I802&gt;=3,"Third")</f>
        <v>One</v>
      </c>
      <c r="K802">
        <v>757</v>
      </c>
      <c r="L802" t="str" cm="1">
        <f t="array" ref="L802">_xlfn.IFS(K802&lt;=580,"Poor",K802&lt;=670,"fair",K802&lt;=740,"Good",K802&lt;=800,"Very Good",K802&gt;=800,"Excellent")</f>
        <v>Very Good</v>
      </c>
      <c r="M802">
        <v>0</v>
      </c>
      <c r="N802" t="str">
        <f t="shared" si="49"/>
        <v>No</v>
      </c>
      <c r="O802">
        <v>0.35</v>
      </c>
      <c r="P802" t="str" cm="1">
        <f t="array" ref="P802">_xlfn.IFS(O802&lt;=0.3,"Low Risk",O802&lt;=0.4,"medium Risk",O802&lt;=0.5,"High Risk",O802&gt;0.5,"Very High Risk")</f>
        <v>medium Risk</v>
      </c>
      <c r="Q802">
        <v>16059</v>
      </c>
      <c r="R802">
        <v>20446</v>
      </c>
      <c r="S802" t="str">
        <f t="shared" si="50"/>
        <v>Yes</v>
      </c>
      <c r="T802">
        <v>13262</v>
      </c>
      <c r="U802" t="str" cm="1">
        <f t="array" ref="U802">_xlfn.IFS(T802&lt;5000,"Small",T802&lt;20000,"Medium",T802&lt;35000,"Large",T802&gt;35000,"Very Large")</f>
        <v>Medium</v>
      </c>
      <c r="V802">
        <v>60</v>
      </c>
      <c r="W802">
        <f t="shared" si="51"/>
        <v>5</v>
      </c>
      <c r="X802" t="s">
        <v>47</v>
      </c>
      <c r="Y802" t="s">
        <v>38</v>
      </c>
      <c r="Z802" t="s">
        <v>39</v>
      </c>
      <c r="AA802" t="s">
        <v>40</v>
      </c>
      <c r="AB802" t="s">
        <v>42</v>
      </c>
      <c r="AC802" t="s">
        <v>44</v>
      </c>
    </row>
    <row r="803" spans="1:29" x14ac:dyDescent="0.25">
      <c r="A803">
        <v>846</v>
      </c>
      <c r="B803">
        <v>2793</v>
      </c>
      <c r="C803">
        <v>9208</v>
      </c>
      <c r="D803">
        <f t="shared" si="48"/>
        <v>12001</v>
      </c>
      <c r="E803" t="s">
        <v>49</v>
      </c>
      <c r="F803">
        <v>40</v>
      </c>
      <c r="G803" t="str" cm="1">
        <f t="array" ref="G803">_xlfn.IFS(F803&lt;25,"18-24",F803&lt;35,"25-35",F803&lt;45,"35-44",F803&lt;55,"44-54",F803&gt;=55,"55+")</f>
        <v>35-44</v>
      </c>
      <c r="H803" t="s">
        <v>41</v>
      </c>
      <c r="I803">
        <v>1</v>
      </c>
      <c r="J803" t="str" cm="1">
        <f t="array" ref="J803">_xlfn.IFS(I803&lt;=0,"No Dependents",I803&lt;=1,"One",I803&lt;=2,"Two",I803&gt;=3,"Third")</f>
        <v>One</v>
      </c>
      <c r="K803">
        <v>608</v>
      </c>
      <c r="L803" t="str" cm="1">
        <f t="array" ref="L803">_xlfn.IFS(K803&lt;=580,"Poor",K803&lt;=670,"fair",K803&lt;=740,"Good",K803&lt;=800,"Very Good",K803&gt;=800,"Excellent")</f>
        <v>fair</v>
      </c>
      <c r="M803">
        <v>3</v>
      </c>
      <c r="N803" t="str">
        <f t="shared" si="49"/>
        <v>Yes</v>
      </c>
      <c r="O803">
        <v>0.12</v>
      </c>
      <c r="P803" t="str" cm="1">
        <f t="array" ref="P803">_xlfn.IFS(O803&lt;=0.3,"Low Risk",O803&lt;=0.4,"medium Risk",O803&lt;=0.5,"High Risk",O803&gt;0.5,"Very High Risk")</f>
        <v>Low Risk</v>
      </c>
      <c r="Q803">
        <v>8000</v>
      </c>
      <c r="R803">
        <v>0</v>
      </c>
      <c r="S803" t="str">
        <f t="shared" si="50"/>
        <v>No</v>
      </c>
      <c r="T803">
        <v>0</v>
      </c>
      <c r="U803" t="str" cm="1">
        <f t="array" ref="U803">_xlfn.IFS(T803&lt;5000,"Small",T803&lt;20000,"Medium",T803&lt;35000,"Large",T803&gt;35000,"Very Large")</f>
        <v>Small</v>
      </c>
      <c r="V803">
        <v>60</v>
      </c>
      <c r="W803">
        <f t="shared" si="51"/>
        <v>5</v>
      </c>
      <c r="X803" t="s">
        <v>47</v>
      </c>
      <c r="Y803" t="s">
        <v>45</v>
      </c>
      <c r="Z803" t="s">
        <v>39</v>
      </c>
      <c r="AA803" t="s">
        <v>40</v>
      </c>
      <c r="AB803" t="s">
        <v>35</v>
      </c>
      <c r="AC803" t="s">
        <v>36</v>
      </c>
    </row>
    <row r="804" spans="1:29" x14ac:dyDescent="0.25">
      <c r="A804">
        <v>847</v>
      </c>
      <c r="B804">
        <v>4116</v>
      </c>
      <c r="C804">
        <v>207</v>
      </c>
      <c r="D804">
        <f t="shared" si="48"/>
        <v>4323</v>
      </c>
      <c r="E804" t="s">
        <v>29</v>
      </c>
      <c r="F804">
        <v>50</v>
      </c>
      <c r="G804" t="str" cm="1">
        <f t="array" ref="G804">_xlfn.IFS(F804&lt;25,"18-24",F804&lt;35,"25-35",F804&lt;45,"35-44",F804&lt;55,"44-54",F804&gt;=55,"55+")</f>
        <v>44-54</v>
      </c>
      <c r="H804" t="s">
        <v>30</v>
      </c>
      <c r="I804">
        <v>0</v>
      </c>
      <c r="J804" t="str" cm="1">
        <f t="array" ref="J804">_xlfn.IFS(I804&lt;=0,"No Dependents",I804&lt;=1,"One",I804&lt;=2,"Two",I804&gt;=3,"Third")</f>
        <v>No Dependents</v>
      </c>
      <c r="K804">
        <v>618</v>
      </c>
      <c r="L804" t="str" cm="1">
        <f t="array" ref="L804">_xlfn.IFS(K804&lt;=580,"Poor",K804&lt;=670,"fair",K804&lt;=740,"Good",K804&lt;=800,"Very Good",K804&gt;=800,"Excellent")</f>
        <v>fair</v>
      </c>
      <c r="M804">
        <v>4</v>
      </c>
      <c r="N804" t="str">
        <f t="shared" si="49"/>
        <v>Yes</v>
      </c>
      <c r="O804">
        <v>0.46</v>
      </c>
      <c r="P804" t="str" cm="1">
        <f t="array" ref="P804">_xlfn.IFS(O804&lt;=0.3,"Low Risk",O804&lt;=0.4,"medium Risk",O804&lt;=0.5,"High Risk",O804&gt;0.5,"Very High Risk")</f>
        <v>High Risk</v>
      </c>
      <c r="Q804">
        <v>13273</v>
      </c>
      <c r="R804">
        <v>3810</v>
      </c>
      <c r="S804" t="str">
        <f t="shared" si="50"/>
        <v>Yes</v>
      </c>
      <c r="T804">
        <v>7961</v>
      </c>
      <c r="U804" t="str" cm="1">
        <f t="array" ref="U804">_xlfn.IFS(T804&lt;5000,"Small",T804&lt;20000,"Medium",T804&lt;35000,"Large",T804&gt;35000,"Very Large")</f>
        <v>Medium</v>
      </c>
      <c r="V804">
        <v>24</v>
      </c>
      <c r="W804">
        <f t="shared" si="51"/>
        <v>2</v>
      </c>
      <c r="X804" t="s">
        <v>50</v>
      </c>
      <c r="Y804" t="s">
        <v>45</v>
      </c>
      <c r="Z804" t="s">
        <v>39</v>
      </c>
      <c r="AA804" t="s">
        <v>40</v>
      </c>
      <c r="AB804" t="s">
        <v>43</v>
      </c>
      <c r="AC804" t="s">
        <v>36</v>
      </c>
    </row>
    <row r="805" spans="1:29" x14ac:dyDescent="0.25">
      <c r="A805">
        <v>848</v>
      </c>
      <c r="B805">
        <v>7779</v>
      </c>
      <c r="C805">
        <v>0</v>
      </c>
      <c r="D805">
        <f t="shared" si="48"/>
        <v>7779</v>
      </c>
      <c r="E805" t="s">
        <v>29</v>
      </c>
      <c r="F805">
        <v>58</v>
      </c>
      <c r="G805" t="str" cm="1">
        <f t="array" ref="G805">_xlfn.IFS(F805&lt;25,"18-24",F805&lt;35,"25-35",F805&lt;45,"35-44",F805&lt;55,"44-54",F805&gt;=55,"55+")</f>
        <v>55+</v>
      </c>
      <c r="H805" t="s">
        <v>30</v>
      </c>
      <c r="I805">
        <v>1</v>
      </c>
      <c r="J805" t="str" cm="1">
        <f t="array" ref="J805">_xlfn.IFS(I805&lt;=0,"No Dependents",I805&lt;=1,"One",I805&lt;=2,"Two",I805&gt;=3,"Third")</f>
        <v>One</v>
      </c>
      <c r="K805">
        <v>668</v>
      </c>
      <c r="L805" t="str" cm="1">
        <f t="array" ref="L805">_xlfn.IFS(K805&lt;=580,"Poor",K805&lt;=670,"fair",K805&lt;=740,"Good",K805&lt;=800,"Very Good",K805&gt;=800,"Excellent")</f>
        <v>fair</v>
      </c>
      <c r="M805">
        <v>2</v>
      </c>
      <c r="N805" t="str">
        <f t="shared" si="49"/>
        <v>Yes</v>
      </c>
      <c r="O805">
        <v>0.32</v>
      </c>
      <c r="P805" t="str" cm="1">
        <f t="array" ref="P805">_xlfn.IFS(O805&lt;=0.3,"Low Risk",O805&lt;=0.4,"medium Risk",O805&lt;=0.5,"High Risk",O805&gt;0.5,"Very High Risk")</f>
        <v>medium Risk</v>
      </c>
      <c r="Q805">
        <v>16121</v>
      </c>
      <c r="R805">
        <v>16569</v>
      </c>
      <c r="S805" t="str">
        <f t="shared" si="50"/>
        <v>Yes</v>
      </c>
      <c r="T805">
        <v>27499</v>
      </c>
      <c r="U805" t="str" cm="1">
        <f t="array" ref="U805">_xlfn.IFS(T805&lt;5000,"Small",T805&lt;20000,"Medium",T805&lt;35000,"Large",T805&gt;35000,"Very Large")</f>
        <v>Large</v>
      </c>
      <c r="V805">
        <v>12</v>
      </c>
      <c r="W805">
        <f t="shared" si="51"/>
        <v>1</v>
      </c>
      <c r="X805" t="s">
        <v>31</v>
      </c>
      <c r="Y805" t="s">
        <v>32</v>
      </c>
      <c r="Z805" t="s">
        <v>39</v>
      </c>
      <c r="AA805" t="s">
        <v>34</v>
      </c>
      <c r="AB805" t="s">
        <v>51</v>
      </c>
      <c r="AC805" t="s">
        <v>44</v>
      </c>
    </row>
    <row r="806" spans="1:29" x14ac:dyDescent="0.25">
      <c r="A806">
        <v>849</v>
      </c>
      <c r="B806">
        <v>14298</v>
      </c>
      <c r="C806">
        <v>2493</v>
      </c>
      <c r="D806">
        <f t="shared" si="48"/>
        <v>16791</v>
      </c>
      <c r="E806" t="s">
        <v>29</v>
      </c>
      <c r="F806">
        <v>23</v>
      </c>
      <c r="G806" t="str" cm="1">
        <f t="array" ref="G806">_xlfn.IFS(F806&lt;25,"18-24",F806&lt;35,"25-35",F806&lt;45,"35-44",F806&lt;55,"44-54",F806&gt;=55,"55+")</f>
        <v>18-24</v>
      </c>
      <c r="H806" t="s">
        <v>41</v>
      </c>
      <c r="I806">
        <v>1</v>
      </c>
      <c r="J806" t="str" cm="1">
        <f t="array" ref="J806">_xlfn.IFS(I806&lt;=0,"No Dependents",I806&lt;=1,"One",I806&lt;=2,"Two",I806&gt;=3,"Third")</f>
        <v>One</v>
      </c>
      <c r="K806">
        <v>641</v>
      </c>
      <c r="L806" t="str" cm="1">
        <f t="array" ref="L806">_xlfn.IFS(K806&lt;=580,"Poor",K806&lt;=670,"fair",K806&lt;=740,"Good",K806&lt;=800,"Very Good",K806&gt;=800,"Excellent")</f>
        <v>fair</v>
      </c>
      <c r="M806">
        <v>2</v>
      </c>
      <c r="N806" t="str">
        <f t="shared" si="49"/>
        <v>Yes</v>
      </c>
      <c r="O806">
        <v>0.23</v>
      </c>
      <c r="P806" t="str" cm="1">
        <f t="array" ref="P806">_xlfn.IFS(O806&lt;=0.3,"Low Risk",O806&lt;=0.4,"medium Risk",O806&lt;=0.5,"High Risk",O806&gt;0.5,"Very High Risk")</f>
        <v>Low Risk</v>
      </c>
      <c r="Q806">
        <v>331</v>
      </c>
      <c r="R806">
        <v>34319</v>
      </c>
      <c r="S806" t="str">
        <f t="shared" si="50"/>
        <v>Yes</v>
      </c>
      <c r="T806">
        <v>32283</v>
      </c>
      <c r="U806" t="str" cm="1">
        <f t="array" ref="U806">_xlfn.IFS(T806&lt;5000,"Small",T806&lt;20000,"Medium",T806&lt;35000,"Large",T806&gt;35000,"Very Large")</f>
        <v>Large</v>
      </c>
      <c r="V806">
        <v>48</v>
      </c>
      <c r="W806">
        <f t="shared" si="51"/>
        <v>4</v>
      </c>
      <c r="X806" t="s">
        <v>50</v>
      </c>
      <c r="Y806" t="s">
        <v>45</v>
      </c>
      <c r="Z806" t="s">
        <v>33</v>
      </c>
      <c r="AA806" t="s">
        <v>34</v>
      </c>
      <c r="AB806" t="s">
        <v>42</v>
      </c>
      <c r="AC806" t="s">
        <v>36</v>
      </c>
    </row>
    <row r="807" spans="1:29" x14ac:dyDescent="0.25">
      <c r="A807">
        <v>850</v>
      </c>
      <c r="B807">
        <v>16153</v>
      </c>
      <c r="C807">
        <v>6813</v>
      </c>
      <c r="D807">
        <f t="shared" si="48"/>
        <v>22966</v>
      </c>
      <c r="E807" t="s">
        <v>29</v>
      </c>
      <c r="F807">
        <v>48</v>
      </c>
      <c r="G807" t="str" cm="1">
        <f t="array" ref="G807">_xlfn.IFS(F807&lt;25,"18-24",F807&lt;35,"25-35",F807&lt;45,"35-44",F807&lt;55,"44-54",F807&gt;=55,"55+")</f>
        <v>44-54</v>
      </c>
      <c r="H807" t="s">
        <v>41</v>
      </c>
      <c r="I807">
        <v>0</v>
      </c>
      <c r="J807" t="str" cm="1">
        <f t="array" ref="J807">_xlfn.IFS(I807&lt;=0,"No Dependents",I807&lt;=1,"One",I807&lt;=2,"Two",I807&gt;=3,"Third")</f>
        <v>No Dependents</v>
      </c>
      <c r="K807">
        <v>730</v>
      </c>
      <c r="L807" t="str" cm="1">
        <f t="array" ref="L807">_xlfn.IFS(K807&lt;=580,"Poor",K807&lt;=670,"fair",K807&lt;=740,"Good",K807&lt;=800,"Very Good",K807&gt;=800,"Excellent")</f>
        <v>Good</v>
      </c>
      <c r="M807">
        <v>0</v>
      </c>
      <c r="N807" t="str">
        <f t="shared" si="49"/>
        <v>No</v>
      </c>
      <c r="O807">
        <v>0.2</v>
      </c>
      <c r="P807" t="str" cm="1">
        <f t="array" ref="P807">_xlfn.IFS(O807&lt;=0.3,"Low Risk",O807&lt;=0.4,"medium Risk",O807&lt;=0.5,"High Risk",O807&gt;0.5,"Very High Risk")</f>
        <v>Low Risk</v>
      </c>
      <c r="Q807">
        <v>17805</v>
      </c>
      <c r="R807">
        <v>13584</v>
      </c>
      <c r="S807" t="str">
        <f t="shared" si="50"/>
        <v>Yes</v>
      </c>
      <c r="T807">
        <v>0</v>
      </c>
      <c r="U807" t="str" cm="1">
        <f t="array" ref="U807">_xlfn.IFS(T807&lt;5000,"Small",T807&lt;20000,"Medium",T807&lt;35000,"Large",T807&gt;35000,"Very Large")</f>
        <v>Small</v>
      </c>
      <c r="V807">
        <v>36</v>
      </c>
      <c r="W807">
        <f t="shared" si="51"/>
        <v>3</v>
      </c>
      <c r="X807" t="s">
        <v>50</v>
      </c>
      <c r="Y807" t="s">
        <v>32</v>
      </c>
      <c r="Z807" t="s">
        <v>33</v>
      </c>
      <c r="AA807" t="s">
        <v>34</v>
      </c>
      <c r="AB807" t="s">
        <v>51</v>
      </c>
      <c r="AC807" t="s">
        <v>44</v>
      </c>
    </row>
    <row r="808" spans="1:29" x14ac:dyDescent="0.25">
      <c r="A808">
        <v>851</v>
      </c>
      <c r="B808">
        <v>13111</v>
      </c>
      <c r="C808">
        <v>632</v>
      </c>
      <c r="D808">
        <f t="shared" si="48"/>
        <v>13743</v>
      </c>
      <c r="E808" t="s">
        <v>49</v>
      </c>
      <c r="F808">
        <v>46</v>
      </c>
      <c r="G808" t="str" cm="1">
        <f t="array" ref="G808">_xlfn.IFS(F808&lt;25,"18-24",F808&lt;35,"25-35",F808&lt;45,"35-44",F808&lt;55,"44-54",F808&gt;=55,"55+")</f>
        <v>44-54</v>
      </c>
      <c r="H808" t="s">
        <v>41</v>
      </c>
      <c r="I808">
        <v>0</v>
      </c>
      <c r="J808" t="str" cm="1">
        <f t="array" ref="J808">_xlfn.IFS(I808&lt;=0,"No Dependents",I808&lt;=1,"One",I808&lt;=2,"Two",I808&gt;=3,"Third")</f>
        <v>No Dependents</v>
      </c>
      <c r="K808">
        <v>780</v>
      </c>
      <c r="L808" t="str" cm="1">
        <f t="array" ref="L808">_xlfn.IFS(K808&lt;=580,"Poor",K808&lt;=670,"fair",K808&lt;=740,"Good",K808&lt;=800,"Very Good",K808&gt;=800,"Excellent")</f>
        <v>Very Good</v>
      </c>
      <c r="M808">
        <v>2</v>
      </c>
      <c r="N808" t="str">
        <f t="shared" si="49"/>
        <v>Yes</v>
      </c>
      <c r="O808">
        <v>0.43</v>
      </c>
      <c r="P808" t="str" cm="1">
        <f t="array" ref="P808">_xlfn.IFS(O808&lt;=0.3,"Low Risk",O808&lt;=0.4,"medium Risk",O808&lt;=0.5,"High Risk",O808&gt;0.5,"Very High Risk")</f>
        <v>High Risk</v>
      </c>
      <c r="Q808">
        <v>7512</v>
      </c>
      <c r="R808">
        <v>26783</v>
      </c>
      <c r="S808" t="str">
        <f t="shared" si="50"/>
        <v>Yes</v>
      </c>
      <c r="T808">
        <v>7822</v>
      </c>
      <c r="U808" t="str" cm="1">
        <f t="array" ref="U808">_xlfn.IFS(T808&lt;5000,"Small",T808&lt;20000,"Medium",T808&lt;35000,"Large",T808&gt;35000,"Very Large")</f>
        <v>Medium</v>
      </c>
      <c r="V808">
        <v>24</v>
      </c>
      <c r="W808">
        <f t="shared" si="51"/>
        <v>2</v>
      </c>
      <c r="X808" t="s">
        <v>50</v>
      </c>
      <c r="Y808" t="s">
        <v>32</v>
      </c>
      <c r="Z808" t="s">
        <v>33</v>
      </c>
      <c r="AA808" t="s">
        <v>40</v>
      </c>
      <c r="AB808" t="s">
        <v>35</v>
      </c>
      <c r="AC808" t="s">
        <v>36</v>
      </c>
    </row>
    <row r="809" spans="1:29" x14ac:dyDescent="0.25">
      <c r="A809">
        <v>853</v>
      </c>
      <c r="B809">
        <v>13397</v>
      </c>
      <c r="C809">
        <v>3719</v>
      </c>
      <c r="D809">
        <f t="shared" si="48"/>
        <v>17116</v>
      </c>
      <c r="E809" t="s">
        <v>46</v>
      </c>
      <c r="F809">
        <v>33</v>
      </c>
      <c r="G809" t="str" cm="1">
        <f t="array" ref="G809">_xlfn.IFS(F809&lt;25,"18-24",F809&lt;35,"25-35",F809&lt;45,"35-44",F809&lt;55,"44-54",F809&gt;=55,"55+")</f>
        <v>25-35</v>
      </c>
      <c r="H809" t="s">
        <v>41</v>
      </c>
      <c r="I809">
        <v>1</v>
      </c>
      <c r="J809" t="str" cm="1">
        <f t="array" ref="J809">_xlfn.IFS(I809&lt;=0,"No Dependents",I809&lt;=1,"One",I809&lt;=2,"Two",I809&gt;=3,"Third")</f>
        <v>One</v>
      </c>
      <c r="K809">
        <v>697</v>
      </c>
      <c r="L809" t="str" cm="1">
        <f t="array" ref="L809">_xlfn.IFS(K809&lt;=580,"Poor",K809&lt;=670,"fair",K809&lt;=740,"Good",K809&lt;=800,"Very Good",K809&gt;=800,"Excellent")</f>
        <v>Good</v>
      </c>
      <c r="M809">
        <v>0</v>
      </c>
      <c r="N809" t="str">
        <f t="shared" si="49"/>
        <v>No</v>
      </c>
      <c r="O809">
        <v>0.5</v>
      </c>
      <c r="P809" t="str" cm="1">
        <f t="array" ref="P809">_xlfn.IFS(O809&lt;=0.3,"Low Risk",O809&lt;=0.4,"medium Risk",O809&lt;=0.5,"High Risk",O809&gt;0.5,"Very High Risk")</f>
        <v>High Risk</v>
      </c>
      <c r="Q809">
        <v>12742</v>
      </c>
      <c r="R809">
        <v>12511</v>
      </c>
      <c r="S809" t="str">
        <f t="shared" si="50"/>
        <v>Yes</v>
      </c>
      <c r="T809">
        <v>20830</v>
      </c>
      <c r="U809" t="str" cm="1">
        <f t="array" ref="U809">_xlfn.IFS(T809&lt;5000,"Small",T809&lt;20000,"Medium",T809&lt;35000,"Large",T809&gt;35000,"Very Large")</f>
        <v>Large</v>
      </c>
      <c r="V809">
        <v>12</v>
      </c>
      <c r="W809">
        <f t="shared" si="51"/>
        <v>1</v>
      </c>
      <c r="X809" t="s">
        <v>42</v>
      </c>
      <c r="Y809" t="s">
        <v>38</v>
      </c>
      <c r="Z809" t="s">
        <v>33</v>
      </c>
      <c r="AA809" t="s">
        <v>40</v>
      </c>
      <c r="AB809" t="s">
        <v>51</v>
      </c>
      <c r="AC809" t="s">
        <v>36</v>
      </c>
    </row>
    <row r="810" spans="1:29" x14ac:dyDescent="0.25">
      <c r="A810">
        <v>854</v>
      </c>
      <c r="B810">
        <v>14999</v>
      </c>
      <c r="C810">
        <v>7123</v>
      </c>
      <c r="D810">
        <f t="shared" si="48"/>
        <v>22122</v>
      </c>
      <c r="E810" t="s">
        <v>49</v>
      </c>
      <c r="F810">
        <v>33</v>
      </c>
      <c r="G810" t="str" cm="1">
        <f t="array" ref="G810">_xlfn.IFS(F810&lt;25,"18-24",F810&lt;35,"25-35",F810&lt;45,"35-44",F810&lt;55,"44-54",F810&gt;=55,"55+")</f>
        <v>25-35</v>
      </c>
      <c r="H810" t="s">
        <v>30</v>
      </c>
      <c r="I810">
        <v>2</v>
      </c>
      <c r="J810" t="str" cm="1">
        <f t="array" ref="J810">_xlfn.IFS(I810&lt;=0,"No Dependents",I810&lt;=1,"One",I810&lt;=2,"Two",I810&gt;=3,"Third")</f>
        <v>Two</v>
      </c>
      <c r="K810">
        <v>573</v>
      </c>
      <c r="L810" t="str" cm="1">
        <f t="array" ref="L810">_xlfn.IFS(K810&lt;=580,"Poor",K810&lt;=670,"fair",K810&lt;=740,"Good",K810&lt;=800,"Very Good",K810&gt;=800,"Excellent")</f>
        <v>Poor</v>
      </c>
      <c r="M810">
        <v>4</v>
      </c>
      <c r="N810" t="str">
        <f t="shared" si="49"/>
        <v>Yes</v>
      </c>
      <c r="O810">
        <v>0.14000000000000001</v>
      </c>
      <c r="P810" t="str" cm="1">
        <f t="array" ref="P810">_xlfn.IFS(O810&lt;=0.3,"Low Risk",O810&lt;=0.4,"medium Risk",O810&lt;=0.5,"High Risk",O810&gt;0.5,"Very High Risk")</f>
        <v>Low Risk</v>
      </c>
      <c r="Q810">
        <v>13426</v>
      </c>
      <c r="R810">
        <v>0</v>
      </c>
      <c r="S810" t="str">
        <f t="shared" si="50"/>
        <v>No</v>
      </c>
      <c r="T810">
        <v>6738</v>
      </c>
      <c r="U810" t="str" cm="1">
        <f t="array" ref="U810">_xlfn.IFS(T810&lt;5000,"Small",T810&lt;20000,"Medium",T810&lt;35000,"Large",T810&gt;35000,"Very Large")</f>
        <v>Medium</v>
      </c>
      <c r="V810">
        <v>48</v>
      </c>
      <c r="W810">
        <f t="shared" si="51"/>
        <v>4</v>
      </c>
      <c r="X810" t="s">
        <v>47</v>
      </c>
      <c r="Y810" t="s">
        <v>32</v>
      </c>
      <c r="Z810" t="s">
        <v>39</v>
      </c>
      <c r="AA810" t="s">
        <v>34</v>
      </c>
      <c r="AB810" t="s">
        <v>35</v>
      </c>
      <c r="AC810" t="s">
        <v>36</v>
      </c>
    </row>
    <row r="811" spans="1:29" x14ac:dyDescent="0.25">
      <c r="A811">
        <v>855</v>
      </c>
      <c r="B811">
        <v>2814</v>
      </c>
      <c r="C811">
        <v>1679</v>
      </c>
      <c r="D811">
        <f t="shared" si="48"/>
        <v>4493</v>
      </c>
      <c r="E811" t="s">
        <v>46</v>
      </c>
      <c r="F811">
        <v>22</v>
      </c>
      <c r="G811" t="str" cm="1">
        <f t="array" ref="G811">_xlfn.IFS(F811&lt;25,"18-24",F811&lt;35,"25-35",F811&lt;45,"35-44",F811&lt;55,"44-54",F811&gt;=55,"55+")</f>
        <v>18-24</v>
      </c>
      <c r="H811" t="s">
        <v>30</v>
      </c>
      <c r="I811">
        <v>2</v>
      </c>
      <c r="J811" t="str" cm="1">
        <f t="array" ref="J811">_xlfn.IFS(I811&lt;=0,"No Dependents",I811&lt;=1,"One",I811&lt;=2,"Two",I811&gt;=3,"Third")</f>
        <v>Two</v>
      </c>
      <c r="K811">
        <v>738</v>
      </c>
      <c r="L811" t="str" cm="1">
        <f t="array" ref="L811">_xlfn.IFS(K811&lt;=580,"Poor",K811&lt;=670,"fair",K811&lt;=740,"Good",K811&lt;=800,"Very Good",K811&gt;=800,"Excellent")</f>
        <v>Good</v>
      </c>
      <c r="M811">
        <v>0</v>
      </c>
      <c r="N811" t="str">
        <f t="shared" si="49"/>
        <v>No</v>
      </c>
      <c r="O811">
        <v>0.2</v>
      </c>
      <c r="P811" t="str" cm="1">
        <f t="array" ref="P811">_xlfn.IFS(O811&lt;=0.3,"Low Risk",O811&lt;=0.4,"medium Risk",O811&lt;=0.5,"High Risk",O811&gt;0.5,"Very High Risk")</f>
        <v>Low Risk</v>
      </c>
      <c r="Q811">
        <v>5113</v>
      </c>
      <c r="R811">
        <v>45235</v>
      </c>
      <c r="S811" t="str">
        <f t="shared" si="50"/>
        <v>Yes</v>
      </c>
      <c r="T811">
        <v>4098</v>
      </c>
      <c r="U811" t="str" cm="1">
        <f t="array" ref="U811">_xlfn.IFS(T811&lt;5000,"Small",T811&lt;20000,"Medium",T811&lt;35000,"Large",T811&gt;35000,"Very Large")</f>
        <v>Small</v>
      </c>
      <c r="V811">
        <v>48</v>
      </c>
      <c r="W811">
        <f t="shared" si="51"/>
        <v>4</v>
      </c>
      <c r="X811" t="s">
        <v>37</v>
      </c>
      <c r="Y811" t="s">
        <v>38</v>
      </c>
      <c r="Z811" t="s">
        <v>39</v>
      </c>
      <c r="AA811" t="s">
        <v>34</v>
      </c>
      <c r="AB811" t="s">
        <v>35</v>
      </c>
      <c r="AC811" t="s">
        <v>36</v>
      </c>
    </row>
    <row r="812" spans="1:29" x14ac:dyDescent="0.25">
      <c r="A812">
        <v>856</v>
      </c>
      <c r="B812">
        <v>18729</v>
      </c>
      <c r="C812">
        <v>236</v>
      </c>
      <c r="D812">
        <f t="shared" si="48"/>
        <v>18965</v>
      </c>
      <c r="E812" t="s">
        <v>29</v>
      </c>
      <c r="F812">
        <v>57</v>
      </c>
      <c r="G812" t="str" cm="1">
        <f t="array" ref="G812">_xlfn.IFS(F812&lt;25,"18-24",F812&lt;35,"25-35",F812&lt;45,"35-44",F812&lt;55,"44-54",F812&gt;=55,"55+")</f>
        <v>55+</v>
      </c>
      <c r="H812" t="s">
        <v>30</v>
      </c>
      <c r="I812">
        <v>0</v>
      </c>
      <c r="J812" t="str" cm="1">
        <f t="array" ref="J812">_xlfn.IFS(I812&lt;=0,"No Dependents",I812&lt;=1,"One",I812&lt;=2,"Two",I812&gt;=3,"Third")</f>
        <v>No Dependents</v>
      </c>
      <c r="K812">
        <v>640</v>
      </c>
      <c r="L812" t="str" cm="1">
        <f t="array" ref="L812">_xlfn.IFS(K812&lt;=580,"Poor",K812&lt;=670,"fair",K812&lt;=740,"Good",K812&lt;=800,"Very Good",K812&gt;=800,"Excellent")</f>
        <v>fair</v>
      </c>
      <c r="M812">
        <v>0</v>
      </c>
      <c r="N812" t="str">
        <f t="shared" si="49"/>
        <v>No</v>
      </c>
      <c r="O812">
        <v>0.28999999999999998</v>
      </c>
      <c r="P812" t="str" cm="1">
        <f t="array" ref="P812">_xlfn.IFS(O812&lt;=0.3,"Low Risk",O812&lt;=0.4,"medium Risk",O812&lt;=0.5,"High Risk",O812&gt;0.5,"Very High Risk")</f>
        <v>Low Risk</v>
      </c>
      <c r="Q812">
        <v>8419</v>
      </c>
      <c r="R812">
        <v>6163</v>
      </c>
      <c r="S812" t="str">
        <f t="shared" si="50"/>
        <v>Yes</v>
      </c>
      <c r="T812">
        <v>30888</v>
      </c>
      <c r="U812" t="str" cm="1">
        <f t="array" ref="U812">_xlfn.IFS(T812&lt;5000,"Small",T812&lt;20000,"Medium",T812&lt;35000,"Large",T812&gt;35000,"Very Large")</f>
        <v>Large</v>
      </c>
      <c r="V812">
        <v>48</v>
      </c>
      <c r="W812">
        <f t="shared" si="51"/>
        <v>4</v>
      </c>
      <c r="X812" t="s">
        <v>50</v>
      </c>
      <c r="Y812" t="s">
        <v>32</v>
      </c>
      <c r="Z812" t="s">
        <v>33</v>
      </c>
      <c r="AA812" t="s">
        <v>34</v>
      </c>
      <c r="AB812" t="s">
        <v>51</v>
      </c>
      <c r="AC812" t="s">
        <v>36</v>
      </c>
    </row>
    <row r="813" spans="1:29" x14ac:dyDescent="0.25">
      <c r="A813">
        <v>857</v>
      </c>
      <c r="B813">
        <v>12541</v>
      </c>
      <c r="C813">
        <v>7446</v>
      </c>
      <c r="D813">
        <f t="shared" si="48"/>
        <v>19987</v>
      </c>
      <c r="E813" t="s">
        <v>52</v>
      </c>
      <c r="F813">
        <v>58</v>
      </c>
      <c r="G813" t="str" cm="1">
        <f t="array" ref="G813">_xlfn.IFS(F813&lt;25,"18-24",F813&lt;35,"25-35",F813&lt;45,"35-44",F813&lt;55,"44-54",F813&gt;=55,"55+")</f>
        <v>55+</v>
      </c>
      <c r="H813" t="s">
        <v>30</v>
      </c>
      <c r="I813">
        <v>3</v>
      </c>
      <c r="J813" t="str" cm="1">
        <f t="array" ref="J813">_xlfn.IFS(I813&lt;=0,"No Dependents",I813&lt;=1,"One",I813&lt;=2,"Two",I813&gt;=3,"Third")</f>
        <v>Third</v>
      </c>
      <c r="K813">
        <v>643</v>
      </c>
      <c r="L813" t="str" cm="1">
        <f t="array" ref="L813">_xlfn.IFS(K813&lt;=580,"Poor",K813&lt;=670,"fair",K813&lt;=740,"Good",K813&lt;=800,"Very Good",K813&gt;=800,"Excellent")</f>
        <v>fair</v>
      </c>
      <c r="M813">
        <v>1</v>
      </c>
      <c r="N813" t="str">
        <f t="shared" si="49"/>
        <v>Yes</v>
      </c>
      <c r="O813">
        <v>0.34</v>
      </c>
      <c r="P813" t="str" cm="1">
        <f t="array" ref="P813">_xlfn.IFS(O813&lt;=0.3,"Low Risk",O813&lt;=0.4,"medium Risk",O813&lt;=0.5,"High Risk",O813&gt;0.5,"Very High Risk")</f>
        <v>medium Risk</v>
      </c>
      <c r="Q813">
        <v>2881</v>
      </c>
      <c r="R813">
        <v>16065</v>
      </c>
      <c r="S813" t="str">
        <f t="shared" si="50"/>
        <v>Yes</v>
      </c>
      <c r="T813">
        <v>9097</v>
      </c>
      <c r="U813" t="str" cm="1">
        <f t="array" ref="U813">_xlfn.IFS(T813&lt;5000,"Small",T813&lt;20000,"Medium",T813&lt;35000,"Large",T813&gt;35000,"Very Large")</f>
        <v>Medium</v>
      </c>
      <c r="V813">
        <v>60</v>
      </c>
      <c r="W813">
        <f t="shared" si="51"/>
        <v>5</v>
      </c>
      <c r="X813" t="s">
        <v>50</v>
      </c>
      <c r="Y813" t="s">
        <v>32</v>
      </c>
      <c r="Z813" t="s">
        <v>39</v>
      </c>
      <c r="AA813" t="s">
        <v>40</v>
      </c>
      <c r="AB813" t="s">
        <v>42</v>
      </c>
      <c r="AC813" t="s">
        <v>36</v>
      </c>
    </row>
    <row r="814" spans="1:29" x14ac:dyDescent="0.25">
      <c r="A814">
        <v>858</v>
      </c>
      <c r="B814">
        <v>4443</v>
      </c>
      <c r="C814">
        <v>4443</v>
      </c>
      <c r="D814">
        <f t="shared" si="48"/>
        <v>8886</v>
      </c>
      <c r="E814" t="s">
        <v>48</v>
      </c>
      <c r="F814">
        <v>22</v>
      </c>
      <c r="G814" t="str" cm="1">
        <f t="array" ref="G814">_xlfn.IFS(F814&lt;25,"18-24",F814&lt;35,"25-35",F814&lt;45,"35-44",F814&lt;55,"44-54",F814&gt;=55,"55+")</f>
        <v>18-24</v>
      </c>
      <c r="H814" t="s">
        <v>30</v>
      </c>
      <c r="I814">
        <v>2</v>
      </c>
      <c r="J814" t="str" cm="1">
        <f t="array" ref="J814">_xlfn.IFS(I814&lt;=0,"No Dependents",I814&lt;=1,"One",I814&lt;=2,"Two",I814&gt;=3,"Third")</f>
        <v>Two</v>
      </c>
      <c r="K814">
        <v>607</v>
      </c>
      <c r="L814" t="str" cm="1">
        <f t="array" ref="L814">_xlfn.IFS(K814&lt;=580,"Poor",K814&lt;=670,"fair",K814&lt;=740,"Good",K814&lt;=800,"Very Good",K814&gt;=800,"Excellent")</f>
        <v>fair</v>
      </c>
      <c r="M814">
        <v>1</v>
      </c>
      <c r="N814" t="str">
        <f t="shared" si="49"/>
        <v>Yes</v>
      </c>
      <c r="O814">
        <v>0.28000000000000003</v>
      </c>
      <c r="P814" t="str" cm="1">
        <f t="array" ref="P814">_xlfn.IFS(O814&lt;=0.3,"Low Risk",O814&lt;=0.4,"medium Risk",O814&lt;=0.5,"High Risk",O814&gt;0.5,"Very High Risk")</f>
        <v>Low Risk</v>
      </c>
      <c r="Q814">
        <v>13145</v>
      </c>
      <c r="R814">
        <v>44654</v>
      </c>
      <c r="S814" t="str">
        <f t="shared" si="50"/>
        <v>Yes</v>
      </c>
      <c r="T814">
        <v>14136</v>
      </c>
      <c r="U814" t="str" cm="1">
        <f t="array" ref="U814">_xlfn.IFS(T814&lt;5000,"Small",T814&lt;20000,"Medium",T814&lt;35000,"Large",T814&gt;35000,"Very Large")</f>
        <v>Medium</v>
      </c>
      <c r="V814">
        <v>60</v>
      </c>
      <c r="W814">
        <f t="shared" si="51"/>
        <v>5</v>
      </c>
      <c r="X814" t="s">
        <v>37</v>
      </c>
      <c r="Y814" t="s">
        <v>32</v>
      </c>
      <c r="Z814" t="s">
        <v>39</v>
      </c>
      <c r="AA814" t="s">
        <v>34</v>
      </c>
      <c r="AB814" t="s">
        <v>51</v>
      </c>
      <c r="AC814" t="s">
        <v>36</v>
      </c>
    </row>
    <row r="815" spans="1:29" x14ac:dyDescent="0.25">
      <c r="A815">
        <v>859</v>
      </c>
      <c r="B815">
        <v>12457</v>
      </c>
      <c r="C815">
        <v>6770</v>
      </c>
      <c r="D815">
        <f t="shared" si="48"/>
        <v>19227</v>
      </c>
      <c r="E815" t="s">
        <v>29</v>
      </c>
      <c r="F815">
        <v>56</v>
      </c>
      <c r="G815" t="str" cm="1">
        <f t="array" ref="G815">_xlfn.IFS(F815&lt;25,"18-24",F815&lt;35,"25-35",F815&lt;45,"35-44",F815&lt;55,"44-54",F815&gt;=55,"55+")</f>
        <v>55+</v>
      </c>
      <c r="H815" t="s">
        <v>41</v>
      </c>
      <c r="I815">
        <v>3</v>
      </c>
      <c r="J815" t="str" cm="1">
        <f t="array" ref="J815">_xlfn.IFS(I815&lt;=0,"No Dependents",I815&lt;=1,"One",I815&lt;=2,"Two",I815&gt;=3,"Third")</f>
        <v>Third</v>
      </c>
      <c r="K815">
        <v>786</v>
      </c>
      <c r="L815" t="str" cm="1">
        <f t="array" ref="L815">_xlfn.IFS(K815&lt;=580,"Poor",K815&lt;=670,"fair",K815&lt;=740,"Good",K815&lt;=800,"Very Good",K815&gt;=800,"Excellent")</f>
        <v>Very Good</v>
      </c>
      <c r="M815">
        <v>0</v>
      </c>
      <c r="N815" t="str">
        <f t="shared" si="49"/>
        <v>No</v>
      </c>
      <c r="O815">
        <v>0.26</v>
      </c>
      <c r="P815" t="str" cm="1">
        <f t="array" ref="P815">_xlfn.IFS(O815&lt;=0.3,"Low Risk",O815&lt;=0.4,"medium Risk",O815&lt;=0.5,"High Risk",O815&gt;0.5,"Very High Risk")</f>
        <v>Low Risk</v>
      </c>
      <c r="Q815">
        <v>13556</v>
      </c>
      <c r="R815">
        <v>17920</v>
      </c>
      <c r="S815" t="str">
        <f t="shared" si="50"/>
        <v>Yes</v>
      </c>
      <c r="T815">
        <v>39244</v>
      </c>
      <c r="U815" t="str" cm="1">
        <f t="array" ref="U815">_xlfn.IFS(T815&lt;5000,"Small",T815&lt;20000,"Medium",T815&lt;35000,"Large",T815&gt;35000,"Very Large")</f>
        <v>Very Large</v>
      </c>
      <c r="V815">
        <v>36</v>
      </c>
      <c r="W815">
        <f t="shared" si="51"/>
        <v>3</v>
      </c>
      <c r="X815" t="s">
        <v>50</v>
      </c>
      <c r="Y815" t="s">
        <v>45</v>
      </c>
      <c r="Z815" t="s">
        <v>39</v>
      </c>
      <c r="AA815" t="s">
        <v>40</v>
      </c>
      <c r="AB815" t="s">
        <v>35</v>
      </c>
      <c r="AC815" t="s">
        <v>44</v>
      </c>
    </row>
    <row r="816" spans="1:29" x14ac:dyDescent="0.25">
      <c r="A816">
        <v>860</v>
      </c>
      <c r="B816">
        <v>12380</v>
      </c>
      <c r="C816">
        <v>9732</v>
      </c>
      <c r="D816">
        <f t="shared" si="48"/>
        <v>22112</v>
      </c>
      <c r="E816" t="s">
        <v>48</v>
      </c>
      <c r="F816">
        <v>46</v>
      </c>
      <c r="G816" t="str" cm="1">
        <f t="array" ref="G816">_xlfn.IFS(F816&lt;25,"18-24",F816&lt;35,"25-35",F816&lt;45,"35-44",F816&lt;55,"44-54",F816&gt;=55,"55+")</f>
        <v>44-54</v>
      </c>
      <c r="H816" t="s">
        <v>30</v>
      </c>
      <c r="I816">
        <v>1</v>
      </c>
      <c r="J816" t="str" cm="1">
        <f t="array" ref="J816">_xlfn.IFS(I816&lt;=0,"No Dependents",I816&lt;=1,"One",I816&lt;=2,"Two",I816&gt;=3,"Third")</f>
        <v>One</v>
      </c>
      <c r="K816">
        <v>704</v>
      </c>
      <c r="L816" t="str" cm="1">
        <f t="array" ref="L816">_xlfn.IFS(K816&lt;=580,"Poor",K816&lt;=670,"fair",K816&lt;=740,"Good",K816&lt;=800,"Very Good",K816&gt;=800,"Excellent")</f>
        <v>Good</v>
      </c>
      <c r="M816">
        <v>2</v>
      </c>
      <c r="N816" t="str">
        <f t="shared" si="49"/>
        <v>Yes</v>
      </c>
      <c r="O816">
        <v>0.57999999999999996</v>
      </c>
      <c r="P816" t="str" cm="1">
        <f t="array" ref="P816">_xlfn.IFS(O816&lt;=0.3,"Low Risk",O816&lt;=0.4,"medium Risk",O816&lt;=0.5,"High Risk",O816&gt;0.5,"Very High Risk")</f>
        <v>Very High Risk</v>
      </c>
      <c r="Q816">
        <v>19249</v>
      </c>
      <c r="R816">
        <v>38969</v>
      </c>
      <c r="S816" t="str">
        <f t="shared" si="50"/>
        <v>Yes</v>
      </c>
      <c r="T816">
        <v>9253</v>
      </c>
      <c r="U816" t="str" cm="1">
        <f t="array" ref="U816">_xlfn.IFS(T816&lt;5000,"Small",T816&lt;20000,"Medium",T816&lt;35000,"Large",T816&gt;35000,"Very Large")</f>
        <v>Medium</v>
      </c>
      <c r="V816">
        <v>84</v>
      </c>
      <c r="W816">
        <f t="shared" si="51"/>
        <v>7</v>
      </c>
      <c r="X816" t="s">
        <v>50</v>
      </c>
      <c r="Y816" t="s">
        <v>38</v>
      </c>
      <c r="Z816" t="s">
        <v>39</v>
      </c>
      <c r="AA816" t="s">
        <v>34</v>
      </c>
      <c r="AB816" t="s">
        <v>35</v>
      </c>
      <c r="AC816" t="s">
        <v>36</v>
      </c>
    </row>
    <row r="817" spans="1:29" x14ac:dyDescent="0.25">
      <c r="A817">
        <v>861</v>
      </c>
      <c r="B817">
        <v>9783</v>
      </c>
      <c r="C817">
        <v>6099</v>
      </c>
      <c r="D817">
        <f t="shared" si="48"/>
        <v>15882</v>
      </c>
      <c r="E817" t="s">
        <v>49</v>
      </c>
      <c r="F817">
        <v>31</v>
      </c>
      <c r="G817" t="str" cm="1">
        <f t="array" ref="G817">_xlfn.IFS(F817&lt;25,"18-24",F817&lt;35,"25-35",F817&lt;45,"35-44",F817&lt;55,"44-54",F817&gt;=55,"55+")</f>
        <v>25-35</v>
      </c>
      <c r="H817" t="s">
        <v>41</v>
      </c>
      <c r="I817">
        <v>0</v>
      </c>
      <c r="J817" t="str" cm="1">
        <f t="array" ref="J817">_xlfn.IFS(I817&lt;=0,"No Dependents",I817&lt;=1,"One",I817&lt;=2,"Two",I817&gt;=3,"Third")</f>
        <v>No Dependents</v>
      </c>
      <c r="K817">
        <v>703</v>
      </c>
      <c r="L817" t="str" cm="1">
        <f t="array" ref="L817">_xlfn.IFS(K817&lt;=580,"Poor",K817&lt;=670,"fair",K817&lt;=740,"Good",K817&lt;=800,"Very Good",K817&gt;=800,"Excellent")</f>
        <v>Good</v>
      </c>
      <c r="M817">
        <v>1</v>
      </c>
      <c r="N817" t="str">
        <f t="shared" si="49"/>
        <v>Yes</v>
      </c>
      <c r="O817">
        <v>0.35</v>
      </c>
      <c r="P817" t="str" cm="1">
        <f t="array" ref="P817">_xlfn.IFS(O817&lt;=0.3,"Low Risk",O817&lt;=0.4,"medium Risk",O817&lt;=0.5,"High Risk",O817&gt;0.5,"Very High Risk")</f>
        <v>medium Risk</v>
      </c>
      <c r="Q817">
        <v>2575</v>
      </c>
      <c r="R817">
        <v>48348</v>
      </c>
      <c r="S817" t="str">
        <f t="shared" si="50"/>
        <v>Yes</v>
      </c>
      <c r="T817">
        <v>26208</v>
      </c>
      <c r="U817" t="str" cm="1">
        <f t="array" ref="U817">_xlfn.IFS(T817&lt;5000,"Small",T817&lt;20000,"Medium",T817&lt;35000,"Large",T817&gt;35000,"Very Large")</f>
        <v>Large</v>
      </c>
      <c r="V817">
        <v>36</v>
      </c>
      <c r="W817">
        <f t="shared" si="51"/>
        <v>3</v>
      </c>
      <c r="X817" t="s">
        <v>50</v>
      </c>
      <c r="Y817" t="s">
        <v>45</v>
      </c>
      <c r="Z817" t="s">
        <v>33</v>
      </c>
      <c r="AA817" t="s">
        <v>40</v>
      </c>
      <c r="AB817" t="s">
        <v>35</v>
      </c>
      <c r="AC817" t="s">
        <v>36</v>
      </c>
    </row>
    <row r="818" spans="1:29" x14ac:dyDescent="0.25">
      <c r="A818">
        <v>862</v>
      </c>
      <c r="B818">
        <v>13473</v>
      </c>
      <c r="C818">
        <v>8555</v>
      </c>
      <c r="D818">
        <f t="shared" si="48"/>
        <v>22028</v>
      </c>
      <c r="E818" t="s">
        <v>29</v>
      </c>
      <c r="F818">
        <v>28</v>
      </c>
      <c r="G818" t="str" cm="1">
        <f t="array" ref="G818">_xlfn.IFS(F818&lt;25,"18-24",F818&lt;35,"25-35",F818&lt;45,"35-44",F818&lt;55,"44-54",F818&gt;=55,"55+")</f>
        <v>25-35</v>
      </c>
      <c r="H818" t="s">
        <v>30</v>
      </c>
      <c r="I818">
        <v>1</v>
      </c>
      <c r="J818" t="str" cm="1">
        <f t="array" ref="J818">_xlfn.IFS(I818&lt;=0,"No Dependents",I818&lt;=1,"One",I818&lt;=2,"Two",I818&gt;=3,"Third")</f>
        <v>One</v>
      </c>
      <c r="K818">
        <v>677</v>
      </c>
      <c r="L818" t="str" cm="1">
        <f t="array" ref="L818">_xlfn.IFS(K818&lt;=580,"Poor",K818&lt;=670,"fair",K818&lt;=740,"Good",K818&lt;=800,"Very Good",K818&gt;=800,"Excellent")</f>
        <v>Good</v>
      </c>
      <c r="M818">
        <v>4</v>
      </c>
      <c r="N818" t="str">
        <f t="shared" si="49"/>
        <v>Yes</v>
      </c>
      <c r="O818">
        <v>0.11</v>
      </c>
      <c r="P818" t="str" cm="1">
        <f t="array" ref="P818">_xlfn.IFS(O818&lt;=0.3,"Low Risk",O818&lt;=0.4,"medium Risk",O818&lt;=0.5,"High Risk",O818&gt;0.5,"Very High Risk")</f>
        <v>Low Risk</v>
      </c>
      <c r="Q818">
        <v>12714</v>
      </c>
      <c r="R818">
        <v>19154</v>
      </c>
      <c r="S818" t="str">
        <f t="shared" si="50"/>
        <v>Yes</v>
      </c>
      <c r="T818">
        <v>5887</v>
      </c>
      <c r="U818" t="str" cm="1">
        <f t="array" ref="U818">_xlfn.IFS(T818&lt;5000,"Small",T818&lt;20000,"Medium",T818&lt;35000,"Large",T818&gt;35000,"Very Large")</f>
        <v>Medium</v>
      </c>
      <c r="V818">
        <v>36</v>
      </c>
      <c r="W818">
        <f t="shared" si="51"/>
        <v>3</v>
      </c>
      <c r="X818" t="s">
        <v>37</v>
      </c>
      <c r="Y818" t="s">
        <v>32</v>
      </c>
      <c r="Z818" t="s">
        <v>39</v>
      </c>
      <c r="AA818" t="s">
        <v>40</v>
      </c>
      <c r="AB818" t="s">
        <v>43</v>
      </c>
      <c r="AC818" t="s">
        <v>44</v>
      </c>
    </row>
    <row r="819" spans="1:29" x14ac:dyDescent="0.25">
      <c r="A819">
        <v>864</v>
      </c>
      <c r="B819">
        <v>17328</v>
      </c>
      <c r="C819">
        <v>285</v>
      </c>
      <c r="D819">
        <f t="shared" si="48"/>
        <v>17613</v>
      </c>
      <c r="E819" t="s">
        <v>49</v>
      </c>
      <c r="F819">
        <v>40</v>
      </c>
      <c r="G819" t="str" cm="1">
        <f t="array" ref="G819">_xlfn.IFS(F819&lt;25,"18-24",F819&lt;35,"25-35",F819&lt;45,"35-44",F819&lt;55,"44-54",F819&gt;=55,"55+")</f>
        <v>35-44</v>
      </c>
      <c r="H819" t="s">
        <v>30</v>
      </c>
      <c r="I819">
        <v>0</v>
      </c>
      <c r="J819" t="str" cm="1">
        <f t="array" ref="J819">_xlfn.IFS(I819&lt;=0,"No Dependents",I819&lt;=1,"One",I819&lt;=2,"Two",I819&gt;=3,"Third")</f>
        <v>No Dependents</v>
      </c>
      <c r="K819">
        <v>719</v>
      </c>
      <c r="L819" t="str" cm="1">
        <f t="array" ref="L819">_xlfn.IFS(K819&lt;=580,"Poor",K819&lt;=670,"fair",K819&lt;=740,"Good",K819&lt;=800,"Very Good",K819&gt;=800,"Excellent")</f>
        <v>Good</v>
      </c>
      <c r="M819">
        <v>1</v>
      </c>
      <c r="N819" t="str">
        <f t="shared" si="49"/>
        <v>Yes</v>
      </c>
      <c r="O819">
        <v>0.54</v>
      </c>
      <c r="P819" t="str" cm="1">
        <f t="array" ref="P819">_xlfn.IFS(O819&lt;=0.3,"Low Risk",O819&lt;=0.4,"medium Risk",O819&lt;=0.5,"High Risk",O819&gt;0.5,"Very High Risk")</f>
        <v>Very High Risk</v>
      </c>
      <c r="Q819">
        <v>8656</v>
      </c>
      <c r="R819">
        <v>20229</v>
      </c>
      <c r="S819" t="str">
        <f t="shared" si="50"/>
        <v>Yes</v>
      </c>
      <c r="T819">
        <v>36421</v>
      </c>
      <c r="U819" t="str" cm="1">
        <f t="array" ref="U819">_xlfn.IFS(T819&lt;5000,"Small",T819&lt;20000,"Medium",T819&lt;35000,"Large",T819&gt;35000,"Very Large")</f>
        <v>Very Large</v>
      </c>
      <c r="V819">
        <v>48</v>
      </c>
      <c r="W819">
        <f t="shared" si="51"/>
        <v>4</v>
      </c>
      <c r="X819" t="s">
        <v>50</v>
      </c>
      <c r="Y819" t="s">
        <v>45</v>
      </c>
      <c r="Z819" t="s">
        <v>39</v>
      </c>
      <c r="AA819" t="s">
        <v>34</v>
      </c>
      <c r="AB819" t="s">
        <v>43</v>
      </c>
      <c r="AC819" t="s">
        <v>36</v>
      </c>
    </row>
    <row r="820" spans="1:29" x14ac:dyDescent="0.25">
      <c r="A820">
        <v>865</v>
      </c>
      <c r="B820">
        <v>2827</v>
      </c>
      <c r="C820">
        <v>148</v>
      </c>
      <c r="D820">
        <f t="shared" si="48"/>
        <v>2975</v>
      </c>
      <c r="E820" t="s">
        <v>46</v>
      </c>
      <c r="F820">
        <v>40</v>
      </c>
      <c r="G820" t="str" cm="1">
        <f t="array" ref="G820">_xlfn.IFS(F820&lt;25,"18-24",F820&lt;35,"25-35",F820&lt;45,"35-44",F820&lt;55,"44-54",F820&gt;=55,"55+")</f>
        <v>35-44</v>
      </c>
      <c r="H820" t="s">
        <v>41</v>
      </c>
      <c r="I820">
        <v>1</v>
      </c>
      <c r="J820" t="str" cm="1">
        <f t="array" ref="J820">_xlfn.IFS(I820&lt;=0,"No Dependents",I820&lt;=1,"One",I820&lt;=2,"Two",I820&gt;=3,"Third")</f>
        <v>One</v>
      </c>
      <c r="K820">
        <v>596</v>
      </c>
      <c r="L820" t="str" cm="1">
        <f t="array" ref="L820">_xlfn.IFS(K820&lt;=580,"Poor",K820&lt;=670,"fair",K820&lt;=740,"Good",K820&lt;=800,"Very Good",K820&gt;=800,"Excellent")</f>
        <v>fair</v>
      </c>
      <c r="M820">
        <v>0</v>
      </c>
      <c r="N820" t="str">
        <f t="shared" si="49"/>
        <v>No</v>
      </c>
      <c r="O820">
        <v>0.35</v>
      </c>
      <c r="P820" t="str" cm="1">
        <f t="array" ref="P820">_xlfn.IFS(O820&lt;=0.3,"Low Risk",O820&lt;=0.4,"medium Risk",O820&lt;=0.5,"High Risk",O820&gt;0.5,"Very High Risk")</f>
        <v>medium Risk</v>
      </c>
      <c r="Q820">
        <v>5741</v>
      </c>
      <c r="R820">
        <v>49713</v>
      </c>
      <c r="S820" t="str">
        <f t="shared" si="50"/>
        <v>Yes</v>
      </c>
      <c r="T820">
        <v>2454</v>
      </c>
      <c r="U820" t="str" cm="1">
        <f t="array" ref="U820">_xlfn.IFS(T820&lt;5000,"Small",T820&lt;20000,"Medium",T820&lt;35000,"Large",T820&gt;35000,"Very Large")</f>
        <v>Small</v>
      </c>
      <c r="V820">
        <v>60</v>
      </c>
      <c r="W820">
        <f t="shared" si="51"/>
        <v>5</v>
      </c>
      <c r="X820" t="s">
        <v>42</v>
      </c>
      <c r="Y820" t="s">
        <v>32</v>
      </c>
      <c r="Z820" t="s">
        <v>33</v>
      </c>
      <c r="AA820" t="s">
        <v>40</v>
      </c>
      <c r="AB820" t="s">
        <v>43</v>
      </c>
      <c r="AC820" t="s">
        <v>36</v>
      </c>
    </row>
    <row r="821" spans="1:29" x14ac:dyDescent="0.25">
      <c r="A821">
        <v>866</v>
      </c>
      <c r="B821">
        <v>9147</v>
      </c>
      <c r="C821">
        <v>4037</v>
      </c>
      <c r="D821">
        <f t="shared" si="48"/>
        <v>13184</v>
      </c>
      <c r="E821" t="s">
        <v>48</v>
      </c>
      <c r="F821">
        <v>49</v>
      </c>
      <c r="G821" t="str" cm="1">
        <f t="array" ref="G821">_xlfn.IFS(F821&lt;25,"18-24",F821&lt;35,"25-35",F821&lt;45,"35-44",F821&lt;55,"44-54",F821&gt;=55,"55+")</f>
        <v>44-54</v>
      </c>
      <c r="H821" t="s">
        <v>41</v>
      </c>
      <c r="I821">
        <v>0</v>
      </c>
      <c r="J821" t="str" cm="1">
        <f t="array" ref="J821">_xlfn.IFS(I821&lt;=0,"No Dependents",I821&lt;=1,"One",I821&lt;=2,"Two",I821&gt;=3,"Third")</f>
        <v>No Dependents</v>
      </c>
      <c r="K821">
        <v>602</v>
      </c>
      <c r="L821" t="str" cm="1">
        <f t="array" ref="L821">_xlfn.IFS(K821&lt;=580,"Poor",K821&lt;=670,"fair",K821&lt;=740,"Good",K821&lt;=800,"Very Good",K821&gt;=800,"Excellent")</f>
        <v>fair</v>
      </c>
      <c r="M821">
        <v>2</v>
      </c>
      <c r="N821" t="str">
        <f t="shared" si="49"/>
        <v>Yes</v>
      </c>
      <c r="O821">
        <v>0.15</v>
      </c>
      <c r="P821" t="str" cm="1">
        <f t="array" ref="P821">_xlfn.IFS(O821&lt;=0.3,"Low Risk",O821&lt;=0.4,"medium Risk",O821&lt;=0.5,"High Risk",O821&gt;0.5,"Very High Risk")</f>
        <v>Low Risk</v>
      </c>
      <c r="Q821">
        <v>16661</v>
      </c>
      <c r="R821">
        <v>26997</v>
      </c>
      <c r="S821" t="str">
        <f t="shared" si="50"/>
        <v>Yes</v>
      </c>
      <c r="T821">
        <v>18522</v>
      </c>
      <c r="U821" t="str" cm="1">
        <f t="array" ref="U821">_xlfn.IFS(T821&lt;5000,"Small",T821&lt;20000,"Medium",T821&lt;35000,"Large",T821&gt;35000,"Very Large")</f>
        <v>Medium</v>
      </c>
      <c r="V821">
        <v>48</v>
      </c>
      <c r="W821">
        <f t="shared" si="51"/>
        <v>4</v>
      </c>
      <c r="X821" t="s">
        <v>37</v>
      </c>
      <c r="Y821" t="s">
        <v>32</v>
      </c>
      <c r="Z821" t="s">
        <v>39</v>
      </c>
      <c r="AA821" t="s">
        <v>34</v>
      </c>
      <c r="AB821" t="s">
        <v>51</v>
      </c>
      <c r="AC821" t="s">
        <v>36</v>
      </c>
    </row>
    <row r="822" spans="1:29" x14ac:dyDescent="0.25">
      <c r="A822">
        <v>867</v>
      </c>
      <c r="B822">
        <v>6451</v>
      </c>
      <c r="C822">
        <v>6549</v>
      </c>
      <c r="D822">
        <f t="shared" si="48"/>
        <v>13000</v>
      </c>
      <c r="E822" t="s">
        <v>48</v>
      </c>
      <c r="F822">
        <v>46</v>
      </c>
      <c r="G822" t="str" cm="1">
        <f t="array" ref="G822">_xlfn.IFS(F822&lt;25,"18-24",F822&lt;35,"25-35",F822&lt;45,"35-44",F822&lt;55,"44-54",F822&gt;=55,"55+")</f>
        <v>44-54</v>
      </c>
      <c r="H822" t="s">
        <v>41</v>
      </c>
      <c r="I822">
        <v>3</v>
      </c>
      <c r="J822" t="str" cm="1">
        <f t="array" ref="J822">_xlfn.IFS(I822&lt;=0,"No Dependents",I822&lt;=1,"One",I822&lt;=2,"Two",I822&gt;=3,"Third")</f>
        <v>Third</v>
      </c>
      <c r="K822">
        <v>736</v>
      </c>
      <c r="L822" t="str" cm="1">
        <f t="array" ref="L822">_xlfn.IFS(K822&lt;=580,"Poor",K822&lt;=670,"fair",K822&lt;=740,"Good",K822&lt;=800,"Very Good",K822&gt;=800,"Excellent")</f>
        <v>Good</v>
      </c>
      <c r="M822">
        <v>3</v>
      </c>
      <c r="N822" t="str">
        <f t="shared" si="49"/>
        <v>Yes</v>
      </c>
      <c r="O822">
        <v>0.48</v>
      </c>
      <c r="P822" t="str" cm="1">
        <f t="array" ref="P822">_xlfn.IFS(O822&lt;=0.3,"Low Risk",O822&lt;=0.4,"medium Risk",O822&lt;=0.5,"High Risk",O822&gt;0.5,"Very High Risk")</f>
        <v>High Risk</v>
      </c>
      <c r="Q822">
        <v>65</v>
      </c>
      <c r="R822">
        <v>21101</v>
      </c>
      <c r="S822" t="str">
        <f t="shared" si="50"/>
        <v>Yes</v>
      </c>
      <c r="T822">
        <v>39575</v>
      </c>
      <c r="U822" t="str" cm="1">
        <f t="array" ref="U822">_xlfn.IFS(T822&lt;5000,"Small",T822&lt;20000,"Medium",T822&lt;35000,"Large",T822&gt;35000,"Very Large")</f>
        <v>Very Large</v>
      </c>
      <c r="V822">
        <v>36</v>
      </c>
      <c r="W822">
        <f t="shared" si="51"/>
        <v>3</v>
      </c>
      <c r="X822" t="s">
        <v>31</v>
      </c>
      <c r="Y822" t="s">
        <v>38</v>
      </c>
      <c r="Z822" t="s">
        <v>39</v>
      </c>
      <c r="AA822" t="s">
        <v>34</v>
      </c>
      <c r="AB822" t="s">
        <v>35</v>
      </c>
      <c r="AC822" t="s">
        <v>36</v>
      </c>
    </row>
    <row r="823" spans="1:29" x14ac:dyDescent="0.25">
      <c r="A823">
        <v>868</v>
      </c>
      <c r="B823">
        <v>17343</v>
      </c>
      <c r="C823">
        <v>7121</v>
      </c>
      <c r="D823">
        <f t="shared" si="48"/>
        <v>24464</v>
      </c>
      <c r="E823" t="s">
        <v>29</v>
      </c>
      <c r="F823">
        <v>50</v>
      </c>
      <c r="G823" t="str" cm="1">
        <f t="array" ref="G823">_xlfn.IFS(F823&lt;25,"18-24",F823&lt;35,"25-35",F823&lt;45,"35-44",F823&lt;55,"44-54",F823&gt;=55,"55+")</f>
        <v>44-54</v>
      </c>
      <c r="H823" t="s">
        <v>41</v>
      </c>
      <c r="I823">
        <v>1</v>
      </c>
      <c r="J823" t="str" cm="1">
        <f t="array" ref="J823">_xlfn.IFS(I823&lt;=0,"No Dependents",I823&lt;=1,"One",I823&lt;=2,"Two",I823&gt;=3,"Third")</f>
        <v>One</v>
      </c>
      <c r="K823">
        <v>587</v>
      </c>
      <c r="L823" t="str" cm="1">
        <f t="array" ref="L823">_xlfn.IFS(K823&lt;=580,"Poor",K823&lt;=670,"fair",K823&lt;=740,"Good",K823&lt;=800,"Very Good",K823&gt;=800,"Excellent")</f>
        <v>fair</v>
      </c>
      <c r="M823">
        <v>1</v>
      </c>
      <c r="N823" t="str">
        <f t="shared" si="49"/>
        <v>Yes</v>
      </c>
      <c r="O823">
        <v>0.4</v>
      </c>
      <c r="P823" t="str" cm="1">
        <f t="array" ref="P823">_xlfn.IFS(O823&lt;=0.3,"Low Risk",O823&lt;=0.4,"medium Risk",O823&lt;=0.5,"High Risk",O823&gt;0.5,"Very High Risk")</f>
        <v>medium Risk</v>
      </c>
      <c r="Q823">
        <v>4262</v>
      </c>
      <c r="R823">
        <v>40391</v>
      </c>
      <c r="S823" t="str">
        <f t="shared" si="50"/>
        <v>Yes</v>
      </c>
      <c r="T823">
        <v>4192</v>
      </c>
      <c r="U823" t="str" cm="1">
        <f t="array" ref="U823">_xlfn.IFS(T823&lt;5000,"Small",T823&lt;20000,"Medium",T823&lt;35000,"Large",T823&gt;35000,"Very Large")</f>
        <v>Small</v>
      </c>
      <c r="V823">
        <v>60</v>
      </c>
      <c r="W823">
        <f t="shared" si="51"/>
        <v>5</v>
      </c>
      <c r="X823" t="s">
        <v>37</v>
      </c>
      <c r="Y823" t="s">
        <v>45</v>
      </c>
      <c r="Z823" t="s">
        <v>33</v>
      </c>
      <c r="AA823" t="s">
        <v>34</v>
      </c>
      <c r="AB823" t="s">
        <v>35</v>
      </c>
      <c r="AC823" t="s">
        <v>36</v>
      </c>
    </row>
    <row r="824" spans="1:29" x14ac:dyDescent="0.25">
      <c r="A824">
        <v>869</v>
      </c>
      <c r="B824">
        <v>15635</v>
      </c>
      <c r="C824">
        <v>9958</v>
      </c>
      <c r="D824">
        <f t="shared" si="48"/>
        <v>25593</v>
      </c>
      <c r="E824" t="s">
        <v>29</v>
      </c>
      <c r="F824">
        <v>37</v>
      </c>
      <c r="G824" t="str" cm="1">
        <f t="array" ref="G824">_xlfn.IFS(F824&lt;25,"18-24",F824&lt;35,"25-35",F824&lt;45,"35-44",F824&lt;55,"44-54",F824&gt;=55,"55+")</f>
        <v>35-44</v>
      </c>
      <c r="H824" t="s">
        <v>30</v>
      </c>
      <c r="I824">
        <v>0</v>
      </c>
      <c r="J824" t="str" cm="1">
        <f t="array" ref="J824">_xlfn.IFS(I824&lt;=0,"No Dependents",I824&lt;=1,"One",I824&lt;=2,"Two",I824&gt;=3,"Third")</f>
        <v>No Dependents</v>
      </c>
      <c r="K824">
        <v>746</v>
      </c>
      <c r="L824" t="str" cm="1">
        <f t="array" ref="L824">_xlfn.IFS(K824&lt;=580,"Poor",K824&lt;=670,"fair",K824&lt;=740,"Good",K824&lt;=800,"Very Good",K824&gt;=800,"Excellent")</f>
        <v>Very Good</v>
      </c>
      <c r="M824">
        <v>0</v>
      </c>
      <c r="N824" t="str">
        <f t="shared" si="49"/>
        <v>No</v>
      </c>
      <c r="O824">
        <v>0.39</v>
      </c>
      <c r="P824" t="str" cm="1">
        <f t="array" ref="P824">_xlfn.IFS(O824&lt;=0.3,"Low Risk",O824&lt;=0.4,"medium Risk",O824&lt;=0.5,"High Risk",O824&gt;0.5,"Very High Risk")</f>
        <v>medium Risk</v>
      </c>
      <c r="Q824">
        <v>5704</v>
      </c>
      <c r="R824">
        <v>10327</v>
      </c>
      <c r="S824" t="str">
        <f t="shared" si="50"/>
        <v>Yes</v>
      </c>
      <c r="T824">
        <v>16775</v>
      </c>
      <c r="U824" t="str" cm="1">
        <f t="array" ref="U824">_xlfn.IFS(T824&lt;5000,"Small",T824&lt;20000,"Medium",T824&lt;35000,"Large",T824&gt;35000,"Very Large")</f>
        <v>Medium</v>
      </c>
      <c r="V824">
        <v>24</v>
      </c>
      <c r="W824">
        <f t="shared" si="51"/>
        <v>2</v>
      </c>
      <c r="X824" t="s">
        <v>47</v>
      </c>
      <c r="Y824" t="s">
        <v>32</v>
      </c>
      <c r="Z824" t="s">
        <v>39</v>
      </c>
      <c r="AA824" t="s">
        <v>40</v>
      </c>
      <c r="AB824" t="s">
        <v>51</v>
      </c>
      <c r="AC824" t="s">
        <v>44</v>
      </c>
    </row>
    <row r="825" spans="1:29" x14ac:dyDescent="0.25">
      <c r="A825">
        <v>870</v>
      </c>
      <c r="B825">
        <v>7959</v>
      </c>
      <c r="C825">
        <v>4895</v>
      </c>
      <c r="D825">
        <f t="shared" si="48"/>
        <v>12854</v>
      </c>
      <c r="E825" t="s">
        <v>48</v>
      </c>
      <c r="F825">
        <v>40</v>
      </c>
      <c r="G825" t="str" cm="1">
        <f t="array" ref="G825">_xlfn.IFS(F825&lt;25,"18-24",F825&lt;35,"25-35",F825&lt;45,"35-44",F825&lt;55,"44-54",F825&gt;=55,"55+")</f>
        <v>35-44</v>
      </c>
      <c r="H825" t="s">
        <v>30</v>
      </c>
      <c r="I825">
        <v>2</v>
      </c>
      <c r="J825" t="str" cm="1">
        <f t="array" ref="J825">_xlfn.IFS(I825&lt;=0,"No Dependents",I825&lt;=1,"One",I825&lt;=2,"Two",I825&gt;=3,"Third")</f>
        <v>Two</v>
      </c>
      <c r="K825">
        <v>764</v>
      </c>
      <c r="L825" t="str" cm="1">
        <f t="array" ref="L825">_xlfn.IFS(K825&lt;=580,"Poor",K825&lt;=670,"fair",K825&lt;=740,"Good",K825&lt;=800,"Very Good",K825&gt;=800,"Excellent")</f>
        <v>Very Good</v>
      </c>
      <c r="M825">
        <v>2</v>
      </c>
      <c r="N825" t="str">
        <f t="shared" si="49"/>
        <v>Yes</v>
      </c>
      <c r="O825">
        <v>0.13</v>
      </c>
      <c r="P825" t="str" cm="1">
        <f t="array" ref="P825">_xlfn.IFS(O825&lt;=0.3,"Low Risk",O825&lt;=0.4,"medium Risk",O825&lt;=0.5,"High Risk",O825&gt;0.5,"Very High Risk")</f>
        <v>Low Risk</v>
      </c>
      <c r="Q825">
        <v>15355</v>
      </c>
      <c r="R825">
        <v>7187</v>
      </c>
      <c r="S825" t="str">
        <f t="shared" si="50"/>
        <v>Yes</v>
      </c>
      <c r="T825">
        <v>11402</v>
      </c>
      <c r="U825" t="str" cm="1">
        <f t="array" ref="U825">_xlfn.IFS(T825&lt;5000,"Small",T825&lt;20000,"Medium",T825&lt;35000,"Large",T825&gt;35000,"Very Large")</f>
        <v>Medium</v>
      </c>
      <c r="V825">
        <v>12</v>
      </c>
      <c r="W825">
        <f t="shared" si="51"/>
        <v>1</v>
      </c>
      <c r="X825" t="s">
        <v>37</v>
      </c>
      <c r="Y825" t="s">
        <v>32</v>
      </c>
      <c r="Z825" t="s">
        <v>39</v>
      </c>
      <c r="AA825" t="s">
        <v>34</v>
      </c>
      <c r="AB825" t="s">
        <v>43</v>
      </c>
      <c r="AC825" t="s">
        <v>44</v>
      </c>
    </row>
    <row r="826" spans="1:29" x14ac:dyDescent="0.25">
      <c r="A826">
        <v>871</v>
      </c>
      <c r="B826">
        <v>2126</v>
      </c>
      <c r="C826">
        <v>5280</v>
      </c>
      <c r="D826">
        <f t="shared" si="48"/>
        <v>7406</v>
      </c>
      <c r="E826" t="s">
        <v>46</v>
      </c>
      <c r="F826">
        <v>36</v>
      </c>
      <c r="G826" t="str" cm="1">
        <f t="array" ref="G826">_xlfn.IFS(F826&lt;25,"18-24",F826&lt;35,"25-35",F826&lt;45,"35-44",F826&lt;55,"44-54",F826&gt;=55,"55+")</f>
        <v>35-44</v>
      </c>
      <c r="H826" t="s">
        <v>41</v>
      </c>
      <c r="I826">
        <v>1</v>
      </c>
      <c r="J826" t="str" cm="1">
        <f t="array" ref="J826">_xlfn.IFS(I826&lt;=0,"No Dependents",I826&lt;=1,"One",I826&lt;=2,"Two",I826&gt;=3,"Third")</f>
        <v>One</v>
      </c>
      <c r="K826">
        <v>550</v>
      </c>
      <c r="L826" t="str" cm="1">
        <f t="array" ref="L826">_xlfn.IFS(K826&lt;=580,"Poor",K826&lt;=670,"fair",K826&lt;=740,"Good",K826&lt;=800,"Very Good",K826&gt;=800,"Excellent")</f>
        <v>Poor</v>
      </c>
      <c r="M826">
        <v>2</v>
      </c>
      <c r="N826" t="str">
        <f t="shared" si="49"/>
        <v>Yes</v>
      </c>
      <c r="O826">
        <v>0.17</v>
      </c>
      <c r="P826" t="str" cm="1">
        <f t="array" ref="P826">_xlfn.IFS(O826&lt;=0.3,"Low Risk",O826&lt;=0.4,"medium Risk",O826&lt;=0.5,"High Risk",O826&gt;0.5,"Very High Risk")</f>
        <v>Low Risk</v>
      </c>
      <c r="Q826">
        <v>8594</v>
      </c>
      <c r="R826">
        <v>29685</v>
      </c>
      <c r="S826" t="str">
        <f t="shared" si="50"/>
        <v>Yes</v>
      </c>
      <c r="T826">
        <v>14074</v>
      </c>
      <c r="U826" t="str" cm="1">
        <f t="array" ref="U826">_xlfn.IFS(T826&lt;5000,"Small",T826&lt;20000,"Medium",T826&lt;35000,"Large",T826&gt;35000,"Very Large")</f>
        <v>Medium</v>
      </c>
      <c r="V826">
        <v>12</v>
      </c>
      <c r="W826">
        <f t="shared" si="51"/>
        <v>1</v>
      </c>
      <c r="X826" t="s">
        <v>31</v>
      </c>
      <c r="Y826" t="s">
        <v>32</v>
      </c>
      <c r="Z826" t="s">
        <v>33</v>
      </c>
      <c r="AA826" t="s">
        <v>40</v>
      </c>
      <c r="AB826" t="s">
        <v>43</v>
      </c>
      <c r="AC826" t="s">
        <v>36</v>
      </c>
    </row>
    <row r="827" spans="1:29" x14ac:dyDescent="0.25">
      <c r="A827">
        <v>872</v>
      </c>
      <c r="B827">
        <v>10795</v>
      </c>
      <c r="C827">
        <v>1012</v>
      </c>
      <c r="D827">
        <f t="shared" si="48"/>
        <v>11807</v>
      </c>
      <c r="E827" t="s">
        <v>29</v>
      </c>
      <c r="F827">
        <v>27</v>
      </c>
      <c r="G827" t="str" cm="1">
        <f t="array" ref="G827">_xlfn.IFS(F827&lt;25,"18-24",F827&lt;35,"25-35",F827&lt;45,"35-44",F827&lt;55,"44-54",F827&gt;=55,"55+")</f>
        <v>25-35</v>
      </c>
      <c r="H827" t="s">
        <v>30</v>
      </c>
      <c r="I827">
        <v>3</v>
      </c>
      <c r="J827" t="str" cm="1">
        <f t="array" ref="J827">_xlfn.IFS(I827&lt;=0,"No Dependents",I827&lt;=1,"One",I827&lt;=2,"Two",I827&gt;=3,"Third")</f>
        <v>Third</v>
      </c>
      <c r="K827">
        <v>775</v>
      </c>
      <c r="L827" t="str" cm="1">
        <f t="array" ref="L827">_xlfn.IFS(K827&lt;=580,"Poor",K827&lt;=670,"fair",K827&lt;=740,"Good",K827&lt;=800,"Very Good",K827&gt;=800,"Excellent")</f>
        <v>Very Good</v>
      </c>
      <c r="M827">
        <v>0</v>
      </c>
      <c r="N827" t="str">
        <f t="shared" si="49"/>
        <v>No</v>
      </c>
      <c r="O827">
        <v>0.41</v>
      </c>
      <c r="P827" t="str" cm="1">
        <f t="array" ref="P827">_xlfn.IFS(O827&lt;=0.3,"Low Risk",O827&lt;=0.4,"medium Risk",O827&lt;=0.5,"High Risk",O827&gt;0.5,"Very High Risk")</f>
        <v>High Risk</v>
      </c>
      <c r="Q827">
        <v>12175</v>
      </c>
      <c r="R827">
        <v>34948</v>
      </c>
      <c r="S827" t="str">
        <f t="shared" si="50"/>
        <v>Yes</v>
      </c>
      <c r="T827">
        <v>16245</v>
      </c>
      <c r="U827" t="str" cm="1">
        <f t="array" ref="U827">_xlfn.IFS(T827&lt;5000,"Small",T827&lt;20000,"Medium",T827&lt;35000,"Large",T827&gt;35000,"Very Large")</f>
        <v>Medium</v>
      </c>
      <c r="V827">
        <v>36</v>
      </c>
      <c r="W827">
        <f t="shared" si="51"/>
        <v>3</v>
      </c>
      <c r="X827" t="s">
        <v>42</v>
      </c>
      <c r="Y827" t="s">
        <v>45</v>
      </c>
      <c r="Z827" t="s">
        <v>39</v>
      </c>
      <c r="AA827" t="s">
        <v>40</v>
      </c>
      <c r="AB827" t="s">
        <v>43</v>
      </c>
      <c r="AC827" t="s">
        <v>36</v>
      </c>
    </row>
    <row r="828" spans="1:29" x14ac:dyDescent="0.25">
      <c r="A828">
        <v>873</v>
      </c>
      <c r="B828">
        <v>13641</v>
      </c>
      <c r="C828">
        <v>9715</v>
      </c>
      <c r="D828">
        <f t="shared" si="48"/>
        <v>23356</v>
      </c>
      <c r="E828" t="s">
        <v>29</v>
      </c>
      <c r="F828">
        <v>36</v>
      </c>
      <c r="G828" t="str" cm="1">
        <f t="array" ref="G828">_xlfn.IFS(F828&lt;25,"18-24",F828&lt;35,"25-35",F828&lt;45,"35-44",F828&lt;55,"44-54",F828&gt;=55,"55+")</f>
        <v>35-44</v>
      </c>
      <c r="H828" t="s">
        <v>30</v>
      </c>
      <c r="I828">
        <v>0</v>
      </c>
      <c r="J828" t="str" cm="1">
        <f t="array" ref="J828">_xlfn.IFS(I828&lt;=0,"No Dependents",I828&lt;=1,"One",I828&lt;=2,"Two",I828&gt;=3,"Third")</f>
        <v>No Dependents</v>
      </c>
      <c r="K828">
        <v>602</v>
      </c>
      <c r="L828" t="str" cm="1">
        <f t="array" ref="L828">_xlfn.IFS(K828&lt;=580,"Poor",K828&lt;=670,"fair",K828&lt;=740,"Good",K828&lt;=800,"Very Good",K828&gt;=800,"Excellent")</f>
        <v>fair</v>
      </c>
      <c r="M828">
        <v>4</v>
      </c>
      <c r="N828" t="str">
        <f t="shared" si="49"/>
        <v>Yes</v>
      </c>
      <c r="O828">
        <v>0.2</v>
      </c>
      <c r="P828" t="str" cm="1">
        <f t="array" ref="P828">_xlfn.IFS(O828&lt;=0.3,"Low Risk",O828&lt;=0.4,"medium Risk",O828&lt;=0.5,"High Risk",O828&gt;0.5,"Very High Risk")</f>
        <v>Low Risk</v>
      </c>
      <c r="Q828">
        <v>12696</v>
      </c>
      <c r="R828">
        <v>34728</v>
      </c>
      <c r="S828" t="str">
        <f t="shared" si="50"/>
        <v>Yes</v>
      </c>
      <c r="T828">
        <v>37527</v>
      </c>
      <c r="U828" t="str" cm="1">
        <f t="array" ref="U828">_xlfn.IFS(T828&lt;5000,"Small",T828&lt;20000,"Medium",T828&lt;35000,"Large",T828&gt;35000,"Very Large")</f>
        <v>Very Large</v>
      </c>
      <c r="V828">
        <v>84</v>
      </c>
      <c r="W828">
        <f t="shared" si="51"/>
        <v>7</v>
      </c>
      <c r="X828" t="s">
        <v>31</v>
      </c>
      <c r="Y828" t="s">
        <v>38</v>
      </c>
      <c r="Z828" t="s">
        <v>33</v>
      </c>
      <c r="AA828" t="s">
        <v>40</v>
      </c>
      <c r="AB828" t="s">
        <v>43</v>
      </c>
      <c r="AC828" t="s">
        <v>36</v>
      </c>
    </row>
    <row r="829" spans="1:29" x14ac:dyDescent="0.25">
      <c r="A829">
        <v>874</v>
      </c>
      <c r="B829">
        <v>9196</v>
      </c>
      <c r="C829">
        <v>2785</v>
      </c>
      <c r="D829">
        <f t="shared" si="48"/>
        <v>11981</v>
      </c>
      <c r="E829" t="s">
        <v>46</v>
      </c>
      <c r="F829">
        <v>47</v>
      </c>
      <c r="G829" t="str" cm="1">
        <f t="array" ref="G829">_xlfn.IFS(F829&lt;25,"18-24",F829&lt;35,"25-35",F829&lt;45,"35-44",F829&lt;55,"44-54",F829&gt;=55,"55+")</f>
        <v>44-54</v>
      </c>
      <c r="H829" t="s">
        <v>30</v>
      </c>
      <c r="I829">
        <v>1</v>
      </c>
      <c r="J829" t="str" cm="1">
        <f t="array" ref="J829">_xlfn.IFS(I829&lt;=0,"No Dependents",I829&lt;=1,"One",I829&lt;=2,"Two",I829&gt;=3,"Third")</f>
        <v>One</v>
      </c>
      <c r="K829">
        <v>692</v>
      </c>
      <c r="L829" t="str" cm="1">
        <f t="array" ref="L829">_xlfn.IFS(K829&lt;=580,"Poor",K829&lt;=670,"fair",K829&lt;=740,"Good",K829&lt;=800,"Very Good",K829&gt;=800,"Excellent")</f>
        <v>Good</v>
      </c>
      <c r="M829">
        <v>2</v>
      </c>
      <c r="N829" t="str">
        <f t="shared" si="49"/>
        <v>Yes</v>
      </c>
      <c r="O829">
        <v>0.35</v>
      </c>
      <c r="P829" t="str" cm="1">
        <f t="array" ref="P829">_xlfn.IFS(O829&lt;=0.3,"Low Risk",O829&lt;=0.4,"medium Risk",O829&lt;=0.5,"High Risk",O829&gt;0.5,"Very High Risk")</f>
        <v>medium Risk</v>
      </c>
      <c r="Q829">
        <v>6255</v>
      </c>
      <c r="R829">
        <v>37921</v>
      </c>
      <c r="S829" t="str">
        <f t="shared" si="50"/>
        <v>Yes</v>
      </c>
      <c r="T829">
        <v>26936</v>
      </c>
      <c r="U829" t="str" cm="1">
        <f t="array" ref="U829">_xlfn.IFS(T829&lt;5000,"Small",T829&lt;20000,"Medium",T829&lt;35000,"Large",T829&gt;35000,"Very Large")</f>
        <v>Large</v>
      </c>
      <c r="V829">
        <v>48</v>
      </c>
      <c r="W829">
        <f t="shared" si="51"/>
        <v>4</v>
      </c>
      <c r="X829" t="s">
        <v>37</v>
      </c>
      <c r="Y829" t="s">
        <v>45</v>
      </c>
      <c r="Z829" t="s">
        <v>39</v>
      </c>
      <c r="AA829" t="s">
        <v>40</v>
      </c>
      <c r="AB829" t="s">
        <v>35</v>
      </c>
      <c r="AC829" t="s">
        <v>44</v>
      </c>
    </row>
    <row r="830" spans="1:29" x14ac:dyDescent="0.25">
      <c r="A830">
        <v>875</v>
      </c>
      <c r="B830">
        <v>13559</v>
      </c>
      <c r="C830">
        <v>3725</v>
      </c>
      <c r="D830">
        <f t="shared" si="48"/>
        <v>17284</v>
      </c>
      <c r="E830" t="s">
        <v>52</v>
      </c>
      <c r="F830">
        <v>43</v>
      </c>
      <c r="G830" t="str" cm="1">
        <f t="array" ref="G830">_xlfn.IFS(F830&lt;25,"18-24",F830&lt;35,"25-35",F830&lt;45,"35-44",F830&lt;55,"44-54",F830&gt;=55,"55+")</f>
        <v>35-44</v>
      </c>
      <c r="H830" t="s">
        <v>30</v>
      </c>
      <c r="I830">
        <v>1</v>
      </c>
      <c r="J830" t="str" cm="1">
        <f t="array" ref="J830">_xlfn.IFS(I830&lt;=0,"No Dependents",I830&lt;=1,"One",I830&lt;=2,"Two",I830&gt;=3,"Third")</f>
        <v>One</v>
      </c>
      <c r="K830">
        <v>773</v>
      </c>
      <c r="L830" t="str" cm="1">
        <f t="array" ref="L830">_xlfn.IFS(K830&lt;=580,"Poor",K830&lt;=670,"fair",K830&lt;=740,"Good",K830&lt;=800,"Very Good",K830&gt;=800,"Excellent")</f>
        <v>Very Good</v>
      </c>
      <c r="M830">
        <v>3</v>
      </c>
      <c r="N830" t="str">
        <f t="shared" si="49"/>
        <v>Yes</v>
      </c>
      <c r="O830">
        <v>0.37</v>
      </c>
      <c r="P830" t="str" cm="1">
        <f t="array" ref="P830">_xlfn.IFS(O830&lt;=0.3,"Low Risk",O830&lt;=0.4,"medium Risk",O830&lt;=0.5,"High Risk",O830&gt;0.5,"Very High Risk")</f>
        <v>medium Risk</v>
      </c>
      <c r="Q830">
        <v>7441</v>
      </c>
      <c r="R830">
        <v>7035</v>
      </c>
      <c r="S830" t="str">
        <f t="shared" si="50"/>
        <v>Yes</v>
      </c>
      <c r="T830">
        <v>28002</v>
      </c>
      <c r="U830" t="str" cm="1">
        <f t="array" ref="U830">_xlfn.IFS(T830&lt;5000,"Small",T830&lt;20000,"Medium",T830&lt;35000,"Large",T830&gt;35000,"Very Large")</f>
        <v>Large</v>
      </c>
      <c r="V830">
        <v>24</v>
      </c>
      <c r="W830">
        <f t="shared" si="51"/>
        <v>2</v>
      </c>
      <c r="X830" t="s">
        <v>31</v>
      </c>
      <c r="Y830" t="s">
        <v>32</v>
      </c>
      <c r="Z830" t="s">
        <v>33</v>
      </c>
      <c r="AA830" t="s">
        <v>40</v>
      </c>
      <c r="AB830" t="s">
        <v>43</v>
      </c>
      <c r="AC830" t="s">
        <v>36</v>
      </c>
    </row>
    <row r="831" spans="1:29" x14ac:dyDescent="0.25">
      <c r="A831">
        <v>876</v>
      </c>
      <c r="B831">
        <v>5368</v>
      </c>
      <c r="C831">
        <v>4576</v>
      </c>
      <c r="D831">
        <f t="shared" si="48"/>
        <v>9944</v>
      </c>
      <c r="E831" t="s">
        <v>49</v>
      </c>
      <c r="F831">
        <v>44</v>
      </c>
      <c r="G831" t="str" cm="1">
        <f t="array" ref="G831">_xlfn.IFS(F831&lt;25,"18-24",F831&lt;35,"25-35",F831&lt;45,"35-44",F831&lt;55,"44-54",F831&gt;=55,"55+")</f>
        <v>35-44</v>
      </c>
      <c r="H831" t="s">
        <v>30</v>
      </c>
      <c r="I831">
        <v>1</v>
      </c>
      <c r="J831" t="str" cm="1">
        <f t="array" ref="J831">_xlfn.IFS(I831&lt;=0,"No Dependents",I831&lt;=1,"One",I831&lt;=2,"Two",I831&gt;=3,"Third")</f>
        <v>One</v>
      </c>
      <c r="K831">
        <v>703</v>
      </c>
      <c r="L831" t="str" cm="1">
        <f t="array" ref="L831">_xlfn.IFS(K831&lt;=580,"Poor",K831&lt;=670,"fair",K831&lt;=740,"Good",K831&lt;=800,"Very Good",K831&gt;=800,"Excellent")</f>
        <v>Good</v>
      </c>
      <c r="M831">
        <v>1</v>
      </c>
      <c r="N831" t="str">
        <f t="shared" si="49"/>
        <v>Yes</v>
      </c>
      <c r="O831">
        <v>0.24</v>
      </c>
      <c r="P831" t="str" cm="1">
        <f t="array" ref="P831">_xlfn.IFS(O831&lt;=0.3,"Low Risk",O831&lt;=0.4,"medium Risk",O831&lt;=0.5,"High Risk",O831&gt;0.5,"Very High Risk")</f>
        <v>Low Risk</v>
      </c>
      <c r="Q831">
        <v>14986</v>
      </c>
      <c r="R831">
        <v>0</v>
      </c>
      <c r="S831" t="str">
        <f t="shared" si="50"/>
        <v>No</v>
      </c>
      <c r="T831">
        <v>16683</v>
      </c>
      <c r="U831" t="str" cm="1">
        <f t="array" ref="U831">_xlfn.IFS(T831&lt;5000,"Small",T831&lt;20000,"Medium",T831&lt;35000,"Large",T831&gt;35000,"Very Large")</f>
        <v>Medium</v>
      </c>
      <c r="V831">
        <v>60</v>
      </c>
      <c r="W831">
        <f t="shared" si="51"/>
        <v>5</v>
      </c>
      <c r="X831" t="s">
        <v>37</v>
      </c>
      <c r="Y831" t="s">
        <v>32</v>
      </c>
      <c r="Z831" t="s">
        <v>33</v>
      </c>
      <c r="AA831" t="s">
        <v>40</v>
      </c>
      <c r="AB831" t="s">
        <v>48</v>
      </c>
      <c r="AC831" t="s">
        <v>44</v>
      </c>
    </row>
    <row r="832" spans="1:29" x14ac:dyDescent="0.25">
      <c r="A832">
        <v>877</v>
      </c>
      <c r="B832">
        <v>5797</v>
      </c>
      <c r="C832">
        <v>5782</v>
      </c>
      <c r="D832">
        <f t="shared" si="48"/>
        <v>11579</v>
      </c>
      <c r="E832" t="s">
        <v>46</v>
      </c>
      <c r="F832">
        <v>29</v>
      </c>
      <c r="G832" t="str" cm="1">
        <f t="array" ref="G832">_xlfn.IFS(F832&lt;25,"18-24",F832&lt;35,"25-35",F832&lt;45,"35-44",F832&lt;55,"44-54",F832&gt;=55,"55+")</f>
        <v>25-35</v>
      </c>
      <c r="H832" t="s">
        <v>30</v>
      </c>
      <c r="I832">
        <v>3</v>
      </c>
      <c r="J832" t="str" cm="1">
        <f t="array" ref="J832">_xlfn.IFS(I832&lt;=0,"No Dependents",I832&lt;=1,"One",I832&lt;=2,"Two",I832&gt;=3,"Third")</f>
        <v>Third</v>
      </c>
      <c r="K832">
        <v>597</v>
      </c>
      <c r="L832" t="str" cm="1">
        <f t="array" ref="L832">_xlfn.IFS(K832&lt;=580,"Poor",K832&lt;=670,"fair",K832&lt;=740,"Good",K832&lt;=800,"Very Good",K832&gt;=800,"Excellent")</f>
        <v>fair</v>
      </c>
      <c r="M832">
        <v>3</v>
      </c>
      <c r="N832" t="str">
        <f t="shared" si="49"/>
        <v>Yes</v>
      </c>
      <c r="O832">
        <v>0.56999999999999995</v>
      </c>
      <c r="P832" t="str" cm="1">
        <f t="array" ref="P832">_xlfn.IFS(O832&lt;=0.3,"Low Risk",O832&lt;=0.4,"medium Risk",O832&lt;=0.5,"High Risk",O832&gt;0.5,"Very High Risk")</f>
        <v>Very High Risk</v>
      </c>
      <c r="Q832">
        <v>13350</v>
      </c>
      <c r="R832">
        <v>28460</v>
      </c>
      <c r="S832" t="str">
        <f t="shared" si="50"/>
        <v>Yes</v>
      </c>
      <c r="T832">
        <v>13460</v>
      </c>
      <c r="U832" t="str" cm="1">
        <f t="array" ref="U832">_xlfn.IFS(T832&lt;5000,"Small",T832&lt;20000,"Medium",T832&lt;35000,"Large",T832&gt;35000,"Very Large")</f>
        <v>Medium</v>
      </c>
      <c r="V832">
        <v>84</v>
      </c>
      <c r="W832">
        <f t="shared" si="51"/>
        <v>7</v>
      </c>
      <c r="X832" t="s">
        <v>42</v>
      </c>
      <c r="Y832" t="s">
        <v>38</v>
      </c>
      <c r="Z832" t="s">
        <v>39</v>
      </c>
      <c r="AA832" t="s">
        <v>40</v>
      </c>
      <c r="AB832" t="s">
        <v>43</v>
      </c>
      <c r="AC832" t="s">
        <v>36</v>
      </c>
    </row>
    <row r="833" spans="1:29" x14ac:dyDescent="0.25">
      <c r="A833">
        <v>878</v>
      </c>
      <c r="B833">
        <v>17114</v>
      </c>
      <c r="C833">
        <v>6257</v>
      </c>
      <c r="D833">
        <f t="shared" si="48"/>
        <v>23371</v>
      </c>
      <c r="E833" t="s">
        <v>29</v>
      </c>
      <c r="F833">
        <v>55</v>
      </c>
      <c r="G833" t="str" cm="1">
        <f t="array" ref="G833">_xlfn.IFS(F833&lt;25,"18-24",F833&lt;35,"25-35",F833&lt;45,"35-44",F833&lt;55,"44-54",F833&gt;=55,"55+")</f>
        <v>55+</v>
      </c>
      <c r="H833" t="s">
        <v>30</v>
      </c>
      <c r="I833">
        <v>0</v>
      </c>
      <c r="J833" t="str" cm="1">
        <f t="array" ref="J833">_xlfn.IFS(I833&lt;=0,"No Dependents",I833&lt;=1,"One",I833&lt;=2,"Two",I833&gt;=3,"Third")</f>
        <v>No Dependents</v>
      </c>
      <c r="K833">
        <v>644</v>
      </c>
      <c r="L833" t="str" cm="1">
        <f t="array" ref="L833">_xlfn.IFS(K833&lt;=580,"Poor",K833&lt;=670,"fair",K833&lt;=740,"Good",K833&lt;=800,"Very Good",K833&gt;=800,"Excellent")</f>
        <v>fair</v>
      </c>
      <c r="M833">
        <v>0</v>
      </c>
      <c r="N833" t="str">
        <f t="shared" si="49"/>
        <v>No</v>
      </c>
      <c r="O833">
        <v>0.52</v>
      </c>
      <c r="P833" t="str" cm="1">
        <f t="array" ref="P833">_xlfn.IFS(O833&lt;=0.3,"Low Risk",O833&lt;=0.4,"medium Risk",O833&lt;=0.5,"High Risk",O833&gt;0.5,"Very High Risk")</f>
        <v>Very High Risk</v>
      </c>
      <c r="Q833">
        <v>14440</v>
      </c>
      <c r="R833">
        <v>21071</v>
      </c>
      <c r="S833" t="str">
        <f t="shared" si="50"/>
        <v>Yes</v>
      </c>
      <c r="T833">
        <v>31482</v>
      </c>
      <c r="U833" t="str" cm="1">
        <f t="array" ref="U833">_xlfn.IFS(T833&lt;5000,"Small",T833&lt;20000,"Medium",T833&lt;35000,"Large",T833&gt;35000,"Very Large")</f>
        <v>Large</v>
      </c>
      <c r="V833">
        <v>48</v>
      </c>
      <c r="W833">
        <f t="shared" si="51"/>
        <v>4</v>
      </c>
      <c r="X833" t="s">
        <v>42</v>
      </c>
      <c r="Y833" t="s">
        <v>38</v>
      </c>
      <c r="Z833" t="s">
        <v>39</v>
      </c>
      <c r="AA833" t="s">
        <v>40</v>
      </c>
      <c r="AB833" t="s">
        <v>35</v>
      </c>
      <c r="AC833" t="s">
        <v>36</v>
      </c>
    </row>
    <row r="834" spans="1:29" x14ac:dyDescent="0.25">
      <c r="A834">
        <v>879</v>
      </c>
      <c r="B834">
        <v>15718</v>
      </c>
      <c r="C834">
        <v>9793</v>
      </c>
      <c r="D834">
        <f t="shared" si="48"/>
        <v>25511</v>
      </c>
      <c r="E834" t="s">
        <v>29</v>
      </c>
      <c r="F834">
        <v>40</v>
      </c>
      <c r="G834" t="str" cm="1">
        <f t="array" ref="G834">_xlfn.IFS(F834&lt;25,"18-24",F834&lt;35,"25-35",F834&lt;45,"35-44",F834&lt;55,"44-54",F834&gt;=55,"55+")</f>
        <v>35-44</v>
      </c>
      <c r="H834" t="s">
        <v>30</v>
      </c>
      <c r="I834">
        <v>2</v>
      </c>
      <c r="J834" t="str" cm="1">
        <f t="array" ref="J834">_xlfn.IFS(I834&lt;=0,"No Dependents",I834&lt;=1,"One",I834&lt;=2,"Two",I834&gt;=3,"Third")</f>
        <v>Two</v>
      </c>
      <c r="K834">
        <v>696</v>
      </c>
      <c r="L834" t="str" cm="1">
        <f t="array" ref="L834">_xlfn.IFS(K834&lt;=580,"Poor",K834&lt;=670,"fair",K834&lt;=740,"Good",K834&lt;=800,"Very Good",K834&gt;=800,"Excellent")</f>
        <v>Good</v>
      </c>
      <c r="M834">
        <v>0</v>
      </c>
      <c r="N834" t="str">
        <f t="shared" si="49"/>
        <v>No</v>
      </c>
      <c r="O834">
        <v>0.46</v>
      </c>
      <c r="P834" t="str" cm="1">
        <f t="array" ref="P834">_xlfn.IFS(O834&lt;=0.3,"Low Risk",O834&lt;=0.4,"medium Risk",O834&lt;=0.5,"High Risk",O834&gt;0.5,"Very High Risk")</f>
        <v>High Risk</v>
      </c>
      <c r="Q834">
        <v>7960</v>
      </c>
      <c r="R834">
        <v>582</v>
      </c>
      <c r="S834" t="str">
        <f t="shared" si="50"/>
        <v>Yes</v>
      </c>
      <c r="T834">
        <v>17447</v>
      </c>
      <c r="U834" t="str" cm="1">
        <f t="array" ref="U834">_xlfn.IFS(T834&lt;5000,"Small",T834&lt;20000,"Medium",T834&lt;35000,"Large",T834&gt;35000,"Very Large")</f>
        <v>Medium</v>
      </c>
      <c r="V834">
        <v>36</v>
      </c>
      <c r="W834">
        <f t="shared" si="51"/>
        <v>3</v>
      </c>
      <c r="X834" t="s">
        <v>47</v>
      </c>
      <c r="Y834" t="s">
        <v>45</v>
      </c>
      <c r="Z834" t="s">
        <v>33</v>
      </c>
      <c r="AA834" t="s">
        <v>40</v>
      </c>
      <c r="AB834" t="s">
        <v>51</v>
      </c>
      <c r="AC834" t="s">
        <v>36</v>
      </c>
    </row>
    <row r="835" spans="1:29" x14ac:dyDescent="0.25">
      <c r="A835">
        <v>880</v>
      </c>
      <c r="B835">
        <v>3792</v>
      </c>
      <c r="C835">
        <v>2408</v>
      </c>
      <c r="D835">
        <f t="shared" ref="D835:D898" si="52">B835+C835</f>
        <v>6200</v>
      </c>
      <c r="E835" t="s">
        <v>49</v>
      </c>
      <c r="F835">
        <v>57</v>
      </c>
      <c r="G835" t="str" cm="1">
        <f t="array" ref="G835">_xlfn.IFS(F835&lt;25,"18-24",F835&lt;35,"25-35",F835&lt;45,"35-44",F835&lt;55,"44-54",F835&gt;=55,"55+")</f>
        <v>55+</v>
      </c>
      <c r="H835" t="s">
        <v>30</v>
      </c>
      <c r="I835">
        <v>2</v>
      </c>
      <c r="J835" t="str" cm="1">
        <f t="array" ref="J835">_xlfn.IFS(I835&lt;=0,"No Dependents",I835&lt;=1,"One",I835&lt;=2,"Two",I835&gt;=3,"Third")</f>
        <v>Two</v>
      </c>
      <c r="K835">
        <v>686</v>
      </c>
      <c r="L835" t="str" cm="1">
        <f t="array" ref="L835">_xlfn.IFS(K835&lt;=580,"Poor",K835&lt;=670,"fair",K835&lt;=740,"Good",K835&lt;=800,"Very Good",K835&gt;=800,"Excellent")</f>
        <v>Good</v>
      </c>
      <c r="M835">
        <v>3</v>
      </c>
      <c r="N835" t="str">
        <f t="shared" ref="N835:N898" si="53">IF(M835&gt;0,"Yes","No")</f>
        <v>Yes</v>
      </c>
      <c r="O835">
        <v>0.14000000000000001</v>
      </c>
      <c r="P835" t="str" cm="1">
        <f t="array" ref="P835">_xlfn.IFS(O835&lt;=0.3,"Low Risk",O835&lt;=0.4,"medium Risk",O835&lt;=0.5,"High Risk",O835&gt;0.5,"Very High Risk")</f>
        <v>Low Risk</v>
      </c>
      <c r="Q835">
        <v>17821</v>
      </c>
      <c r="R835">
        <v>48282</v>
      </c>
      <c r="S835" t="str">
        <f t="shared" ref="S835:S898" si="54">IF(R835&gt;100,"Yes","No")</f>
        <v>Yes</v>
      </c>
      <c r="T835">
        <v>18729</v>
      </c>
      <c r="U835" t="str" cm="1">
        <f t="array" ref="U835">_xlfn.IFS(T835&lt;5000,"Small",T835&lt;20000,"Medium",T835&lt;35000,"Large",T835&gt;35000,"Very Large")</f>
        <v>Medium</v>
      </c>
      <c r="V835">
        <v>48</v>
      </c>
      <c r="W835">
        <f t="shared" ref="W835:W898" si="55">V835/12</f>
        <v>4</v>
      </c>
      <c r="X835" t="s">
        <v>42</v>
      </c>
      <c r="Y835" t="s">
        <v>32</v>
      </c>
      <c r="Z835" t="s">
        <v>39</v>
      </c>
      <c r="AA835" t="s">
        <v>40</v>
      </c>
      <c r="AB835" t="s">
        <v>35</v>
      </c>
      <c r="AC835" t="s">
        <v>44</v>
      </c>
    </row>
    <row r="836" spans="1:29" x14ac:dyDescent="0.25">
      <c r="A836">
        <v>881</v>
      </c>
      <c r="B836">
        <v>13053</v>
      </c>
      <c r="C836">
        <v>340</v>
      </c>
      <c r="D836">
        <f t="shared" si="52"/>
        <v>13393</v>
      </c>
      <c r="E836" t="s">
        <v>29</v>
      </c>
      <c r="F836">
        <v>37</v>
      </c>
      <c r="G836" t="str" cm="1">
        <f t="array" ref="G836">_xlfn.IFS(F836&lt;25,"18-24",F836&lt;35,"25-35",F836&lt;45,"35-44",F836&lt;55,"44-54",F836&gt;=55,"55+")</f>
        <v>35-44</v>
      </c>
      <c r="H836" t="s">
        <v>30</v>
      </c>
      <c r="I836">
        <v>2</v>
      </c>
      <c r="J836" t="str" cm="1">
        <f t="array" ref="J836">_xlfn.IFS(I836&lt;=0,"No Dependents",I836&lt;=1,"One",I836&lt;=2,"Two",I836&gt;=3,"Third")</f>
        <v>Two</v>
      </c>
      <c r="K836">
        <v>613</v>
      </c>
      <c r="L836" t="str" cm="1">
        <f t="array" ref="L836">_xlfn.IFS(K836&lt;=580,"Poor",K836&lt;=670,"fair",K836&lt;=740,"Good",K836&lt;=800,"Very Good",K836&gt;=800,"Excellent")</f>
        <v>fair</v>
      </c>
      <c r="M836">
        <v>4</v>
      </c>
      <c r="N836" t="str">
        <f t="shared" si="53"/>
        <v>Yes</v>
      </c>
      <c r="O836">
        <v>0.15</v>
      </c>
      <c r="P836" t="str" cm="1">
        <f t="array" ref="P836">_xlfn.IFS(O836&lt;=0.3,"Low Risk",O836&lt;=0.4,"medium Risk",O836&lt;=0.5,"High Risk",O836&gt;0.5,"Very High Risk")</f>
        <v>Low Risk</v>
      </c>
      <c r="Q836">
        <v>19762</v>
      </c>
      <c r="R836">
        <v>26189</v>
      </c>
      <c r="S836" t="str">
        <f t="shared" si="54"/>
        <v>Yes</v>
      </c>
      <c r="T836">
        <v>21545</v>
      </c>
      <c r="U836" t="str" cm="1">
        <f t="array" ref="U836">_xlfn.IFS(T836&lt;5000,"Small",T836&lt;20000,"Medium",T836&lt;35000,"Large",T836&gt;35000,"Very Large")</f>
        <v>Large</v>
      </c>
      <c r="V836">
        <v>36</v>
      </c>
      <c r="W836">
        <f t="shared" si="55"/>
        <v>3</v>
      </c>
      <c r="X836" t="s">
        <v>50</v>
      </c>
      <c r="Y836" t="s">
        <v>45</v>
      </c>
      <c r="Z836" t="s">
        <v>39</v>
      </c>
      <c r="AA836" t="s">
        <v>34</v>
      </c>
      <c r="AB836" t="s">
        <v>35</v>
      </c>
      <c r="AC836" t="s">
        <v>36</v>
      </c>
    </row>
    <row r="837" spans="1:29" x14ac:dyDescent="0.25">
      <c r="A837">
        <v>882</v>
      </c>
      <c r="B837">
        <v>5476</v>
      </c>
      <c r="C837">
        <v>2817</v>
      </c>
      <c r="D837">
        <f t="shared" si="52"/>
        <v>8293</v>
      </c>
      <c r="E837" t="s">
        <v>29</v>
      </c>
      <c r="F837">
        <v>51</v>
      </c>
      <c r="G837" t="str" cm="1">
        <f t="array" ref="G837">_xlfn.IFS(F837&lt;25,"18-24",F837&lt;35,"25-35",F837&lt;45,"35-44",F837&lt;55,"44-54",F837&gt;=55,"55+")</f>
        <v>44-54</v>
      </c>
      <c r="H837" t="s">
        <v>41</v>
      </c>
      <c r="I837">
        <v>0</v>
      </c>
      <c r="J837" t="str" cm="1">
        <f t="array" ref="J837">_xlfn.IFS(I837&lt;=0,"No Dependents",I837&lt;=1,"One",I837&lt;=2,"Two",I837&gt;=3,"Third")</f>
        <v>No Dependents</v>
      </c>
      <c r="K837">
        <v>642</v>
      </c>
      <c r="L837" t="str" cm="1">
        <f t="array" ref="L837">_xlfn.IFS(K837&lt;=580,"Poor",K837&lt;=670,"fair",K837&lt;=740,"Good",K837&lt;=800,"Very Good",K837&gt;=800,"Excellent")</f>
        <v>fair</v>
      </c>
      <c r="M837">
        <v>0</v>
      </c>
      <c r="N837" t="str">
        <f t="shared" si="53"/>
        <v>No</v>
      </c>
      <c r="O837">
        <v>0.35</v>
      </c>
      <c r="P837" t="str" cm="1">
        <f t="array" ref="P837">_xlfn.IFS(O837&lt;=0.3,"Low Risk",O837&lt;=0.4,"medium Risk",O837&lt;=0.5,"High Risk",O837&gt;0.5,"Very High Risk")</f>
        <v>medium Risk</v>
      </c>
      <c r="Q837">
        <v>13665</v>
      </c>
      <c r="R837">
        <v>15531</v>
      </c>
      <c r="S837" t="str">
        <f t="shared" si="54"/>
        <v>Yes</v>
      </c>
      <c r="T837">
        <v>29204</v>
      </c>
      <c r="U837" t="str" cm="1">
        <f t="array" ref="U837">_xlfn.IFS(T837&lt;5000,"Small",T837&lt;20000,"Medium",T837&lt;35000,"Large",T837&gt;35000,"Very Large")</f>
        <v>Large</v>
      </c>
      <c r="V837">
        <v>72</v>
      </c>
      <c r="W837">
        <f t="shared" si="55"/>
        <v>6</v>
      </c>
      <c r="X837" t="s">
        <v>42</v>
      </c>
      <c r="Y837" t="s">
        <v>38</v>
      </c>
      <c r="Z837" t="s">
        <v>39</v>
      </c>
      <c r="AA837" t="s">
        <v>40</v>
      </c>
      <c r="AB837" t="s">
        <v>51</v>
      </c>
      <c r="AC837" t="s">
        <v>36</v>
      </c>
    </row>
    <row r="838" spans="1:29" x14ac:dyDescent="0.25">
      <c r="A838">
        <v>883</v>
      </c>
      <c r="B838">
        <v>5417</v>
      </c>
      <c r="C838">
        <v>2496</v>
      </c>
      <c r="D838">
        <f t="shared" si="52"/>
        <v>7913</v>
      </c>
      <c r="E838" t="s">
        <v>29</v>
      </c>
      <c r="F838">
        <v>28</v>
      </c>
      <c r="G838" t="str" cm="1">
        <f t="array" ref="G838">_xlfn.IFS(F838&lt;25,"18-24",F838&lt;35,"25-35",F838&lt;45,"35-44",F838&lt;55,"44-54",F838&gt;=55,"55+")</f>
        <v>25-35</v>
      </c>
      <c r="H838" t="s">
        <v>30</v>
      </c>
      <c r="I838">
        <v>2</v>
      </c>
      <c r="J838" t="str" cm="1">
        <f t="array" ref="J838">_xlfn.IFS(I838&lt;=0,"No Dependents",I838&lt;=1,"One",I838&lt;=2,"Two",I838&gt;=3,"Third")</f>
        <v>Two</v>
      </c>
      <c r="K838">
        <v>731</v>
      </c>
      <c r="L838" t="str" cm="1">
        <f t="array" ref="L838">_xlfn.IFS(K838&lt;=580,"Poor",K838&lt;=670,"fair",K838&lt;=740,"Good",K838&lt;=800,"Very Good",K838&gt;=800,"Excellent")</f>
        <v>Good</v>
      </c>
      <c r="M838">
        <v>0</v>
      </c>
      <c r="N838" t="str">
        <f t="shared" si="53"/>
        <v>No</v>
      </c>
      <c r="O838">
        <v>0.18</v>
      </c>
      <c r="P838" t="str" cm="1">
        <f t="array" ref="P838">_xlfn.IFS(O838&lt;=0.3,"Low Risk",O838&lt;=0.4,"medium Risk",O838&lt;=0.5,"High Risk",O838&gt;0.5,"Very High Risk")</f>
        <v>Low Risk</v>
      </c>
      <c r="Q838">
        <v>6629</v>
      </c>
      <c r="R838">
        <v>16672</v>
      </c>
      <c r="S838" t="str">
        <f t="shared" si="54"/>
        <v>Yes</v>
      </c>
      <c r="T838">
        <v>10814</v>
      </c>
      <c r="U838" t="str" cm="1">
        <f t="array" ref="U838">_xlfn.IFS(T838&lt;5000,"Small",T838&lt;20000,"Medium",T838&lt;35000,"Large",T838&gt;35000,"Very Large")</f>
        <v>Medium</v>
      </c>
      <c r="V838">
        <v>12</v>
      </c>
      <c r="W838">
        <f t="shared" si="55"/>
        <v>1</v>
      </c>
      <c r="X838" t="s">
        <v>42</v>
      </c>
      <c r="Y838" t="s">
        <v>45</v>
      </c>
      <c r="Z838" t="s">
        <v>33</v>
      </c>
      <c r="AA838" t="s">
        <v>40</v>
      </c>
      <c r="AB838" t="s">
        <v>35</v>
      </c>
      <c r="AC838" t="s">
        <v>44</v>
      </c>
    </row>
    <row r="839" spans="1:29" x14ac:dyDescent="0.25">
      <c r="A839">
        <v>884</v>
      </c>
      <c r="B839">
        <v>3645</v>
      </c>
      <c r="C839">
        <v>5962</v>
      </c>
      <c r="D839">
        <f t="shared" si="52"/>
        <v>9607</v>
      </c>
      <c r="E839" t="s">
        <v>46</v>
      </c>
      <c r="F839">
        <v>35</v>
      </c>
      <c r="G839" t="str" cm="1">
        <f t="array" ref="G839">_xlfn.IFS(F839&lt;25,"18-24",F839&lt;35,"25-35",F839&lt;45,"35-44",F839&lt;55,"44-54",F839&gt;=55,"55+")</f>
        <v>35-44</v>
      </c>
      <c r="H839" t="s">
        <v>30</v>
      </c>
      <c r="I839">
        <v>3</v>
      </c>
      <c r="J839" t="str" cm="1">
        <f t="array" ref="J839">_xlfn.IFS(I839&lt;=0,"No Dependents",I839&lt;=1,"One",I839&lt;=2,"Two",I839&gt;=3,"Third")</f>
        <v>Third</v>
      </c>
      <c r="K839">
        <v>674</v>
      </c>
      <c r="L839" t="str" cm="1">
        <f t="array" ref="L839">_xlfn.IFS(K839&lt;=580,"Poor",K839&lt;=670,"fair",K839&lt;=740,"Good",K839&lt;=800,"Very Good",K839&gt;=800,"Excellent")</f>
        <v>Good</v>
      </c>
      <c r="M839">
        <v>3</v>
      </c>
      <c r="N839" t="str">
        <f t="shared" si="53"/>
        <v>Yes</v>
      </c>
      <c r="O839">
        <v>0.59</v>
      </c>
      <c r="P839" t="str" cm="1">
        <f t="array" ref="P839">_xlfn.IFS(O839&lt;=0.3,"Low Risk",O839&lt;=0.4,"medium Risk",O839&lt;=0.5,"High Risk",O839&gt;0.5,"Very High Risk")</f>
        <v>Very High Risk</v>
      </c>
      <c r="Q839">
        <v>13828</v>
      </c>
      <c r="R839">
        <v>0</v>
      </c>
      <c r="S839" t="str">
        <f t="shared" si="54"/>
        <v>No</v>
      </c>
      <c r="T839">
        <v>14890</v>
      </c>
      <c r="U839" t="str" cm="1">
        <f t="array" ref="U839">_xlfn.IFS(T839&lt;5000,"Small",T839&lt;20000,"Medium",T839&lt;35000,"Large",T839&gt;35000,"Very Large")</f>
        <v>Medium</v>
      </c>
      <c r="V839">
        <v>84</v>
      </c>
      <c r="W839">
        <f t="shared" si="55"/>
        <v>7</v>
      </c>
      <c r="X839" t="s">
        <v>42</v>
      </c>
      <c r="Y839" t="s">
        <v>45</v>
      </c>
      <c r="Z839" t="s">
        <v>33</v>
      </c>
      <c r="AA839" t="s">
        <v>40</v>
      </c>
      <c r="AB839" t="s">
        <v>48</v>
      </c>
      <c r="AC839" t="s">
        <v>36</v>
      </c>
    </row>
    <row r="840" spans="1:29" x14ac:dyDescent="0.25">
      <c r="A840">
        <v>886</v>
      </c>
      <c r="B840">
        <v>5072</v>
      </c>
      <c r="C840">
        <v>9917</v>
      </c>
      <c r="D840">
        <f t="shared" si="52"/>
        <v>14989</v>
      </c>
      <c r="E840" t="s">
        <v>29</v>
      </c>
      <c r="F840">
        <v>50</v>
      </c>
      <c r="G840" t="str" cm="1">
        <f t="array" ref="G840">_xlfn.IFS(F840&lt;25,"18-24",F840&lt;35,"25-35",F840&lt;45,"35-44",F840&lt;55,"44-54",F840&gt;=55,"55+")</f>
        <v>44-54</v>
      </c>
      <c r="H840" t="s">
        <v>30</v>
      </c>
      <c r="I840">
        <v>1</v>
      </c>
      <c r="J840" t="str" cm="1">
        <f t="array" ref="J840">_xlfn.IFS(I840&lt;=0,"No Dependents",I840&lt;=1,"One",I840&lt;=2,"Two",I840&gt;=3,"Third")</f>
        <v>One</v>
      </c>
      <c r="K840">
        <v>728</v>
      </c>
      <c r="L840" t="str" cm="1">
        <f t="array" ref="L840">_xlfn.IFS(K840&lt;=580,"Poor",K840&lt;=670,"fair",K840&lt;=740,"Good",K840&lt;=800,"Very Good",K840&gt;=800,"Excellent")</f>
        <v>Good</v>
      </c>
      <c r="M840">
        <v>4</v>
      </c>
      <c r="N840" t="str">
        <f t="shared" si="53"/>
        <v>Yes</v>
      </c>
      <c r="O840">
        <v>0.34</v>
      </c>
      <c r="P840" t="str" cm="1">
        <f t="array" ref="P840">_xlfn.IFS(O840&lt;=0.3,"Low Risk",O840&lt;=0.4,"medium Risk",O840&lt;=0.5,"High Risk",O840&gt;0.5,"Very High Risk")</f>
        <v>medium Risk</v>
      </c>
      <c r="Q840">
        <v>7876</v>
      </c>
      <c r="R840">
        <v>3060</v>
      </c>
      <c r="S840" t="str">
        <f t="shared" si="54"/>
        <v>Yes</v>
      </c>
      <c r="T840">
        <v>31121</v>
      </c>
      <c r="U840" t="str" cm="1">
        <f t="array" ref="U840">_xlfn.IFS(T840&lt;5000,"Small",T840&lt;20000,"Medium",T840&lt;35000,"Large",T840&gt;35000,"Very Large")</f>
        <v>Large</v>
      </c>
      <c r="V840">
        <v>48</v>
      </c>
      <c r="W840">
        <f t="shared" si="55"/>
        <v>4</v>
      </c>
      <c r="X840" t="s">
        <v>47</v>
      </c>
      <c r="Y840" t="s">
        <v>32</v>
      </c>
      <c r="Z840" t="s">
        <v>39</v>
      </c>
      <c r="AA840" t="s">
        <v>40</v>
      </c>
      <c r="AB840" t="s">
        <v>42</v>
      </c>
      <c r="AC840" t="s">
        <v>36</v>
      </c>
    </row>
    <row r="841" spans="1:29" x14ac:dyDescent="0.25">
      <c r="A841">
        <v>887</v>
      </c>
      <c r="B841">
        <v>3854</v>
      </c>
      <c r="C841">
        <v>7574</v>
      </c>
      <c r="D841">
        <f t="shared" si="52"/>
        <v>11428</v>
      </c>
      <c r="E841" t="s">
        <v>29</v>
      </c>
      <c r="F841">
        <v>40</v>
      </c>
      <c r="G841" t="str" cm="1">
        <f t="array" ref="G841">_xlfn.IFS(F841&lt;25,"18-24",F841&lt;35,"25-35",F841&lt;45,"35-44",F841&lt;55,"44-54",F841&gt;=55,"55+")</f>
        <v>35-44</v>
      </c>
      <c r="H841" t="s">
        <v>30</v>
      </c>
      <c r="I841">
        <v>3</v>
      </c>
      <c r="J841" t="str" cm="1">
        <f t="array" ref="J841">_xlfn.IFS(I841&lt;=0,"No Dependents",I841&lt;=1,"One",I841&lt;=2,"Two",I841&gt;=3,"Third")</f>
        <v>Third</v>
      </c>
      <c r="K841">
        <v>588</v>
      </c>
      <c r="L841" t="str" cm="1">
        <f t="array" ref="L841">_xlfn.IFS(K841&lt;=580,"Poor",K841&lt;=670,"fair",K841&lt;=740,"Good",K841&lt;=800,"Very Good",K841&gt;=800,"Excellent")</f>
        <v>fair</v>
      </c>
      <c r="M841">
        <v>0</v>
      </c>
      <c r="N841" t="str">
        <f t="shared" si="53"/>
        <v>No</v>
      </c>
      <c r="O841">
        <v>0.28000000000000003</v>
      </c>
      <c r="P841" t="str" cm="1">
        <f t="array" ref="P841">_xlfn.IFS(O841&lt;=0.3,"Low Risk",O841&lt;=0.4,"medium Risk",O841&lt;=0.5,"High Risk",O841&gt;0.5,"Very High Risk")</f>
        <v>Low Risk</v>
      </c>
      <c r="Q841">
        <v>13311</v>
      </c>
      <c r="R841">
        <v>13731</v>
      </c>
      <c r="S841" t="str">
        <f t="shared" si="54"/>
        <v>Yes</v>
      </c>
      <c r="T841">
        <v>12218</v>
      </c>
      <c r="U841" t="str" cm="1">
        <f t="array" ref="U841">_xlfn.IFS(T841&lt;5000,"Small",T841&lt;20000,"Medium",T841&lt;35000,"Large",T841&gt;35000,"Very Large")</f>
        <v>Medium</v>
      </c>
      <c r="V841">
        <v>24</v>
      </c>
      <c r="W841">
        <f t="shared" si="55"/>
        <v>2</v>
      </c>
      <c r="X841" t="s">
        <v>47</v>
      </c>
      <c r="Y841" t="s">
        <v>32</v>
      </c>
      <c r="Z841" t="s">
        <v>33</v>
      </c>
      <c r="AA841" t="s">
        <v>40</v>
      </c>
      <c r="AB841" t="s">
        <v>43</v>
      </c>
      <c r="AC841" t="s">
        <v>36</v>
      </c>
    </row>
    <row r="842" spans="1:29" x14ac:dyDescent="0.25">
      <c r="A842">
        <v>888</v>
      </c>
      <c r="B842">
        <v>0</v>
      </c>
      <c r="C842">
        <v>1689</v>
      </c>
      <c r="D842">
        <f t="shared" si="52"/>
        <v>1689</v>
      </c>
      <c r="E842" t="s">
        <v>46</v>
      </c>
      <c r="F842">
        <v>59</v>
      </c>
      <c r="G842" t="str" cm="1">
        <f t="array" ref="G842">_xlfn.IFS(F842&lt;25,"18-24",F842&lt;35,"25-35",F842&lt;45,"35-44",F842&lt;55,"44-54",F842&gt;=55,"55+")</f>
        <v>55+</v>
      </c>
      <c r="H842" t="s">
        <v>41</v>
      </c>
      <c r="I842">
        <v>0</v>
      </c>
      <c r="J842" t="str" cm="1">
        <f t="array" ref="J842">_xlfn.IFS(I842&lt;=0,"No Dependents",I842&lt;=1,"One",I842&lt;=2,"Two",I842&gt;=3,"Third")</f>
        <v>No Dependents</v>
      </c>
      <c r="K842">
        <v>553</v>
      </c>
      <c r="L842" t="str" cm="1">
        <f t="array" ref="L842">_xlfn.IFS(K842&lt;=580,"Poor",K842&lt;=670,"fair",K842&lt;=740,"Good",K842&lt;=800,"Very Good",K842&gt;=800,"Excellent")</f>
        <v>Poor</v>
      </c>
      <c r="M842">
        <v>4</v>
      </c>
      <c r="N842" t="str">
        <f t="shared" si="53"/>
        <v>Yes</v>
      </c>
      <c r="O842">
        <v>0.42</v>
      </c>
      <c r="P842" t="str" cm="1">
        <f t="array" ref="P842">_xlfn.IFS(O842&lt;=0.3,"Low Risk",O842&lt;=0.4,"medium Risk",O842&lt;=0.5,"High Risk",O842&gt;0.5,"Very High Risk")</f>
        <v>High Risk</v>
      </c>
      <c r="Q842">
        <v>14588</v>
      </c>
      <c r="R842">
        <v>12294</v>
      </c>
      <c r="S842" t="str">
        <f t="shared" si="54"/>
        <v>Yes</v>
      </c>
      <c r="T842">
        <v>0</v>
      </c>
      <c r="U842" t="str" cm="1">
        <f t="array" ref="U842">_xlfn.IFS(T842&lt;5000,"Small",T842&lt;20000,"Medium",T842&lt;35000,"Large",T842&gt;35000,"Very Large")</f>
        <v>Small</v>
      </c>
      <c r="V842">
        <v>60</v>
      </c>
      <c r="W842">
        <f t="shared" si="55"/>
        <v>5</v>
      </c>
      <c r="X842" t="s">
        <v>47</v>
      </c>
      <c r="Y842" t="s">
        <v>38</v>
      </c>
      <c r="Z842" t="s">
        <v>33</v>
      </c>
      <c r="AA842" t="s">
        <v>34</v>
      </c>
      <c r="AB842" t="s">
        <v>35</v>
      </c>
      <c r="AC842" t="s">
        <v>36</v>
      </c>
    </row>
    <row r="843" spans="1:29" x14ac:dyDescent="0.25">
      <c r="A843">
        <v>889</v>
      </c>
      <c r="B843">
        <v>8514</v>
      </c>
      <c r="C843">
        <v>3267</v>
      </c>
      <c r="D843">
        <f t="shared" si="52"/>
        <v>11781</v>
      </c>
      <c r="E843" t="s">
        <v>48</v>
      </c>
      <c r="F843">
        <v>32</v>
      </c>
      <c r="G843" t="str" cm="1">
        <f t="array" ref="G843">_xlfn.IFS(F843&lt;25,"18-24",F843&lt;35,"25-35",F843&lt;45,"35-44",F843&lt;55,"44-54",F843&gt;=55,"55+")</f>
        <v>25-35</v>
      </c>
      <c r="H843" t="s">
        <v>30</v>
      </c>
      <c r="I843">
        <v>2</v>
      </c>
      <c r="J843" t="str" cm="1">
        <f t="array" ref="J843">_xlfn.IFS(I843&lt;=0,"No Dependents",I843&lt;=1,"One",I843&lt;=2,"Two",I843&gt;=3,"Third")</f>
        <v>Two</v>
      </c>
      <c r="K843">
        <v>675</v>
      </c>
      <c r="L843" t="str" cm="1">
        <f t="array" ref="L843">_xlfn.IFS(K843&lt;=580,"Poor",K843&lt;=670,"fair",K843&lt;=740,"Good",K843&lt;=800,"Very Good",K843&gt;=800,"Excellent")</f>
        <v>Good</v>
      </c>
      <c r="M843">
        <v>1</v>
      </c>
      <c r="N843" t="str">
        <f t="shared" si="53"/>
        <v>Yes</v>
      </c>
      <c r="O843">
        <v>0.16</v>
      </c>
      <c r="P843" t="str" cm="1">
        <f t="array" ref="P843">_xlfn.IFS(O843&lt;=0.3,"Low Risk",O843&lt;=0.4,"medium Risk",O843&lt;=0.5,"High Risk",O843&gt;0.5,"Very High Risk")</f>
        <v>Low Risk</v>
      </c>
      <c r="Q843">
        <v>16648</v>
      </c>
      <c r="R843">
        <v>20719</v>
      </c>
      <c r="S843" t="str">
        <f t="shared" si="54"/>
        <v>Yes</v>
      </c>
      <c r="T843">
        <v>23705</v>
      </c>
      <c r="U843" t="str" cm="1">
        <f t="array" ref="U843">_xlfn.IFS(T843&lt;5000,"Small",T843&lt;20000,"Medium",T843&lt;35000,"Large",T843&gt;35000,"Very Large")</f>
        <v>Large</v>
      </c>
      <c r="V843">
        <v>36</v>
      </c>
      <c r="W843">
        <f t="shared" si="55"/>
        <v>3</v>
      </c>
      <c r="X843" t="s">
        <v>50</v>
      </c>
      <c r="Y843" t="s">
        <v>45</v>
      </c>
      <c r="Z843" t="s">
        <v>39</v>
      </c>
      <c r="AA843" t="s">
        <v>34</v>
      </c>
      <c r="AB843" t="s">
        <v>35</v>
      </c>
      <c r="AC843" t="s">
        <v>44</v>
      </c>
    </row>
    <row r="844" spans="1:29" x14ac:dyDescent="0.25">
      <c r="A844">
        <v>890</v>
      </c>
      <c r="B844">
        <v>4708</v>
      </c>
      <c r="C844">
        <v>4406</v>
      </c>
      <c r="D844">
        <f t="shared" si="52"/>
        <v>9114</v>
      </c>
      <c r="E844" t="s">
        <v>29</v>
      </c>
      <c r="F844">
        <v>37</v>
      </c>
      <c r="G844" t="str" cm="1">
        <f t="array" ref="G844">_xlfn.IFS(F844&lt;25,"18-24",F844&lt;35,"25-35",F844&lt;45,"35-44",F844&lt;55,"44-54",F844&gt;=55,"55+")</f>
        <v>35-44</v>
      </c>
      <c r="H844" t="s">
        <v>41</v>
      </c>
      <c r="I844">
        <v>3</v>
      </c>
      <c r="J844" t="str" cm="1">
        <f t="array" ref="J844">_xlfn.IFS(I844&lt;=0,"No Dependents",I844&lt;=1,"One",I844&lt;=2,"Two",I844&gt;=3,"Third")</f>
        <v>Third</v>
      </c>
      <c r="K844">
        <v>552</v>
      </c>
      <c r="L844" t="str" cm="1">
        <f t="array" ref="L844">_xlfn.IFS(K844&lt;=580,"Poor",K844&lt;=670,"fair",K844&lt;=740,"Good",K844&lt;=800,"Very Good",K844&gt;=800,"Excellent")</f>
        <v>Poor</v>
      </c>
      <c r="M844">
        <v>0</v>
      </c>
      <c r="N844" t="str">
        <f t="shared" si="53"/>
        <v>No</v>
      </c>
      <c r="O844">
        <v>0.32</v>
      </c>
      <c r="P844" t="str" cm="1">
        <f t="array" ref="P844">_xlfn.IFS(O844&lt;=0.3,"Low Risk",O844&lt;=0.4,"medium Risk",O844&lt;=0.5,"High Risk",O844&gt;0.5,"Very High Risk")</f>
        <v>medium Risk</v>
      </c>
      <c r="Q844">
        <v>12380</v>
      </c>
      <c r="R844">
        <v>47042</v>
      </c>
      <c r="S844" t="str">
        <f t="shared" si="54"/>
        <v>Yes</v>
      </c>
      <c r="T844">
        <v>35722</v>
      </c>
      <c r="U844" t="str" cm="1">
        <f t="array" ref="U844">_xlfn.IFS(T844&lt;5000,"Small",T844&lt;20000,"Medium",T844&lt;35000,"Large",T844&gt;35000,"Very Large")</f>
        <v>Very Large</v>
      </c>
      <c r="V844">
        <v>60</v>
      </c>
      <c r="W844">
        <f t="shared" si="55"/>
        <v>5</v>
      </c>
      <c r="X844" t="s">
        <v>42</v>
      </c>
      <c r="Y844" t="s">
        <v>45</v>
      </c>
      <c r="Z844" t="s">
        <v>33</v>
      </c>
      <c r="AA844" t="s">
        <v>34</v>
      </c>
      <c r="AB844" t="s">
        <v>48</v>
      </c>
      <c r="AC844" t="s">
        <v>36</v>
      </c>
    </row>
    <row r="845" spans="1:29" x14ac:dyDescent="0.25">
      <c r="A845">
        <v>891</v>
      </c>
      <c r="B845">
        <v>13694</v>
      </c>
      <c r="C845">
        <v>8453</v>
      </c>
      <c r="D845">
        <f t="shared" si="52"/>
        <v>22147</v>
      </c>
      <c r="E845" t="s">
        <v>29</v>
      </c>
      <c r="F845">
        <v>50</v>
      </c>
      <c r="G845" t="str" cm="1">
        <f t="array" ref="G845">_xlfn.IFS(F845&lt;25,"18-24",F845&lt;35,"25-35",F845&lt;45,"35-44",F845&lt;55,"44-54",F845&gt;=55,"55+")</f>
        <v>44-54</v>
      </c>
      <c r="H845" t="s">
        <v>41</v>
      </c>
      <c r="I845">
        <v>0</v>
      </c>
      <c r="J845" t="str" cm="1">
        <f t="array" ref="J845">_xlfn.IFS(I845&lt;=0,"No Dependents",I845&lt;=1,"One",I845&lt;=2,"Two",I845&gt;=3,"Third")</f>
        <v>No Dependents</v>
      </c>
      <c r="K845">
        <v>797</v>
      </c>
      <c r="L845" t="str" cm="1">
        <f t="array" ref="L845">_xlfn.IFS(K845&lt;=580,"Poor",K845&lt;=670,"fair",K845&lt;=740,"Good",K845&lt;=800,"Very Good",K845&gt;=800,"Excellent")</f>
        <v>Very Good</v>
      </c>
      <c r="M845">
        <v>4</v>
      </c>
      <c r="N845" t="str">
        <f t="shared" si="53"/>
        <v>Yes</v>
      </c>
      <c r="O845">
        <v>0.24</v>
      </c>
      <c r="P845" t="str" cm="1">
        <f t="array" ref="P845">_xlfn.IFS(O845&lt;=0.3,"Low Risk",O845&lt;=0.4,"medium Risk",O845&lt;=0.5,"High Risk",O845&gt;0.5,"Very High Risk")</f>
        <v>Low Risk</v>
      </c>
      <c r="Q845">
        <v>9877</v>
      </c>
      <c r="R845">
        <v>49116</v>
      </c>
      <c r="S845" t="str">
        <f t="shared" si="54"/>
        <v>Yes</v>
      </c>
      <c r="T845">
        <v>0</v>
      </c>
      <c r="U845" t="str" cm="1">
        <f t="array" ref="U845">_xlfn.IFS(T845&lt;5000,"Small",T845&lt;20000,"Medium",T845&lt;35000,"Large",T845&gt;35000,"Very Large")</f>
        <v>Small</v>
      </c>
      <c r="V845">
        <v>12</v>
      </c>
      <c r="W845">
        <f t="shared" si="55"/>
        <v>1</v>
      </c>
      <c r="X845" t="s">
        <v>47</v>
      </c>
      <c r="Y845" t="s">
        <v>32</v>
      </c>
      <c r="Z845" t="s">
        <v>33</v>
      </c>
      <c r="AA845" t="s">
        <v>34</v>
      </c>
      <c r="AB845" t="s">
        <v>51</v>
      </c>
      <c r="AC845" t="s">
        <v>44</v>
      </c>
    </row>
    <row r="846" spans="1:29" x14ac:dyDescent="0.25">
      <c r="A846">
        <v>892</v>
      </c>
      <c r="B846">
        <v>11524</v>
      </c>
      <c r="C846">
        <v>1442</v>
      </c>
      <c r="D846">
        <f t="shared" si="52"/>
        <v>12966</v>
      </c>
      <c r="E846" t="s">
        <v>29</v>
      </c>
      <c r="F846">
        <v>40</v>
      </c>
      <c r="G846" t="str" cm="1">
        <f t="array" ref="G846">_xlfn.IFS(F846&lt;25,"18-24",F846&lt;35,"25-35",F846&lt;45,"35-44",F846&lt;55,"44-54",F846&gt;=55,"55+")</f>
        <v>35-44</v>
      </c>
      <c r="H846" t="s">
        <v>41</v>
      </c>
      <c r="I846">
        <v>3</v>
      </c>
      <c r="J846" t="str" cm="1">
        <f t="array" ref="J846">_xlfn.IFS(I846&lt;=0,"No Dependents",I846&lt;=1,"One",I846&lt;=2,"Two",I846&gt;=3,"Third")</f>
        <v>Third</v>
      </c>
      <c r="K846">
        <v>613</v>
      </c>
      <c r="L846" t="str" cm="1">
        <f t="array" ref="L846">_xlfn.IFS(K846&lt;=580,"Poor",K846&lt;=670,"fair",K846&lt;=740,"Good",K846&lt;=800,"Very Good",K846&gt;=800,"Excellent")</f>
        <v>fair</v>
      </c>
      <c r="M846">
        <v>1</v>
      </c>
      <c r="N846" t="str">
        <f t="shared" si="53"/>
        <v>Yes</v>
      </c>
      <c r="O846">
        <v>0.54</v>
      </c>
      <c r="P846" t="str" cm="1">
        <f t="array" ref="P846">_xlfn.IFS(O846&lt;=0.3,"Low Risk",O846&lt;=0.4,"medium Risk",O846&lt;=0.5,"High Risk",O846&gt;0.5,"Very High Risk")</f>
        <v>Very High Risk</v>
      </c>
      <c r="Q846">
        <v>17818</v>
      </c>
      <c r="R846">
        <v>26325</v>
      </c>
      <c r="S846" t="str">
        <f t="shared" si="54"/>
        <v>Yes</v>
      </c>
      <c r="T846">
        <v>31921</v>
      </c>
      <c r="U846" t="str" cm="1">
        <f t="array" ref="U846">_xlfn.IFS(T846&lt;5000,"Small",T846&lt;20000,"Medium",T846&lt;35000,"Large",T846&gt;35000,"Very Large")</f>
        <v>Large</v>
      </c>
      <c r="V846">
        <v>24</v>
      </c>
      <c r="W846">
        <f t="shared" si="55"/>
        <v>2</v>
      </c>
      <c r="X846" t="s">
        <v>50</v>
      </c>
      <c r="Y846" t="s">
        <v>38</v>
      </c>
      <c r="Z846" t="s">
        <v>39</v>
      </c>
      <c r="AA846" t="s">
        <v>34</v>
      </c>
      <c r="AB846" t="s">
        <v>42</v>
      </c>
      <c r="AC846" t="s">
        <v>36</v>
      </c>
    </row>
    <row r="847" spans="1:29" x14ac:dyDescent="0.25">
      <c r="A847">
        <v>893</v>
      </c>
      <c r="B847">
        <v>8456</v>
      </c>
      <c r="C847">
        <v>8597</v>
      </c>
      <c r="D847">
        <f t="shared" si="52"/>
        <v>17053</v>
      </c>
      <c r="E847" t="s">
        <v>49</v>
      </c>
      <c r="F847">
        <v>39</v>
      </c>
      <c r="G847" t="str" cm="1">
        <f t="array" ref="G847">_xlfn.IFS(F847&lt;25,"18-24",F847&lt;35,"25-35",F847&lt;45,"35-44",F847&lt;55,"44-54",F847&gt;=55,"55+")</f>
        <v>35-44</v>
      </c>
      <c r="H847" t="s">
        <v>30</v>
      </c>
      <c r="I847">
        <v>1</v>
      </c>
      <c r="J847" t="str" cm="1">
        <f t="array" ref="J847">_xlfn.IFS(I847&lt;=0,"No Dependents",I847&lt;=1,"One",I847&lt;=2,"Two",I847&gt;=3,"Third")</f>
        <v>One</v>
      </c>
      <c r="K847">
        <v>578</v>
      </c>
      <c r="L847" t="str" cm="1">
        <f t="array" ref="L847">_xlfn.IFS(K847&lt;=580,"Poor",K847&lt;=670,"fair",K847&lt;=740,"Good",K847&lt;=800,"Very Good",K847&gt;=800,"Excellent")</f>
        <v>Poor</v>
      </c>
      <c r="M847">
        <v>2</v>
      </c>
      <c r="N847" t="str">
        <f t="shared" si="53"/>
        <v>Yes</v>
      </c>
      <c r="O847">
        <v>0.12</v>
      </c>
      <c r="P847" t="str" cm="1">
        <f t="array" ref="P847">_xlfn.IFS(O847&lt;=0.3,"Low Risk",O847&lt;=0.4,"medium Risk",O847&lt;=0.5,"High Risk",O847&gt;0.5,"Very High Risk")</f>
        <v>Low Risk</v>
      </c>
      <c r="Q847">
        <v>5097</v>
      </c>
      <c r="R847">
        <v>22597</v>
      </c>
      <c r="S847" t="str">
        <f t="shared" si="54"/>
        <v>Yes</v>
      </c>
      <c r="T847">
        <v>34729</v>
      </c>
      <c r="U847" t="str" cm="1">
        <f t="array" ref="U847">_xlfn.IFS(T847&lt;5000,"Small",T847&lt;20000,"Medium",T847&lt;35000,"Large",T847&gt;35000,"Very Large")</f>
        <v>Large</v>
      </c>
      <c r="V847">
        <v>24</v>
      </c>
      <c r="W847">
        <f t="shared" si="55"/>
        <v>2</v>
      </c>
      <c r="X847" t="s">
        <v>31</v>
      </c>
      <c r="Y847" t="s">
        <v>38</v>
      </c>
      <c r="Z847" t="s">
        <v>33</v>
      </c>
      <c r="AA847" t="s">
        <v>34</v>
      </c>
      <c r="AB847" t="s">
        <v>48</v>
      </c>
      <c r="AC847" t="s">
        <v>36</v>
      </c>
    </row>
    <row r="848" spans="1:29" x14ac:dyDescent="0.25">
      <c r="A848">
        <v>894</v>
      </c>
      <c r="B848">
        <v>6212</v>
      </c>
      <c r="C848">
        <v>4437</v>
      </c>
      <c r="D848">
        <f t="shared" si="52"/>
        <v>10649</v>
      </c>
      <c r="E848" t="s">
        <v>29</v>
      </c>
      <c r="F848">
        <v>31</v>
      </c>
      <c r="G848" t="str" cm="1">
        <f t="array" ref="G848">_xlfn.IFS(F848&lt;25,"18-24",F848&lt;35,"25-35",F848&lt;45,"35-44",F848&lt;55,"44-54",F848&gt;=55,"55+")</f>
        <v>25-35</v>
      </c>
      <c r="H848" t="s">
        <v>30</v>
      </c>
      <c r="I848">
        <v>0</v>
      </c>
      <c r="J848" t="str" cm="1">
        <f t="array" ref="J848">_xlfn.IFS(I848&lt;=0,"No Dependents",I848&lt;=1,"One",I848&lt;=2,"Two",I848&gt;=3,"Third")</f>
        <v>No Dependents</v>
      </c>
      <c r="K848">
        <v>665</v>
      </c>
      <c r="L848" t="str" cm="1">
        <f t="array" ref="L848">_xlfn.IFS(K848&lt;=580,"Poor",K848&lt;=670,"fair",K848&lt;=740,"Good",K848&lt;=800,"Very Good",K848&gt;=800,"Excellent")</f>
        <v>fair</v>
      </c>
      <c r="M848">
        <v>0</v>
      </c>
      <c r="N848" t="str">
        <f t="shared" si="53"/>
        <v>No</v>
      </c>
      <c r="O848">
        <v>0.56000000000000005</v>
      </c>
      <c r="P848" t="str" cm="1">
        <f t="array" ref="P848">_xlfn.IFS(O848&lt;=0.3,"Low Risk",O848&lt;=0.4,"medium Risk",O848&lt;=0.5,"High Risk",O848&gt;0.5,"Very High Risk")</f>
        <v>Very High Risk</v>
      </c>
      <c r="Q848">
        <v>18044</v>
      </c>
      <c r="R848">
        <v>1903</v>
      </c>
      <c r="S848" t="str">
        <f t="shared" si="54"/>
        <v>Yes</v>
      </c>
      <c r="T848">
        <v>24211</v>
      </c>
      <c r="U848" t="str" cm="1">
        <f t="array" ref="U848">_xlfn.IFS(T848&lt;5000,"Small",T848&lt;20000,"Medium",T848&lt;35000,"Large",T848&gt;35000,"Very Large")</f>
        <v>Large</v>
      </c>
      <c r="V848">
        <v>60</v>
      </c>
      <c r="W848">
        <f t="shared" si="55"/>
        <v>5</v>
      </c>
      <c r="X848" t="s">
        <v>37</v>
      </c>
      <c r="Y848" t="s">
        <v>32</v>
      </c>
      <c r="Z848" t="s">
        <v>39</v>
      </c>
      <c r="AA848" t="s">
        <v>34</v>
      </c>
      <c r="AB848" t="s">
        <v>35</v>
      </c>
      <c r="AC848" t="s">
        <v>36</v>
      </c>
    </row>
    <row r="849" spans="1:29" x14ac:dyDescent="0.25">
      <c r="A849">
        <v>895</v>
      </c>
      <c r="B849">
        <v>15224</v>
      </c>
      <c r="C849">
        <v>5435</v>
      </c>
      <c r="D849">
        <f t="shared" si="52"/>
        <v>20659</v>
      </c>
      <c r="E849" t="s">
        <v>52</v>
      </c>
      <c r="F849">
        <v>54</v>
      </c>
      <c r="G849" t="str" cm="1">
        <f t="array" ref="G849">_xlfn.IFS(F849&lt;25,"18-24",F849&lt;35,"25-35",F849&lt;45,"35-44",F849&lt;55,"44-54",F849&gt;=55,"55+")</f>
        <v>44-54</v>
      </c>
      <c r="H849" t="s">
        <v>30</v>
      </c>
      <c r="I849">
        <v>3</v>
      </c>
      <c r="J849" t="str" cm="1">
        <f t="array" ref="J849">_xlfn.IFS(I849&lt;=0,"No Dependents",I849&lt;=1,"One",I849&lt;=2,"Two",I849&gt;=3,"Third")</f>
        <v>Third</v>
      </c>
      <c r="K849">
        <v>560</v>
      </c>
      <c r="L849" t="str" cm="1">
        <f t="array" ref="L849">_xlfn.IFS(K849&lt;=580,"Poor",K849&lt;=670,"fair",K849&lt;=740,"Good",K849&lt;=800,"Very Good",K849&gt;=800,"Excellent")</f>
        <v>Poor</v>
      </c>
      <c r="M849">
        <v>4</v>
      </c>
      <c r="N849" t="str">
        <f t="shared" si="53"/>
        <v>Yes</v>
      </c>
      <c r="O849">
        <v>0.52</v>
      </c>
      <c r="P849" t="str" cm="1">
        <f t="array" ref="P849">_xlfn.IFS(O849&lt;=0.3,"Low Risk",O849&lt;=0.4,"medium Risk",O849&lt;=0.5,"High Risk",O849&gt;0.5,"Very High Risk")</f>
        <v>Very High Risk</v>
      </c>
      <c r="Q849">
        <v>18738</v>
      </c>
      <c r="R849">
        <v>14551</v>
      </c>
      <c r="S849" t="str">
        <f t="shared" si="54"/>
        <v>Yes</v>
      </c>
      <c r="T849">
        <v>31614</v>
      </c>
      <c r="U849" t="str" cm="1">
        <f t="array" ref="U849">_xlfn.IFS(T849&lt;5000,"Small",T849&lt;20000,"Medium",T849&lt;35000,"Large",T849&gt;35000,"Very Large")</f>
        <v>Large</v>
      </c>
      <c r="V849">
        <v>12</v>
      </c>
      <c r="W849">
        <f t="shared" si="55"/>
        <v>1</v>
      </c>
      <c r="X849" t="s">
        <v>42</v>
      </c>
      <c r="Y849" t="s">
        <v>38</v>
      </c>
      <c r="Z849" t="s">
        <v>39</v>
      </c>
      <c r="AA849" t="s">
        <v>40</v>
      </c>
      <c r="AB849" t="s">
        <v>35</v>
      </c>
      <c r="AC849" t="s">
        <v>36</v>
      </c>
    </row>
    <row r="850" spans="1:29" x14ac:dyDescent="0.25">
      <c r="A850">
        <v>896</v>
      </c>
      <c r="B850">
        <v>9970</v>
      </c>
      <c r="C850">
        <v>8435</v>
      </c>
      <c r="D850">
        <f t="shared" si="52"/>
        <v>18405</v>
      </c>
      <c r="E850" t="s">
        <v>46</v>
      </c>
      <c r="F850">
        <v>27</v>
      </c>
      <c r="G850" t="str" cm="1">
        <f t="array" ref="G850">_xlfn.IFS(F850&lt;25,"18-24",F850&lt;35,"25-35",F850&lt;45,"35-44",F850&lt;55,"44-54",F850&gt;=55,"55+")</f>
        <v>25-35</v>
      </c>
      <c r="H850" t="s">
        <v>30</v>
      </c>
      <c r="I850">
        <v>3</v>
      </c>
      <c r="J850" t="str" cm="1">
        <f t="array" ref="J850">_xlfn.IFS(I850&lt;=0,"No Dependents",I850&lt;=1,"One",I850&lt;=2,"Two",I850&gt;=3,"Third")</f>
        <v>Third</v>
      </c>
      <c r="K850">
        <v>646</v>
      </c>
      <c r="L850" t="str" cm="1">
        <f t="array" ref="L850">_xlfn.IFS(K850&lt;=580,"Poor",K850&lt;=670,"fair",K850&lt;=740,"Good",K850&lt;=800,"Very Good",K850&gt;=800,"Excellent")</f>
        <v>fair</v>
      </c>
      <c r="M850">
        <v>0</v>
      </c>
      <c r="N850" t="str">
        <f t="shared" si="53"/>
        <v>No</v>
      </c>
      <c r="O850">
        <v>0.25</v>
      </c>
      <c r="P850" t="str" cm="1">
        <f t="array" ref="P850">_xlfn.IFS(O850&lt;=0.3,"Low Risk",O850&lt;=0.4,"medium Risk",O850&lt;=0.5,"High Risk",O850&gt;0.5,"Very High Risk")</f>
        <v>Low Risk</v>
      </c>
      <c r="Q850">
        <v>6461</v>
      </c>
      <c r="R850">
        <v>27751</v>
      </c>
      <c r="S850" t="str">
        <f t="shared" si="54"/>
        <v>Yes</v>
      </c>
      <c r="T850">
        <v>18601</v>
      </c>
      <c r="U850" t="str" cm="1">
        <f t="array" ref="U850">_xlfn.IFS(T850&lt;5000,"Small",T850&lt;20000,"Medium",T850&lt;35000,"Large",T850&gt;35000,"Very Large")</f>
        <v>Medium</v>
      </c>
      <c r="V850">
        <v>60</v>
      </c>
      <c r="W850">
        <f t="shared" si="55"/>
        <v>5</v>
      </c>
      <c r="X850" t="s">
        <v>42</v>
      </c>
      <c r="Y850" t="s">
        <v>32</v>
      </c>
      <c r="Z850" t="s">
        <v>39</v>
      </c>
      <c r="AA850" t="s">
        <v>40</v>
      </c>
      <c r="AB850" t="s">
        <v>35</v>
      </c>
      <c r="AC850" t="s">
        <v>36</v>
      </c>
    </row>
    <row r="851" spans="1:29" x14ac:dyDescent="0.25">
      <c r="A851">
        <v>897</v>
      </c>
      <c r="B851">
        <v>18920</v>
      </c>
      <c r="C851">
        <v>4107</v>
      </c>
      <c r="D851">
        <f t="shared" si="52"/>
        <v>23027</v>
      </c>
      <c r="E851" t="s">
        <v>49</v>
      </c>
      <c r="F851">
        <v>54</v>
      </c>
      <c r="G851" t="str" cm="1">
        <f t="array" ref="G851">_xlfn.IFS(F851&lt;25,"18-24",F851&lt;35,"25-35",F851&lt;45,"35-44",F851&lt;55,"44-54",F851&gt;=55,"55+")</f>
        <v>44-54</v>
      </c>
      <c r="H851" t="s">
        <v>30</v>
      </c>
      <c r="I851">
        <v>3</v>
      </c>
      <c r="J851" t="str" cm="1">
        <f t="array" ref="J851">_xlfn.IFS(I851&lt;=0,"No Dependents",I851&lt;=1,"One",I851&lt;=2,"Two",I851&gt;=3,"Third")</f>
        <v>Third</v>
      </c>
      <c r="K851">
        <v>651</v>
      </c>
      <c r="L851" t="str" cm="1">
        <f t="array" ref="L851">_xlfn.IFS(K851&lt;=580,"Poor",K851&lt;=670,"fair",K851&lt;=740,"Good",K851&lt;=800,"Very Good",K851&gt;=800,"Excellent")</f>
        <v>fair</v>
      </c>
      <c r="M851">
        <v>3</v>
      </c>
      <c r="N851" t="str">
        <f t="shared" si="53"/>
        <v>Yes</v>
      </c>
      <c r="O851">
        <v>0.49</v>
      </c>
      <c r="P851" t="str" cm="1">
        <f t="array" ref="P851">_xlfn.IFS(O851&lt;=0.3,"Low Risk",O851&lt;=0.4,"medium Risk",O851&lt;=0.5,"High Risk",O851&gt;0.5,"Very High Risk")</f>
        <v>High Risk</v>
      </c>
      <c r="Q851">
        <v>7044</v>
      </c>
      <c r="R851">
        <v>24278</v>
      </c>
      <c r="S851" t="str">
        <f t="shared" si="54"/>
        <v>Yes</v>
      </c>
      <c r="T851">
        <v>28796</v>
      </c>
      <c r="U851" t="str" cm="1">
        <f t="array" ref="U851">_xlfn.IFS(T851&lt;5000,"Small",T851&lt;20000,"Medium",T851&lt;35000,"Large",T851&gt;35000,"Very Large")</f>
        <v>Large</v>
      </c>
      <c r="V851">
        <v>48</v>
      </c>
      <c r="W851">
        <f t="shared" si="55"/>
        <v>4</v>
      </c>
      <c r="X851" t="s">
        <v>31</v>
      </c>
      <c r="Y851" t="s">
        <v>32</v>
      </c>
      <c r="Z851" t="s">
        <v>33</v>
      </c>
      <c r="AA851" t="s">
        <v>40</v>
      </c>
      <c r="AB851" t="s">
        <v>42</v>
      </c>
      <c r="AC851" t="s">
        <v>36</v>
      </c>
    </row>
    <row r="852" spans="1:29" x14ac:dyDescent="0.25">
      <c r="A852">
        <v>898</v>
      </c>
      <c r="B852">
        <v>0</v>
      </c>
      <c r="C852">
        <v>560</v>
      </c>
      <c r="D852">
        <f t="shared" si="52"/>
        <v>560</v>
      </c>
      <c r="E852" t="s">
        <v>29</v>
      </c>
      <c r="F852">
        <v>40</v>
      </c>
      <c r="G852" t="str" cm="1">
        <f t="array" ref="G852">_xlfn.IFS(F852&lt;25,"18-24",F852&lt;35,"25-35",F852&lt;45,"35-44",F852&lt;55,"44-54",F852&gt;=55,"55+")</f>
        <v>35-44</v>
      </c>
      <c r="H852" t="s">
        <v>30</v>
      </c>
      <c r="I852">
        <v>3</v>
      </c>
      <c r="J852" t="str" cm="1">
        <f t="array" ref="J852">_xlfn.IFS(I852&lt;=0,"No Dependents",I852&lt;=1,"One",I852&lt;=2,"Two",I852&gt;=3,"Third")</f>
        <v>Third</v>
      </c>
      <c r="K852">
        <v>735</v>
      </c>
      <c r="L852" t="str" cm="1">
        <f t="array" ref="L852">_xlfn.IFS(K852&lt;=580,"Poor",K852&lt;=670,"fair",K852&lt;=740,"Good",K852&lt;=800,"Very Good",K852&gt;=800,"Excellent")</f>
        <v>Good</v>
      </c>
      <c r="M852">
        <v>0</v>
      </c>
      <c r="N852" t="str">
        <f t="shared" si="53"/>
        <v>No</v>
      </c>
      <c r="O852">
        <v>0.12</v>
      </c>
      <c r="P852" t="str" cm="1">
        <f t="array" ref="P852">_xlfn.IFS(O852&lt;=0.3,"Low Risk",O852&lt;=0.4,"medium Risk",O852&lt;=0.5,"High Risk",O852&gt;0.5,"Very High Risk")</f>
        <v>Low Risk</v>
      </c>
      <c r="Q852">
        <v>5497</v>
      </c>
      <c r="R852">
        <v>25653</v>
      </c>
      <c r="S852" t="str">
        <f t="shared" si="54"/>
        <v>Yes</v>
      </c>
      <c r="T852">
        <v>7007</v>
      </c>
      <c r="U852" t="str" cm="1">
        <f t="array" ref="U852">_xlfn.IFS(T852&lt;5000,"Small",T852&lt;20000,"Medium",T852&lt;35000,"Large",T852&gt;35000,"Very Large")</f>
        <v>Medium</v>
      </c>
      <c r="V852">
        <v>24</v>
      </c>
      <c r="W852">
        <f t="shared" si="55"/>
        <v>2</v>
      </c>
      <c r="X852" t="s">
        <v>42</v>
      </c>
      <c r="Y852" t="s">
        <v>32</v>
      </c>
      <c r="Z852" t="s">
        <v>33</v>
      </c>
      <c r="AA852" t="s">
        <v>40</v>
      </c>
      <c r="AB852" t="s">
        <v>51</v>
      </c>
      <c r="AC852" t="s">
        <v>36</v>
      </c>
    </row>
    <row r="853" spans="1:29" x14ac:dyDescent="0.25">
      <c r="A853">
        <v>899</v>
      </c>
      <c r="B853">
        <v>12314</v>
      </c>
      <c r="C853">
        <v>8785</v>
      </c>
      <c r="D853">
        <f t="shared" si="52"/>
        <v>21099</v>
      </c>
      <c r="E853" t="s">
        <v>49</v>
      </c>
      <c r="F853">
        <v>58</v>
      </c>
      <c r="G853" t="str" cm="1">
        <f t="array" ref="G853">_xlfn.IFS(F853&lt;25,"18-24",F853&lt;35,"25-35",F853&lt;45,"35-44",F853&lt;55,"44-54",F853&gt;=55,"55+")</f>
        <v>55+</v>
      </c>
      <c r="H853" t="s">
        <v>30</v>
      </c>
      <c r="I853">
        <v>0</v>
      </c>
      <c r="J853" t="str" cm="1">
        <f t="array" ref="J853">_xlfn.IFS(I853&lt;=0,"No Dependents",I853&lt;=1,"One",I853&lt;=2,"Two",I853&gt;=3,"Third")</f>
        <v>No Dependents</v>
      </c>
      <c r="K853">
        <v>752</v>
      </c>
      <c r="L853" t="str" cm="1">
        <f t="array" ref="L853">_xlfn.IFS(K853&lt;=580,"Poor",K853&lt;=670,"fair",K853&lt;=740,"Good",K853&lt;=800,"Very Good",K853&gt;=800,"Excellent")</f>
        <v>Very Good</v>
      </c>
      <c r="M853">
        <v>1</v>
      </c>
      <c r="N853" t="str">
        <f t="shared" si="53"/>
        <v>Yes</v>
      </c>
      <c r="O853">
        <v>0.57999999999999996</v>
      </c>
      <c r="P853" t="str" cm="1">
        <f t="array" ref="P853">_xlfn.IFS(O853&lt;=0.3,"Low Risk",O853&lt;=0.4,"medium Risk",O853&lt;=0.5,"High Risk",O853&gt;0.5,"Very High Risk")</f>
        <v>Very High Risk</v>
      </c>
      <c r="Q853">
        <v>13751</v>
      </c>
      <c r="R853">
        <v>15141</v>
      </c>
      <c r="S853" t="str">
        <f t="shared" si="54"/>
        <v>Yes</v>
      </c>
      <c r="T853">
        <v>21514</v>
      </c>
      <c r="U853" t="str" cm="1">
        <f t="array" ref="U853">_xlfn.IFS(T853&lt;5000,"Small",T853&lt;20000,"Medium",T853&lt;35000,"Large",T853&gt;35000,"Very Large")</f>
        <v>Large</v>
      </c>
      <c r="V853">
        <v>24</v>
      </c>
      <c r="W853">
        <f t="shared" si="55"/>
        <v>2</v>
      </c>
      <c r="X853" t="s">
        <v>42</v>
      </c>
      <c r="Y853" t="s">
        <v>38</v>
      </c>
      <c r="Z853" t="s">
        <v>39</v>
      </c>
      <c r="AA853" t="s">
        <v>34</v>
      </c>
      <c r="AB853" t="s">
        <v>42</v>
      </c>
      <c r="AC853" t="s">
        <v>36</v>
      </c>
    </row>
    <row r="854" spans="1:29" x14ac:dyDescent="0.25">
      <c r="A854">
        <v>900</v>
      </c>
      <c r="B854">
        <v>9973</v>
      </c>
      <c r="C854">
        <v>0</v>
      </c>
      <c r="D854">
        <f t="shared" si="52"/>
        <v>9973</v>
      </c>
      <c r="E854" t="s">
        <v>29</v>
      </c>
      <c r="F854">
        <v>44</v>
      </c>
      <c r="G854" t="str" cm="1">
        <f t="array" ref="G854">_xlfn.IFS(F854&lt;25,"18-24",F854&lt;35,"25-35",F854&lt;45,"35-44",F854&lt;55,"44-54",F854&gt;=55,"55+")</f>
        <v>35-44</v>
      </c>
      <c r="H854" t="s">
        <v>30</v>
      </c>
      <c r="I854">
        <v>1</v>
      </c>
      <c r="J854" t="str" cm="1">
        <f t="array" ref="J854">_xlfn.IFS(I854&lt;=0,"No Dependents",I854&lt;=1,"One",I854&lt;=2,"Two",I854&gt;=3,"Third")</f>
        <v>One</v>
      </c>
      <c r="K854">
        <v>704</v>
      </c>
      <c r="L854" t="str" cm="1">
        <f t="array" ref="L854">_xlfn.IFS(K854&lt;=580,"Poor",K854&lt;=670,"fair",K854&lt;=740,"Good",K854&lt;=800,"Very Good",K854&gt;=800,"Excellent")</f>
        <v>Good</v>
      </c>
      <c r="M854">
        <v>0</v>
      </c>
      <c r="N854" t="str">
        <f t="shared" si="53"/>
        <v>No</v>
      </c>
      <c r="O854">
        <v>0.36</v>
      </c>
      <c r="P854" t="str" cm="1">
        <f t="array" ref="P854">_xlfn.IFS(O854&lt;=0.3,"Low Risk",O854&lt;=0.4,"medium Risk",O854&lt;=0.5,"High Risk",O854&gt;0.5,"Very High Risk")</f>
        <v>medium Risk</v>
      </c>
      <c r="Q854">
        <v>9304</v>
      </c>
      <c r="R854">
        <v>2377</v>
      </c>
      <c r="S854" t="str">
        <f t="shared" si="54"/>
        <v>Yes</v>
      </c>
      <c r="T854">
        <v>18776</v>
      </c>
      <c r="U854" t="str" cm="1">
        <f t="array" ref="U854">_xlfn.IFS(T854&lt;5000,"Small",T854&lt;20000,"Medium",T854&lt;35000,"Large",T854&gt;35000,"Very Large")</f>
        <v>Medium</v>
      </c>
      <c r="V854">
        <v>48</v>
      </c>
      <c r="W854">
        <f t="shared" si="55"/>
        <v>4</v>
      </c>
      <c r="X854" t="s">
        <v>42</v>
      </c>
      <c r="Y854" t="s">
        <v>38</v>
      </c>
      <c r="Z854" t="s">
        <v>39</v>
      </c>
      <c r="AA854" t="s">
        <v>40</v>
      </c>
      <c r="AB854" t="s">
        <v>48</v>
      </c>
      <c r="AC854" t="s">
        <v>44</v>
      </c>
    </row>
    <row r="855" spans="1:29" x14ac:dyDescent="0.25">
      <c r="A855">
        <v>901</v>
      </c>
      <c r="B855">
        <v>10577</v>
      </c>
      <c r="C855">
        <v>1826</v>
      </c>
      <c r="D855">
        <f t="shared" si="52"/>
        <v>12403</v>
      </c>
      <c r="E855" t="s">
        <v>46</v>
      </c>
      <c r="F855">
        <v>30</v>
      </c>
      <c r="G855" t="str" cm="1">
        <f t="array" ref="G855">_xlfn.IFS(F855&lt;25,"18-24",F855&lt;35,"25-35",F855&lt;45,"35-44",F855&lt;55,"44-54",F855&gt;=55,"55+")</f>
        <v>25-35</v>
      </c>
      <c r="H855" t="s">
        <v>30</v>
      </c>
      <c r="I855">
        <v>3</v>
      </c>
      <c r="J855" t="str" cm="1">
        <f t="array" ref="J855">_xlfn.IFS(I855&lt;=0,"No Dependents",I855&lt;=1,"One",I855&lt;=2,"Two",I855&gt;=3,"Third")</f>
        <v>Third</v>
      </c>
      <c r="K855">
        <v>774</v>
      </c>
      <c r="L855" t="str" cm="1">
        <f t="array" ref="L855">_xlfn.IFS(K855&lt;=580,"Poor",K855&lt;=670,"fair",K855&lt;=740,"Good",K855&lt;=800,"Very Good",K855&gt;=800,"Excellent")</f>
        <v>Very Good</v>
      </c>
      <c r="M855">
        <v>0</v>
      </c>
      <c r="N855" t="str">
        <f t="shared" si="53"/>
        <v>No</v>
      </c>
      <c r="O855">
        <v>0.25</v>
      </c>
      <c r="P855" t="str" cm="1">
        <f t="array" ref="P855">_xlfn.IFS(O855&lt;=0.3,"Low Risk",O855&lt;=0.4,"medium Risk",O855&lt;=0.5,"High Risk",O855&gt;0.5,"Very High Risk")</f>
        <v>Low Risk</v>
      </c>
      <c r="Q855">
        <v>0</v>
      </c>
      <c r="R855">
        <v>33615</v>
      </c>
      <c r="S855" t="str">
        <f t="shared" si="54"/>
        <v>Yes</v>
      </c>
      <c r="T855">
        <v>3076</v>
      </c>
      <c r="U855" t="str" cm="1">
        <f t="array" ref="U855">_xlfn.IFS(T855&lt;5000,"Small",T855&lt;20000,"Medium",T855&lt;35000,"Large",T855&gt;35000,"Very Large")</f>
        <v>Small</v>
      </c>
      <c r="V855">
        <v>12</v>
      </c>
      <c r="W855">
        <f t="shared" si="55"/>
        <v>1</v>
      </c>
      <c r="X855" t="s">
        <v>42</v>
      </c>
      <c r="Y855" t="s">
        <v>32</v>
      </c>
      <c r="Z855" t="s">
        <v>39</v>
      </c>
      <c r="AA855" t="s">
        <v>34</v>
      </c>
      <c r="AB855" t="s">
        <v>42</v>
      </c>
      <c r="AC855" t="s">
        <v>44</v>
      </c>
    </row>
    <row r="856" spans="1:29" x14ac:dyDescent="0.25">
      <c r="A856">
        <v>902</v>
      </c>
      <c r="B856">
        <v>10070</v>
      </c>
      <c r="C856">
        <v>7629</v>
      </c>
      <c r="D856">
        <f t="shared" si="52"/>
        <v>17699</v>
      </c>
      <c r="E856" t="s">
        <v>52</v>
      </c>
      <c r="F856">
        <v>52</v>
      </c>
      <c r="G856" t="str" cm="1">
        <f t="array" ref="G856">_xlfn.IFS(F856&lt;25,"18-24",F856&lt;35,"25-35",F856&lt;45,"35-44",F856&lt;55,"44-54",F856&gt;=55,"55+")</f>
        <v>44-54</v>
      </c>
      <c r="H856" t="s">
        <v>30</v>
      </c>
      <c r="I856">
        <v>0</v>
      </c>
      <c r="J856" t="str" cm="1">
        <f t="array" ref="J856">_xlfn.IFS(I856&lt;=0,"No Dependents",I856&lt;=1,"One",I856&lt;=2,"Two",I856&gt;=3,"Third")</f>
        <v>No Dependents</v>
      </c>
      <c r="K856">
        <v>570</v>
      </c>
      <c r="L856" t="str" cm="1">
        <f t="array" ref="L856">_xlfn.IFS(K856&lt;=580,"Poor",K856&lt;=670,"fair",K856&lt;=740,"Good",K856&lt;=800,"Very Good",K856&gt;=800,"Excellent")</f>
        <v>Poor</v>
      </c>
      <c r="M856">
        <v>0</v>
      </c>
      <c r="N856" t="str">
        <f t="shared" si="53"/>
        <v>No</v>
      </c>
      <c r="O856">
        <v>0.28000000000000003</v>
      </c>
      <c r="P856" t="str" cm="1">
        <f t="array" ref="P856">_xlfn.IFS(O856&lt;=0.3,"Low Risk",O856&lt;=0.4,"medium Risk",O856&lt;=0.5,"High Risk",O856&gt;0.5,"Very High Risk")</f>
        <v>Low Risk</v>
      </c>
      <c r="Q856">
        <v>11058</v>
      </c>
      <c r="R856">
        <v>47148</v>
      </c>
      <c r="S856" t="str">
        <f t="shared" si="54"/>
        <v>Yes</v>
      </c>
      <c r="T856">
        <v>26350</v>
      </c>
      <c r="U856" t="str" cm="1">
        <f t="array" ref="U856">_xlfn.IFS(T856&lt;5000,"Small",T856&lt;20000,"Medium",T856&lt;35000,"Large",T856&gt;35000,"Very Large")</f>
        <v>Large</v>
      </c>
      <c r="V856">
        <v>48</v>
      </c>
      <c r="W856">
        <f t="shared" si="55"/>
        <v>4</v>
      </c>
      <c r="X856" t="s">
        <v>50</v>
      </c>
      <c r="Y856" t="s">
        <v>45</v>
      </c>
      <c r="Z856" t="s">
        <v>33</v>
      </c>
      <c r="AA856" t="s">
        <v>40</v>
      </c>
      <c r="AB856" t="s">
        <v>35</v>
      </c>
      <c r="AC856" t="s">
        <v>36</v>
      </c>
    </row>
    <row r="857" spans="1:29" x14ac:dyDescent="0.25">
      <c r="A857">
        <v>903</v>
      </c>
      <c r="B857">
        <v>10666</v>
      </c>
      <c r="C857">
        <v>8325</v>
      </c>
      <c r="D857">
        <f t="shared" si="52"/>
        <v>18991</v>
      </c>
      <c r="E857" t="s">
        <v>49</v>
      </c>
      <c r="F857">
        <v>35</v>
      </c>
      <c r="G857" t="str" cm="1">
        <f t="array" ref="G857">_xlfn.IFS(F857&lt;25,"18-24",F857&lt;35,"25-35",F857&lt;45,"35-44",F857&lt;55,"44-54",F857&gt;=55,"55+")</f>
        <v>35-44</v>
      </c>
      <c r="H857" t="s">
        <v>41</v>
      </c>
      <c r="I857">
        <v>1</v>
      </c>
      <c r="J857" t="str" cm="1">
        <f t="array" ref="J857">_xlfn.IFS(I857&lt;=0,"No Dependents",I857&lt;=1,"One",I857&lt;=2,"Two",I857&gt;=3,"Third")</f>
        <v>One</v>
      </c>
      <c r="K857">
        <v>588</v>
      </c>
      <c r="L857" t="str" cm="1">
        <f t="array" ref="L857">_xlfn.IFS(K857&lt;=580,"Poor",K857&lt;=670,"fair",K857&lt;=740,"Good",K857&lt;=800,"Very Good",K857&gt;=800,"Excellent")</f>
        <v>fair</v>
      </c>
      <c r="M857">
        <v>2</v>
      </c>
      <c r="N857" t="str">
        <f t="shared" si="53"/>
        <v>Yes</v>
      </c>
      <c r="O857">
        <v>0.13</v>
      </c>
      <c r="P857" t="str" cm="1">
        <f t="array" ref="P857">_xlfn.IFS(O857&lt;=0.3,"Low Risk",O857&lt;=0.4,"medium Risk",O857&lt;=0.5,"High Risk",O857&gt;0.5,"Very High Risk")</f>
        <v>Low Risk</v>
      </c>
      <c r="Q857">
        <v>11260</v>
      </c>
      <c r="R857">
        <v>27452</v>
      </c>
      <c r="S857" t="str">
        <f t="shared" si="54"/>
        <v>Yes</v>
      </c>
      <c r="T857">
        <v>39964</v>
      </c>
      <c r="U857" t="str" cm="1">
        <f t="array" ref="U857">_xlfn.IFS(T857&lt;5000,"Small",T857&lt;20000,"Medium",T857&lt;35000,"Large",T857&gt;35000,"Very Large")</f>
        <v>Very Large</v>
      </c>
      <c r="V857">
        <v>84</v>
      </c>
      <c r="W857">
        <f t="shared" si="55"/>
        <v>7</v>
      </c>
      <c r="X857" t="s">
        <v>50</v>
      </c>
      <c r="Y857" t="s">
        <v>45</v>
      </c>
      <c r="Z857" t="s">
        <v>33</v>
      </c>
      <c r="AA857" t="s">
        <v>40</v>
      </c>
      <c r="AB857" t="s">
        <v>35</v>
      </c>
      <c r="AC857" t="s">
        <v>36</v>
      </c>
    </row>
    <row r="858" spans="1:29" x14ac:dyDescent="0.25">
      <c r="A858">
        <v>904</v>
      </c>
      <c r="B858">
        <v>5600</v>
      </c>
      <c r="C858">
        <v>3138</v>
      </c>
      <c r="D858">
        <f t="shared" si="52"/>
        <v>8738</v>
      </c>
      <c r="E858" t="s">
        <v>29</v>
      </c>
      <c r="F858">
        <v>57</v>
      </c>
      <c r="G858" t="str" cm="1">
        <f t="array" ref="G858">_xlfn.IFS(F858&lt;25,"18-24",F858&lt;35,"25-35",F858&lt;45,"35-44",F858&lt;55,"44-54",F858&gt;=55,"55+")</f>
        <v>55+</v>
      </c>
      <c r="H858" t="s">
        <v>30</v>
      </c>
      <c r="I858">
        <v>3</v>
      </c>
      <c r="J858" t="str" cm="1">
        <f t="array" ref="J858">_xlfn.IFS(I858&lt;=0,"No Dependents",I858&lt;=1,"One",I858&lt;=2,"Two",I858&gt;=3,"Third")</f>
        <v>Third</v>
      </c>
      <c r="K858">
        <v>550</v>
      </c>
      <c r="L858" t="str" cm="1">
        <f t="array" ref="L858">_xlfn.IFS(K858&lt;=580,"Poor",K858&lt;=670,"fair",K858&lt;=740,"Good",K858&lt;=800,"Very Good",K858&gt;=800,"Excellent")</f>
        <v>Poor</v>
      </c>
      <c r="M858">
        <v>2</v>
      </c>
      <c r="N858" t="str">
        <f t="shared" si="53"/>
        <v>Yes</v>
      </c>
      <c r="O858">
        <v>0.59</v>
      </c>
      <c r="P858" t="str" cm="1">
        <f t="array" ref="P858">_xlfn.IFS(O858&lt;=0.3,"Low Risk",O858&lt;=0.4,"medium Risk",O858&lt;=0.5,"High Risk",O858&gt;0.5,"Very High Risk")</f>
        <v>Very High Risk</v>
      </c>
      <c r="Q858">
        <v>18563</v>
      </c>
      <c r="R858">
        <v>22725</v>
      </c>
      <c r="S858" t="str">
        <f t="shared" si="54"/>
        <v>Yes</v>
      </c>
      <c r="T858">
        <v>17292</v>
      </c>
      <c r="U858" t="str" cm="1">
        <f t="array" ref="U858">_xlfn.IFS(T858&lt;5000,"Small",T858&lt;20000,"Medium",T858&lt;35000,"Large",T858&gt;35000,"Very Large")</f>
        <v>Medium</v>
      </c>
      <c r="V858">
        <v>72</v>
      </c>
      <c r="W858">
        <f t="shared" si="55"/>
        <v>6</v>
      </c>
      <c r="X858" t="s">
        <v>37</v>
      </c>
      <c r="Y858" t="s">
        <v>38</v>
      </c>
      <c r="Z858" t="s">
        <v>39</v>
      </c>
      <c r="AA858" t="s">
        <v>40</v>
      </c>
      <c r="AB858" t="s">
        <v>48</v>
      </c>
      <c r="AC858" t="s">
        <v>36</v>
      </c>
    </row>
    <row r="859" spans="1:29" x14ac:dyDescent="0.25">
      <c r="A859">
        <v>905</v>
      </c>
      <c r="B859">
        <v>8783</v>
      </c>
      <c r="C859">
        <v>7693</v>
      </c>
      <c r="D859">
        <f t="shared" si="52"/>
        <v>16476</v>
      </c>
      <c r="E859" t="s">
        <v>49</v>
      </c>
      <c r="F859">
        <v>40</v>
      </c>
      <c r="G859" t="str" cm="1">
        <f t="array" ref="G859">_xlfn.IFS(F859&lt;25,"18-24",F859&lt;35,"25-35",F859&lt;45,"35-44",F859&lt;55,"44-54",F859&gt;=55,"55+")</f>
        <v>35-44</v>
      </c>
      <c r="H859" t="s">
        <v>30</v>
      </c>
      <c r="I859">
        <v>1</v>
      </c>
      <c r="J859" t="str" cm="1">
        <f t="array" ref="J859">_xlfn.IFS(I859&lt;=0,"No Dependents",I859&lt;=1,"One",I859&lt;=2,"Two",I859&gt;=3,"Third")</f>
        <v>One</v>
      </c>
      <c r="K859">
        <v>550</v>
      </c>
      <c r="L859" t="str" cm="1">
        <f t="array" ref="L859">_xlfn.IFS(K859&lt;=580,"Poor",K859&lt;=670,"fair",K859&lt;=740,"Good",K859&lt;=800,"Very Good",K859&gt;=800,"Excellent")</f>
        <v>Poor</v>
      </c>
      <c r="M859">
        <v>3</v>
      </c>
      <c r="N859" t="str">
        <f t="shared" si="53"/>
        <v>Yes</v>
      </c>
      <c r="O859">
        <v>0.12</v>
      </c>
      <c r="P859" t="str" cm="1">
        <f t="array" ref="P859">_xlfn.IFS(O859&lt;=0.3,"Low Risk",O859&lt;=0.4,"medium Risk",O859&lt;=0.5,"High Risk",O859&gt;0.5,"Very High Risk")</f>
        <v>Low Risk</v>
      </c>
      <c r="Q859">
        <v>634</v>
      </c>
      <c r="R859">
        <v>9524</v>
      </c>
      <c r="S859" t="str">
        <f t="shared" si="54"/>
        <v>Yes</v>
      </c>
      <c r="T859">
        <v>32510</v>
      </c>
      <c r="U859" t="str" cm="1">
        <f t="array" ref="U859">_xlfn.IFS(T859&lt;5000,"Small",T859&lt;20000,"Medium",T859&lt;35000,"Large",T859&gt;35000,"Very Large")</f>
        <v>Large</v>
      </c>
      <c r="V859">
        <v>72</v>
      </c>
      <c r="W859">
        <f t="shared" si="55"/>
        <v>6</v>
      </c>
      <c r="X859" t="s">
        <v>42</v>
      </c>
      <c r="Y859" t="s">
        <v>32</v>
      </c>
      <c r="Z859" t="s">
        <v>39</v>
      </c>
      <c r="AA859" t="s">
        <v>40</v>
      </c>
      <c r="AB859" t="s">
        <v>35</v>
      </c>
      <c r="AC859" t="s">
        <v>44</v>
      </c>
    </row>
    <row r="860" spans="1:29" x14ac:dyDescent="0.25">
      <c r="A860">
        <v>906</v>
      </c>
      <c r="B860">
        <v>15226</v>
      </c>
      <c r="C860">
        <v>8264</v>
      </c>
      <c r="D860">
        <f t="shared" si="52"/>
        <v>23490</v>
      </c>
      <c r="E860" t="s">
        <v>49</v>
      </c>
      <c r="F860">
        <v>23</v>
      </c>
      <c r="G860" t="str" cm="1">
        <f t="array" ref="G860">_xlfn.IFS(F860&lt;25,"18-24",F860&lt;35,"25-35",F860&lt;45,"35-44",F860&lt;55,"44-54",F860&gt;=55,"55+")</f>
        <v>18-24</v>
      </c>
      <c r="H860" t="s">
        <v>41</v>
      </c>
      <c r="I860">
        <v>1</v>
      </c>
      <c r="J860" t="str" cm="1">
        <f t="array" ref="J860">_xlfn.IFS(I860&lt;=0,"No Dependents",I860&lt;=1,"One",I860&lt;=2,"Two",I860&gt;=3,"Third")</f>
        <v>One</v>
      </c>
      <c r="K860">
        <v>595</v>
      </c>
      <c r="L860" t="str" cm="1">
        <f t="array" ref="L860">_xlfn.IFS(K860&lt;=580,"Poor",K860&lt;=670,"fair",K860&lt;=740,"Good",K860&lt;=800,"Very Good",K860&gt;=800,"Excellent")</f>
        <v>fair</v>
      </c>
      <c r="M860">
        <v>1</v>
      </c>
      <c r="N860" t="str">
        <f t="shared" si="53"/>
        <v>Yes</v>
      </c>
      <c r="O860">
        <v>0.43</v>
      </c>
      <c r="P860" t="str" cm="1">
        <f t="array" ref="P860">_xlfn.IFS(O860&lt;=0.3,"Low Risk",O860&lt;=0.4,"medium Risk",O860&lt;=0.5,"High Risk",O860&gt;0.5,"Very High Risk")</f>
        <v>High Risk</v>
      </c>
      <c r="Q860">
        <v>10057</v>
      </c>
      <c r="R860">
        <v>47999</v>
      </c>
      <c r="S860" t="str">
        <f t="shared" si="54"/>
        <v>Yes</v>
      </c>
      <c r="T860">
        <v>29000</v>
      </c>
      <c r="U860" t="str" cm="1">
        <f t="array" ref="U860">_xlfn.IFS(T860&lt;5000,"Small",T860&lt;20000,"Medium",T860&lt;35000,"Large",T860&gt;35000,"Very Large")</f>
        <v>Large</v>
      </c>
      <c r="V860">
        <v>72</v>
      </c>
      <c r="W860">
        <f t="shared" si="55"/>
        <v>6</v>
      </c>
      <c r="X860" t="s">
        <v>31</v>
      </c>
      <c r="Y860" t="s">
        <v>45</v>
      </c>
      <c r="Z860" t="s">
        <v>39</v>
      </c>
      <c r="AA860" t="s">
        <v>40</v>
      </c>
      <c r="AB860" t="s">
        <v>43</v>
      </c>
      <c r="AC860" t="s">
        <v>36</v>
      </c>
    </row>
    <row r="861" spans="1:29" x14ac:dyDescent="0.25">
      <c r="A861">
        <v>907</v>
      </c>
      <c r="B861">
        <v>11146</v>
      </c>
      <c r="C861">
        <v>7842</v>
      </c>
      <c r="D861">
        <f t="shared" si="52"/>
        <v>18988</v>
      </c>
      <c r="E861" t="s">
        <v>46</v>
      </c>
      <c r="F861">
        <v>57</v>
      </c>
      <c r="G861" t="str" cm="1">
        <f t="array" ref="G861">_xlfn.IFS(F861&lt;25,"18-24",F861&lt;35,"25-35",F861&lt;45,"35-44",F861&lt;55,"44-54",F861&gt;=55,"55+")</f>
        <v>55+</v>
      </c>
      <c r="H861" t="s">
        <v>30</v>
      </c>
      <c r="I861">
        <v>0</v>
      </c>
      <c r="J861" t="str" cm="1">
        <f t="array" ref="J861">_xlfn.IFS(I861&lt;=0,"No Dependents",I861&lt;=1,"One",I861&lt;=2,"Two",I861&gt;=3,"Third")</f>
        <v>No Dependents</v>
      </c>
      <c r="K861">
        <v>615</v>
      </c>
      <c r="L861" t="str" cm="1">
        <f t="array" ref="L861">_xlfn.IFS(K861&lt;=580,"Poor",K861&lt;=670,"fair",K861&lt;=740,"Good",K861&lt;=800,"Very Good",K861&gt;=800,"Excellent")</f>
        <v>fair</v>
      </c>
      <c r="M861">
        <v>0</v>
      </c>
      <c r="N861" t="str">
        <f t="shared" si="53"/>
        <v>No</v>
      </c>
      <c r="O861">
        <v>0.32</v>
      </c>
      <c r="P861" t="str" cm="1">
        <f t="array" ref="P861">_xlfn.IFS(O861&lt;=0.3,"Low Risk",O861&lt;=0.4,"medium Risk",O861&lt;=0.5,"High Risk",O861&gt;0.5,"Very High Risk")</f>
        <v>medium Risk</v>
      </c>
      <c r="Q861">
        <v>13345</v>
      </c>
      <c r="R861">
        <v>11698</v>
      </c>
      <c r="S861" t="str">
        <f t="shared" si="54"/>
        <v>Yes</v>
      </c>
      <c r="T861">
        <v>31383</v>
      </c>
      <c r="U861" t="str" cm="1">
        <f t="array" ref="U861">_xlfn.IFS(T861&lt;5000,"Small",T861&lt;20000,"Medium",T861&lt;35000,"Large",T861&gt;35000,"Very Large")</f>
        <v>Large</v>
      </c>
      <c r="V861">
        <v>36</v>
      </c>
      <c r="W861">
        <f t="shared" si="55"/>
        <v>3</v>
      </c>
      <c r="X861" t="s">
        <v>47</v>
      </c>
      <c r="Y861" t="s">
        <v>45</v>
      </c>
      <c r="Z861" t="s">
        <v>39</v>
      </c>
      <c r="AA861" t="s">
        <v>40</v>
      </c>
      <c r="AB861" t="s">
        <v>35</v>
      </c>
      <c r="AC861" t="s">
        <v>36</v>
      </c>
    </row>
    <row r="862" spans="1:29" x14ac:dyDescent="0.25">
      <c r="A862">
        <v>908</v>
      </c>
      <c r="B862">
        <v>6971</v>
      </c>
      <c r="C862">
        <v>6721</v>
      </c>
      <c r="D862">
        <f t="shared" si="52"/>
        <v>13692</v>
      </c>
      <c r="E862" t="s">
        <v>49</v>
      </c>
      <c r="F862">
        <v>28</v>
      </c>
      <c r="G862" t="str" cm="1">
        <f t="array" ref="G862">_xlfn.IFS(F862&lt;25,"18-24",F862&lt;35,"25-35",F862&lt;45,"35-44",F862&lt;55,"44-54",F862&gt;=55,"55+")</f>
        <v>25-35</v>
      </c>
      <c r="H862" t="s">
        <v>30</v>
      </c>
      <c r="I862">
        <v>1</v>
      </c>
      <c r="J862" t="str" cm="1">
        <f t="array" ref="J862">_xlfn.IFS(I862&lt;=0,"No Dependents",I862&lt;=1,"One",I862&lt;=2,"Two",I862&gt;=3,"Third")</f>
        <v>One</v>
      </c>
      <c r="K862">
        <v>640</v>
      </c>
      <c r="L862" t="str" cm="1">
        <f t="array" ref="L862">_xlfn.IFS(K862&lt;=580,"Poor",K862&lt;=670,"fair",K862&lt;=740,"Good",K862&lt;=800,"Very Good",K862&gt;=800,"Excellent")</f>
        <v>fair</v>
      </c>
      <c r="M862">
        <v>0</v>
      </c>
      <c r="N862" t="str">
        <f t="shared" si="53"/>
        <v>No</v>
      </c>
      <c r="O862">
        <v>0.56999999999999995</v>
      </c>
      <c r="P862" t="str" cm="1">
        <f t="array" ref="P862">_xlfn.IFS(O862&lt;=0.3,"Low Risk",O862&lt;=0.4,"medium Risk",O862&lt;=0.5,"High Risk",O862&gt;0.5,"Very High Risk")</f>
        <v>Very High Risk</v>
      </c>
      <c r="Q862">
        <v>10147</v>
      </c>
      <c r="R862">
        <v>43339</v>
      </c>
      <c r="S862" t="str">
        <f t="shared" si="54"/>
        <v>Yes</v>
      </c>
      <c r="T862">
        <v>0</v>
      </c>
      <c r="U862" t="str" cm="1">
        <f t="array" ref="U862">_xlfn.IFS(T862&lt;5000,"Small",T862&lt;20000,"Medium",T862&lt;35000,"Large",T862&gt;35000,"Very Large")</f>
        <v>Small</v>
      </c>
      <c r="V862">
        <v>84</v>
      </c>
      <c r="W862">
        <f t="shared" si="55"/>
        <v>7</v>
      </c>
      <c r="X862" t="s">
        <v>37</v>
      </c>
      <c r="Y862" t="s">
        <v>32</v>
      </c>
      <c r="Z862" t="s">
        <v>39</v>
      </c>
      <c r="AA862" t="s">
        <v>40</v>
      </c>
      <c r="AB862" t="s">
        <v>35</v>
      </c>
      <c r="AC862" t="s">
        <v>36</v>
      </c>
    </row>
    <row r="863" spans="1:29" x14ac:dyDescent="0.25">
      <c r="A863">
        <v>909</v>
      </c>
      <c r="B863">
        <v>15490</v>
      </c>
      <c r="C863">
        <v>7002</v>
      </c>
      <c r="D863">
        <f t="shared" si="52"/>
        <v>22492</v>
      </c>
      <c r="E863" t="s">
        <v>49</v>
      </c>
      <c r="F863">
        <v>43</v>
      </c>
      <c r="G863" t="str" cm="1">
        <f t="array" ref="G863">_xlfn.IFS(F863&lt;25,"18-24",F863&lt;35,"25-35",F863&lt;45,"35-44",F863&lt;55,"44-54",F863&gt;=55,"55+")</f>
        <v>35-44</v>
      </c>
      <c r="H863" t="s">
        <v>30</v>
      </c>
      <c r="I863">
        <v>0</v>
      </c>
      <c r="J863" t="str" cm="1">
        <f t="array" ref="J863">_xlfn.IFS(I863&lt;=0,"No Dependents",I863&lt;=1,"One",I863&lt;=2,"Two",I863&gt;=3,"Third")</f>
        <v>No Dependents</v>
      </c>
      <c r="K863">
        <v>713</v>
      </c>
      <c r="L863" t="str" cm="1">
        <f t="array" ref="L863">_xlfn.IFS(K863&lt;=580,"Poor",K863&lt;=670,"fair",K863&lt;=740,"Good",K863&lt;=800,"Very Good",K863&gt;=800,"Excellent")</f>
        <v>Good</v>
      </c>
      <c r="M863">
        <v>0</v>
      </c>
      <c r="N863" t="str">
        <f t="shared" si="53"/>
        <v>No</v>
      </c>
      <c r="O863">
        <v>0.22</v>
      </c>
      <c r="P863" t="str" cm="1">
        <f t="array" ref="P863">_xlfn.IFS(O863&lt;=0.3,"Low Risk",O863&lt;=0.4,"medium Risk",O863&lt;=0.5,"High Risk",O863&gt;0.5,"Very High Risk")</f>
        <v>Low Risk</v>
      </c>
      <c r="Q863">
        <v>18602</v>
      </c>
      <c r="R863">
        <v>21175</v>
      </c>
      <c r="S863" t="str">
        <f t="shared" si="54"/>
        <v>Yes</v>
      </c>
      <c r="T863">
        <v>25855</v>
      </c>
      <c r="U863" t="str" cm="1">
        <f t="array" ref="U863">_xlfn.IFS(T863&lt;5000,"Small",T863&lt;20000,"Medium",T863&lt;35000,"Large",T863&gt;35000,"Very Large")</f>
        <v>Large</v>
      </c>
      <c r="V863">
        <v>36</v>
      </c>
      <c r="W863">
        <f t="shared" si="55"/>
        <v>3</v>
      </c>
      <c r="X863" t="s">
        <v>47</v>
      </c>
      <c r="Y863" t="s">
        <v>32</v>
      </c>
      <c r="Z863" t="s">
        <v>33</v>
      </c>
      <c r="AA863" t="s">
        <v>40</v>
      </c>
      <c r="AB863" t="s">
        <v>35</v>
      </c>
      <c r="AC863" t="s">
        <v>44</v>
      </c>
    </row>
    <row r="864" spans="1:29" x14ac:dyDescent="0.25">
      <c r="A864">
        <v>910</v>
      </c>
      <c r="B864">
        <v>19589</v>
      </c>
      <c r="C864">
        <v>4225</v>
      </c>
      <c r="D864">
        <f t="shared" si="52"/>
        <v>23814</v>
      </c>
      <c r="E864" t="s">
        <v>29</v>
      </c>
      <c r="F864">
        <v>31</v>
      </c>
      <c r="G864" t="str" cm="1">
        <f t="array" ref="G864">_xlfn.IFS(F864&lt;25,"18-24",F864&lt;35,"25-35",F864&lt;45,"35-44",F864&lt;55,"44-54",F864&gt;=55,"55+")</f>
        <v>25-35</v>
      </c>
      <c r="H864" t="s">
        <v>41</v>
      </c>
      <c r="I864">
        <v>3</v>
      </c>
      <c r="J864" t="str" cm="1">
        <f t="array" ref="J864">_xlfn.IFS(I864&lt;=0,"No Dependents",I864&lt;=1,"One",I864&lt;=2,"Two",I864&gt;=3,"Third")</f>
        <v>Third</v>
      </c>
      <c r="K864">
        <v>752</v>
      </c>
      <c r="L864" t="str" cm="1">
        <f t="array" ref="L864">_xlfn.IFS(K864&lt;=580,"Poor",K864&lt;=670,"fair",K864&lt;=740,"Good",K864&lt;=800,"Very Good",K864&gt;=800,"Excellent")</f>
        <v>Very Good</v>
      </c>
      <c r="M864">
        <v>0</v>
      </c>
      <c r="N864" t="str">
        <f t="shared" si="53"/>
        <v>No</v>
      </c>
      <c r="O864">
        <v>0.37</v>
      </c>
      <c r="P864" t="str" cm="1">
        <f t="array" ref="P864">_xlfn.IFS(O864&lt;=0.3,"Low Risk",O864&lt;=0.4,"medium Risk",O864&lt;=0.5,"High Risk",O864&gt;0.5,"Very High Risk")</f>
        <v>medium Risk</v>
      </c>
      <c r="Q864">
        <v>1389</v>
      </c>
      <c r="R864">
        <v>12314</v>
      </c>
      <c r="S864" t="str">
        <f t="shared" si="54"/>
        <v>Yes</v>
      </c>
      <c r="T864">
        <v>25281</v>
      </c>
      <c r="U864" t="str" cm="1">
        <f t="array" ref="U864">_xlfn.IFS(T864&lt;5000,"Small",T864&lt;20000,"Medium",T864&lt;35000,"Large",T864&gt;35000,"Very Large")</f>
        <v>Large</v>
      </c>
      <c r="V864">
        <v>12</v>
      </c>
      <c r="W864">
        <f t="shared" si="55"/>
        <v>1</v>
      </c>
      <c r="X864" t="s">
        <v>47</v>
      </c>
      <c r="Y864" t="s">
        <v>45</v>
      </c>
      <c r="Z864" t="s">
        <v>39</v>
      </c>
      <c r="AA864" t="s">
        <v>34</v>
      </c>
      <c r="AB864" t="s">
        <v>35</v>
      </c>
      <c r="AC864" t="s">
        <v>44</v>
      </c>
    </row>
    <row r="865" spans="1:29" x14ac:dyDescent="0.25">
      <c r="A865">
        <v>911</v>
      </c>
      <c r="B865">
        <v>14951</v>
      </c>
      <c r="C865">
        <v>2978</v>
      </c>
      <c r="D865">
        <f t="shared" si="52"/>
        <v>17929</v>
      </c>
      <c r="E865" t="s">
        <v>29</v>
      </c>
      <c r="F865">
        <v>28</v>
      </c>
      <c r="G865" t="str" cm="1">
        <f t="array" ref="G865">_xlfn.IFS(F865&lt;25,"18-24",F865&lt;35,"25-35",F865&lt;45,"35-44",F865&lt;55,"44-54",F865&gt;=55,"55+")</f>
        <v>25-35</v>
      </c>
      <c r="H865" t="s">
        <v>30</v>
      </c>
      <c r="I865">
        <v>1</v>
      </c>
      <c r="J865" t="str" cm="1">
        <f t="array" ref="J865">_xlfn.IFS(I865&lt;=0,"No Dependents",I865&lt;=1,"One",I865&lt;=2,"Two",I865&gt;=3,"Third")</f>
        <v>One</v>
      </c>
      <c r="K865">
        <v>660</v>
      </c>
      <c r="L865" t="str" cm="1">
        <f t="array" ref="L865">_xlfn.IFS(K865&lt;=580,"Poor",K865&lt;=670,"fair",K865&lt;=740,"Good",K865&lt;=800,"Very Good",K865&gt;=800,"Excellent")</f>
        <v>fair</v>
      </c>
      <c r="M865">
        <v>2</v>
      </c>
      <c r="N865" t="str">
        <f t="shared" si="53"/>
        <v>Yes</v>
      </c>
      <c r="O865">
        <v>0.34</v>
      </c>
      <c r="P865" t="str" cm="1">
        <f t="array" ref="P865">_xlfn.IFS(O865&lt;=0.3,"Low Risk",O865&lt;=0.4,"medium Risk",O865&lt;=0.5,"High Risk",O865&gt;0.5,"Very High Risk")</f>
        <v>medium Risk</v>
      </c>
      <c r="Q865">
        <v>13071</v>
      </c>
      <c r="R865">
        <v>44197</v>
      </c>
      <c r="S865" t="str">
        <f t="shared" si="54"/>
        <v>Yes</v>
      </c>
      <c r="T865">
        <v>5841</v>
      </c>
      <c r="U865" t="str" cm="1">
        <f t="array" ref="U865">_xlfn.IFS(T865&lt;5000,"Small",T865&lt;20000,"Medium",T865&lt;35000,"Large",T865&gt;35000,"Very Large")</f>
        <v>Medium</v>
      </c>
      <c r="V865">
        <v>48</v>
      </c>
      <c r="W865">
        <f t="shared" si="55"/>
        <v>4</v>
      </c>
      <c r="X865" t="s">
        <v>42</v>
      </c>
      <c r="Y865" t="s">
        <v>32</v>
      </c>
      <c r="Z865" t="s">
        <v>39</v>
      </c>
      <c r="AA865" t="s">
        <v>40</v>
      </c>
      <c r="AB865" t="s">
        <v>48</v>
      </c>
      <c r="AC865" t="s">
        <v>44</v>
      </c>
    </row>
    <row r="866" spans="1:29" x14ac:dyDescent="0.25">
      <c r="A866">
        <v>912</v>
      </c>
      <c r="B866">
        <v>14312</v>
      </c>
      <c r="C866">
        <v>7373</v>
      </c>
      <c r="D866">
        <f t="shared" si="52"/>
        <v>21685</v>
      </c>
      <c r="E866" t="s">
        <v>48</v>
      </c>
      <c r="F866">
        <v>49</v>
      </c>
      <c r="G866" t="str" cm="1">
        <f t="array" ref="G866">_xlfn.IFS(F866&lt;25,"18-24",F866&lt;35,"25-35",F866&lt;45,"35-44",F866&lt;55,"44-54",F866&gt;=55,"55+")</f>
        <v>44-54</v>
      </c>
      <c r="H866" t="s">
        <v>30</v>
      </c>
      <c r="I866">
        <v>1</v>
      </c>
      <c r="J866" t="str" cm="1">
        <f t="array" ref="J866">_xlfn.IFS(I866&lt;=0,"No Dependents",I866&lt;=1,"One",I866&lt;=2,"Two",I866&gt;=3,"Third")</f>
        <v>One</v>
      </c>
      <c r="K866">
        <v>631</v>
      </c>
      <c r="L866" t="str" cm="1">
        <f t="array" ref="L866">_xlfn.IFS(K866&lt;=580,"Poor",K866&lt;=670,"fair",K866&lt;=740,"Good",K866&lt;=800,"Very Good",K866&gt;=800,"Excellent")</f>
        <v>fair</v>
      </c>
      <c r="M866">
        <v>3</v>
      </c>
      <c r="N866" t="str">
        <f t="shared" si="53"/>
        <v>Yes</v>
      </c>
      <c r="O866">
        <v>0.45</v>
      </c>
      <c r="P866" t="str" cm="1">
        <f t="array" ref="P866">_xlfn.IFS(O866&lt;=0.3,"Low Risk",O866&lt;=0.4,"medium Risk",O866&lt;=0.5,"High Risk",O866&gt;0.5,"Very High Risk")</f>
        <v>High Risk</v>
      </c>
      <c r="Q866">
        <v>11322</v>
      </c>
      <c r="R866">
        <v>2365</v>
      </c>
      <c r="S866" t="str">
        <f t="shared" si="54"/>
        <v>Yes</v>
      </c>
      <c r="T866">
        <v>32668</v>
      </c>
      <c r="U866" t="str" cm="1">
        <f t="array" ref="U866">_xlfn.IFS(T866&lt;5000,"Small",T866&lt;20000,"Medium",T866&lt;35000,"Large",T866&gt;35000,"Very Large")</f>
        <v>Large</v>
      </c>
      <c r="V866">
        <v>60</v>
      </c>
      <c r="W866">
        <f t="shared" si="55"/>
        <v>5</v>
      </c>
      <c r="X866" t="s">
        <v>31</v>
      </c>
      <c r="Y866" t="s">
        <v>38</v>
      </c>
      <c r="Z866" t="s">
        <v>39</v>
      </c>
      <c r="AA866" t="s">
        <v>40</v>
      </c>
      <c r="AB866" t="s">
        <v>43</v>
      </c>
      <c r="AC866" t="s">
        <v>36</v>
      </c>
    </row>
    <row r="867" spans="1:29" x14ac:dyDescent="0.25">
      <c r="A867">
        <v>913</v>
      </c>
      <c r="B867">
        <v>3990</v>
      </c>
      <c r="C867">
        <v>5907</v>
      </c>
      <c r="D867">
        <f t="shared" si="52"/>
        <v>9897</v>
      </c>
      <c r="E867" t="s">
        <v>29</v>
      </c>
      <c r="F867">
        <v>50</v>
      </c>
      <c r="G867" t="str" cm="1">
        <f t="array" ref="G867">_xlfn.IFS(F867&lt;25,"18-24",F867&lt;35,"25-35",F867&lt;45,"35-44",F867&lt;55,"44-54",F867&gt;=55,"55+")</f>
        <v>44-54</v>
      </c>
      <c r="H867" t="s">
        <v>30</v>
      </c>
      <c r="I867">
        <v>2</v>
      </c>
      <c r="J867" t="str" cm="1">
        <f t="array" ref="J867">_xlfn.IFS(I867&lt;=0,"No Dependents",I867&lt;=1,"One",I867&lt;=2,"Two",I867&gt;=3,"Third")</f>
        <v>Two</v>
      </c>
      <c r="K867">
        <v>672</v>
      </c>
      <c r="L867" t="str" cm="1">
        <f t="array" ref="L867">_xlfn.IFS(K867&lt;=580,"Poor",K867&lt;=670,"fair",K867&lt;=740,"Good",K867&lt;=800,"Very Good",K867&gt;=800,"Excellent")</f>
        <v>Good</v>
      </c>
      <c r="M867">
        <v>4</v>
      </c>
      <c r="N867" t="str">
        <f t="shared" si="53"/>
        <v>Yes</v>
      </c>
      <c r="O867">
        <v>0.13</v>
      </c>
      <c r="P867" t="str" cm="1">
        <f t="array" ref="P867">_xlfn.IFS(O867&lt;=0.3,"Low Risk",O867&lt;=0.4,"medium Risk",O867&lt;=0.5,"High Risk",O867&gt;0.5,"Very High Risk")</f>
        <v>Low Risk</v>
      </c>
      <c r="Q867">
        <v>4276</v>
      </c>
      <c r="R867">
        <v>32017</v>
      </c>
      <c r="S867" t="str">
        <f t="shared" si="54"/>
        <v>Yes</v>
      </c>
      <c r="T867">
        <v>27918</v>
      </c>
      <c r="U867" t="str" cm="1">
        <f t="array" ref="U867">_xlfn.IFS(T867&lt;5000,"Small",T867&lt;20000,"Medium",T867&lt;35000,"Large",T867&gt;35000,"Very Large")</f>
        <v>Large</v>
      </c>
      <c r="V867">
        <v>84</v>
      </c>
      <c r="W867">
        <f t="shared" si="55"/>
        <v>7</v>
      </c>
      <c r="X867" t="s">
        <v>47</v>
      </c>
      <c r="Y867" t="s">
        <v>32</v>
      </c>
      <c r="Z867" t="s">
        <v>39</v>
      </c>
      <c r="AA867" t="s">
        <v>40</v>
      </c>
      <c r="AB867" t="s">
        <v>42</v>
      </c>
      <c r="AC867" t="s">
        <v>36</v>
      </c>
    </row>
    <row r="868" spans="1:29" x14ac:dyDescent="0.25">
      <c r="A868">
        <v>914</v>
      </c>
      <c r="B868">
        <v>7299</v>
      </c>
      <c r="C868">
        <v>6097</v>
      </c>
      <c r="D868">
        <f t="shared" si="52"/>
        <v>13396</v>
      </c>
      <c r="E868" t="s">
        <v>49</v>
      </c>
      <c r="F868">
        <v>30</v>
      </c>
      <c r="G868" t="str" cm="1">
        <f t="array" ref="G868">_xlfn.IFS(F868&lt;25,"18-24",F868&lt;35,"25-35",F868&lt;45,"35-44",F868&lt;55,"44-54",F868&gt;=55,"55+")</f>
        <v>25-35</v>
      </c>
      <c r="H868" t="s">
        <v>41</v>
      </c>
      <c r="I868">
        <v>3</v>
      </c>
      <c r="J868" t="str" cm="1">
        <f t="array" ref="J868">_xlfn.IFS(I868&lt;=0,"No Dependents",I868&lt;=1,"One",I868&lt;=2,"Two",I868&gt;=3,"Third")</f>
        <v>Third</v>
      </c>
      <c r="K868">
        <v>742</v>
      </c>
      <c r="L868" t="str" cm="1">
        <f t="array" ref="L868">_xlfn.IFS(K868&lt;=580,"Poor",K868&lt;=670,"fair",K868&lt;=740,"Good",K868&lt;=800,"Very Good",K868&gt;=800,"Excellent")</f>
        <v>Very Good</v>
      </c>
      <c r="M868">
        <v>1</v>
      </c>
      <c r="N868" t="str">
        <f t="shared" si="53"/>
        <v>Yes</v>
      </c>
      <c r="O868">
        <v>0.2</v>
      </c>
      <c r="P868" t="str" cm="1">
        <f t="array" ref="P868">_xlfn.IFS(O868&lt;=0.3,"Low Risk",O868&lt;=0.4,"medium Risk",O868&lt;=0.5,"High Risk",O868&gt;0.5,"Very High Risk")</f>
        <v>Low Risk</v>
      </c>
      <c r="Q868">
        <v>0</v>
      </c>
      <c r="R868">
        <v>32126</v>
      </c>
      <c r="S868" t="str">
        <f t="shared" si="54"/>
        <v>Yes</v>
      </c>
      <c r="T868">
        <v>18443</v>
      </c>
      <c r="U868" t="str" cm="1">
        <f t="array" ref="U868">_xlfn.IFS(T868&lt;5000,"Small",T868&lt;20000,"Medium",T868&lt;35000,"Large",T868&gt;35000,"Very Large")</f>
        <v>Medium</v>
      </c>
      <c r="V868">
        <v>12</v>
      </c>
      <c r="W868">
        <f t="shared" si="55"/>
        <v>1</v>
      </c>
      <c r="X868" t="s">
        <v>47</v>
      </c>
      <c r="Y868" t="s">
        <v>38</v>
      </c>
      <c r="Z868" t="s">
        <v>39</v>
      </c>
      <c r="AA868" t="s">
        <v>40</v>
      </c>
      <c r="AB868" t="s">
        <v>42</v>
      </c>
      <c r="AC868" t="s">
        <v>44</v>
      </c>
    </row>
    <row r="869" spans="1:29" x14ac:dyDescent="0.25">
      <c r="A869">
        <v>915</v>
      </c>
      <c r="B869">
        <v>14997</v>
      </c>
      <c r="C869">
        <v>5656</v>
      </c>
      <c r="D869">
        <f t="shared" si="52"/>
        <v>20653</v>
      </c>
      <c r="E869" t="s">
        <v>48</v>
      </c>
      <c r="F869">
        <v>59</v>
      </c>
      <c r="G869" t="str" cm="1">
        <f t="array" ref="G869">_xlfn.IFS(F869&lt;25,"18-24",F869&lt;35,"25-35",F869&lt;45,"35-44",F869&lt;55,"44-54",F869&gt;=55,"55+")</f>
        <v>55+</v>
      </c>
      <c r="H869" t="s">
        <v>30</v>
      </c>
      <c r="I869">
        <v>3</v>
      </c>
      <c r="J869" t="str" cm="1">
        <f t="array" ref="J869">_xlfn.IFS(I869&lt;=0,"No Dependents",I869&lt;=1,"One",I869&lt;=2,"Two",I869&gt;=3,"Third")</f>
        <v>Third</v>
      </c>
      <c r="K869">
        <v>740</v>
      </c>
      <c r="L869" t="str" cm="1">
        <f t="array" ref="L869">_xlfn.IFS(K869&lt;=580,"Poor",K869&lt;=670,"fair",K869&lt;=740,"Good",K869&lt;=800,"Very Good",K869&gt;=800,"Excellent")</f>
        <v>Good</v>
      </c>
      <c r="M869">
        <v>0</v>
      </c>
      <c r="N869" t="str">
        <f t="shared" si="53"/>
        <v>No</v>
      </c>
      <c r="O869">
        <v>0.21</v>
      </c>
      <c r="P869" t="str" cm="1">
        <f t="array" ref="P869">_xlfn.IFS(O869&lt;=0.3,"Low Risk",O869&lt;=0.4,"medium Risk",O869&lt;=0.5,"High Risk",O869&gt;0.5,"Very High Risk")</f>
        <v>Low Risk</v>
      </c>
      <c r="Q869">
        <v>1249</v>
      </c>
      <c r="R869">
        <v>43372</v>
      </c>
      <c r="S869" t="str">
        <f t="shared" si="54"/>
        <v>Yes</v>
      </c>
      <c r="T869">
        <v>33250</v>
      </c>
      <c r="U869" t="str" cm="1">
        <f t="array" ref="U869">_xlfn.IFS(T869&lt;5000,"Small",T869&lt;20000,"Medium",T869&lt;35000,"Large",T869&gt;35000,"Very Large")</f>
        <v>Large</v>
      </c>
      <c r="V869">
        <v>60</v>
      </c>
      <c r="W869">
        <f t="shared" si="55"/>
        <v>5</v>
      </c>
      <c r="X869" t="s">
        <v>37</v>
      </c>
      <c r="Y869" t="s">
        <v>32</v>
      </c>
      <c r="Z869" t="s">
        <v>39</v>
      </c>
      <c r="AA869" t="s">
        <v>40</v>
      </c>
      <c r="AB869" t="s">
        <v>42</v>
      </c>
      <c r="AC869" t="s">
        <v>44</v>
      </c>
    </row>
    <row r="870" spans="1:29" x14ac:dyDescent="0.25">
      <c r="A870">
        <v>916</v>
      </c>
      <c r="B870">
        <v>15472</v>
      </c>
      <c r="C870">
        <v>8984</v>
      </c>
      <c r="D870">
        <f t="shared" si="52"/>
        <v>24456</v>
      </c>
      <c r="E870" t="s">
        <v>29</v>
      </c>
      <c r="F870">
        <v>48</v>
      </c>
      <c r="G870" t="str" cm="1">
        <f t="array" ref="G870">_xlfn.IFS(F870&lt;25,"18-24",F870&lt;35,"25-35",F870&lt;45,"35-44",F870&lt;55,"44-54",F870&gt;=55,"55+")</f>
        <v>44-54</v>
      </c>
      <c r="H870" t="s">
        <v>30</v>
      </c>
      <c r="I870">
        <v>2</v>
      </c>
      <c r="J870" t="str" cm="1">
        <f t="array" ref="J870">_xlfn.IFS(I870&lt;=0,"No Dependents",I870&lt;=1,"One",I870&lt;=2,"Two",I870&gt;=3,"Third")</f>
        <v>Two</v>
      </c>
      <c r="K870">
        <v>648</v>
      </c>
      <c r="L870" t="str" cm="1">
        <f t="array" ref="L870">_xlfn.IFS(K870&lt;=580,"Poor",K870&lt;=670,"fair",K870&lt;=740,"Good",K870&lt;=800,"Very Good",K870&gt;=800,"Excellent")</f>
        <v>fair</v>
      </c>
      <c r="M870">
        <v>3</v>
      </c>
      <c r="N870" t="str">
        <f t="shared" si="53"/>
        <v>Yes</v>
      </c>
      <c r="O870">
        <v>0.47</v>
      </c>
      <c r="P870" t="str" cm="1">
        <f t="array" ref="P870">_xlfn.IFS(O870&lt;=0.3,"Low Risk",O870&lt;=0.4,"medium Risk",O870&lt;=0.5,"High Risk",O870&gt;0.5,"Very High Risk")</f>
        <v>High Risk</v>
      </c>
      <c r="Q870">
        <v>17629</v>
      </c>
      <c r="R870">
        <v>44134</v>
      </c>
      <c r="S870" t="str">
        <f t="shared" si="54"/>
        <v>Yes</v>
      </c>
      <c r="T870">
        <v>2922</v>
      </c>
      <c r="U870" t="str" cm="1">
        <f t="array" ref="U870">_xlfn.IFS(T870&lt;5000,"Small",T870&lt;20000,"Medium",T870&lt;35000,"Large",T870&gt;35000,"Very Large")</f>
        <v>Small</v>
      </c>
      <c r="V870">
        <v>12</v>
      </c>
      <c r="W870">
        <f t="shared" si="55"/>
        <v>1</v>
      </c>
      <c r="X870" t="s">
        <v>31</v>
      </c>
      <c r="Y870" t="s">
        <v>32</v>
      </c>
      <c r="Z870" t="s">
        <v>39</v>
      </c>
      <c r="AA870" t="s">
        <v>40</v>
      </c>
      <c r="AB870" t="s">
        <v>48</v>
      </c>
      <c r="AC870" t="s">
        <v>36</v>
      </c>
    </row>
    <row r="871" spans="1:29" x14ac:dyDescent="0.25">
      <c r="A871">
        <v>918</v>
      </c>
      <c r="B871">
        <v>6757</v>
      </c>
      <c r="C871">
        <v>8286</v>
      </c>
      <c r="D871">
        <f t="shared" si="52"/>
        <v>15043</v>
      </c>
      <c r="E871" t="s">
        <v>29</v>
      </c>
      <c r="F871">
        <v>33</v>
      </c>
      <c r="G871" t="str" cm="1">
        <f t="array" ref="G871">_xlfn.IFS(F871&lt;25,"18-24",F871&lt;35,"25-35",F871&lt;45,"35-44",F871&lt;55,"44-54",F871&gt;=55,"55+")</f>
        <v>25-35</v>
      </c>
      <c r="H871" t="s">
        <v>30</v>
      </c>
      <c r="I871">
        <v>0</v>
      </c>
      <c r="J871" t="str" cm="1">
        <f t="array" ref="J871">_xlfn.IFS(I871&lt;=0,"No Dependents",I871&lt;=1,"One",I871&lt;=2,"Two",I871&gt;=3,"Third")</f>
        <v>No Dependents</v>
      </c>
      <c r="K871">
        <v>708</v>
      </c>
      <c r="L871" t="str" cm="1">
        <f t="array" ref="L871">_xlfn.IFS(K871&lt;=580,"Poor",K871&lt;=670,"fair",K871&lt;=740,"Good",K871&lt;=800,"Very Good",K871&gt;=800,"Excellent")</f>
        <v>Good</v>
      </c>
      <c r="M871">
        <v>3</v>
      </c>
      <c r="N871" t="str">
        <f t="shared" si="53"/>
        <v>Yes</v>
      </c>
      <c r="O871">
        <v>0.39</v>
      </c>
      <c r="P871" t="str" cm="1">
        <f t="array" ref="P871">_xlfn.IFS(O871&lt;=0.3,"Low Risk",O871&lt;=0.4,"medium Risk",O871&lt;=0.5,"High Risk",O871&gt;0.5,"Very High Risk")</f>
        <v>medium Risk</v>
      </c>
      <c r="Q871">
        <v>11102</v>
      </c>
      <c r="R871">
        <v>5622</v>
      </c>
      <c r="S871" t="str">
        <f t="shared" si="54"/>
        <v>Yes</v>
      </c>
      <c r="T871">
        <v>12991</v>
      </c>
      <c r="U871" t="str" cm="1">
        <f t="array" ref="U871">_xlfn.IFS(T871&lt;5000,"Small",T871&lt;20000,"Medium",T871&lt;35000,"Large",T871&gt;35000,"Very Large")</f>
        <v>Medium</v>
      </c>
      <c r="V871">
        <v>72</v>
      </c>
      <c r="W871">
        <f t="shared" si="55"/>
        <v>6</v>
      </c>
      <c r="X871" t="s">
        <v>47</v>
      </c>
      <c r="Y871" t="s">
        <v>45</v>
      </c>
      <c r="Z871" t="s">
        <v>39</v>
      </c>
      <c r="AA871" t="s">
        <v>34</v>
      </c>
      <c r="AB871" t="s">
        <v>35</v>
      </c>
      <c r="AC871" t="s">
        <v>44</v>
      </c>
    </row>
    <row r="872" spans="1:29" x14ac:dyDescent="0.25">
      <c r="A872">
        <v>919</v>
      </c>
      <c r="B872">
        <v>12395</v>
      </c>
      <c r="C872">
        <v>5901</v>
      </c>
      <c r="D872">
        <f t="shared" si="52"/>
        <v>18296</v>
      </c>
      <c r="E872" t="s">
        <v>46</v>
      </c>
      <c r="F872">
        <v>52</v>
      </c>
      <c r="G872" t="str" cm="1">
        <f t="array" ref="G872">_xlfn.IFS(F872&lt;25,"18-24",F872&lt;35,"25-35",F872&lt;45,"35-44",F872&lt;55,"44-54",F872&gt;=55,"55+")</f>
        <v>44-54</v>
      </c>
      <c r="H872" t="s">
        <v>41</v>
      </c>
      <c r="I872">
        <v>0</v>
      </c>
      <c r="J872" t="str" cm="1">
        <f t="array" ref="J872">_xlfn.IFS(I872&lt;=0,"No Dependents",I872&lt;=1,"One",I872&lt;=2,"Two",I872&gt;=3,"Third")</f>
        <v>No Dependents</v>
      </c>
      <c r="K872">
        <v>705</v>
      </c>
      <c r="L872" t="str" cm="1">
        <f t="array" ref="L872">_xlfn.IFS(K872&lt;=580,"Poor",K872&lt;=670,"fair",K872&lt;=740,"Good",K872&lt;=800,"Very Good",K872&gt;=800,"Excellent")</f>
        <v>Good</v>
      </c>
      <c r="M872">
        <v>2</v>
      </c>
      <c r="N872" t="str">
        <f t="shared" si="53"/>
        <v>Yes</v>
      </c>
      <c r="O872">
        <v>0.21</v>
      </c>
      <c r="P872" t="str" cm="1">
        <f t="array" ref="P872">_xlfn.IFS(O872&lt;=0.3,"Low Risk",O872&lt;=0.4,"medium Risk",O872&lt;=0.5,"High Risk",O872&gt;0.5,"Very High Risk")</f>
        <v>Low Risk</v>
      </c>
      <c r="Q872">
        <v>16226</v>
      </c>
      <c r="R872">
        <v>30540</v>
      </c>
      <c r="S872" t="str">
        <f t="shared" si="54"/>
        <v>Yes</v>
      </c>
      <c r="T872">
        <v>39869</v>
      </c>
      <c r="U872" t="str" cm="1">
        <f t="array" ref="U872">_xlfn.IFS(T872&lt;5000,"Small",T872&lt;20000,"Medium",T872&lt;35000,"Large",T872&gt;35000,"Very Large")</f>
        <v>Very Large</v>
      </c>
      <c r="V872">
        <v>48</v>
      </c>
      <c r="W872">
        <f t="shared" si="55"/>
        <v>4</v>
      </c>
      <c r="X872" t="s">
        <v>31</v>
      </c>
      <c r="Y872" t="s">
        <v>45</v>
      </c>
      <c r="Z872" t="s">
        <v>33</v>
      </c>
      <c r="AA872" t="s">
        <v>40</v>
      </c>
      <c r="AB872" t="s">
        <v>35</v>
      </c>
      <c r="AC872" t="s">
        <v>44</v>
      </c>
    </row>
    <row r="873" spans="1:29" x14ac:dyDescent="0.25">
      <c r="A873">
        <v>920</v>
      </c>
      <c r="B873">
        <v>18241</v>
      </c>
      <c r="C873">
        <v>9325</v>
      </c>
      <c r="D873">
        <f t="shared" si="52"/>
        <v>27566</v>
      </c>
      <c r="E873" t="s">
        <v>29</v>
      </c>
      <c r="F873">
        <v>56</v>
      </c>
      <c r="G873" t="str" cm="1">
        <f t="array" ref="G873">_xlfn.IFS(F873&lt;25,"18-24",F873&lt;35,"25-35",F873&lt;45,"35-44",F873&lt;55,"44-54",F873&gt;=55,"55+")</f>
        <v>55+</v>
      </c>
      <c r="H873" t="s">
        <v>30</v>
      </c>
      <c r="I873">
        <v>1</v>
      </c>
      <c r="J873" t="str" cm="1">
        <f t="array" ref="J873">_xlfn.IFS(I873&lt;=0,"No Dependents",I873&lt;=1,"One",I873&lt;=2,"Two",I873&gt;=3,"Third")</f>
        <v>One</v>
      </c>
      <c r="K873">
        <v>652</v>
      </c>
      <c r="L873" t="str" cm="1">
        <f t="array" ref="L873">_xlfn.IFS(K873&lt;=580,"Poor",K873&lt;=670,"fair",K873&lt;=740,"Good",K873&lt;=800,"Very Good",K873&gt;=800,"Excellent")</f>
        <v>fair</v>
      </c>
      <c r="M873">
        <v>4</v>
      </c>
      <c r="N873" t="str">
        <f t="shared" si="53"/>
        <v>Yes</v>
      </c>
      <c r="O873">
        <v>0.53</v>
      </c>
      <c r="P873" t="str" cm="1">
        <f t="array" ref="P873">_xlfn.IFS(O873&lt;=0.3,"Low Risk",O873&lt;=0.4,"medium Risk",O873&lt;=0.5,"High Risk",O873&gt;0.5,"Very High Risk")</f>
        <v>Very High Risk</v>
      </c>
      <c r="Q873">
        <v>10588</v>
      </c>
      <c r="R873">
        <v>49524</v>
      </c>
      <c r="S873" t="str">
        <f t="shared" si="54"/>
        <v>Yes</v>
      </c>
      <c r="T873">
        <v>23733</v>
      </c>
      <c r="U873" t="str" cm="1">
        <f t="array" ref="U873">_xlfn.IFS(T873&lt;5000,"Small",T873&lt;20000,"Medium",T873&lt;35000,"Large",T873&gt;35000,"Very Large")</f>
        <v>Large</v>
      </c>
      <c r="V873">
        <v>36</v>
      </c>
      <c r="W873">
        <f t="shared" si="55"/>
        <v>3</v>
      </c>
      <c r="X873" t="s">
        <v>37</v>
      </c>
      <c r="Y873" t="s">
        <v>32</v>
      </c>
      <c r="Z873" t="s">
        <v>39</v>
      </c>
      <c r="AA873" t="s">
        <v>40</v>
      </c>
      <c r="AB873" t="s">
        <v>51</v>
      </c>
      <c r="AC873" t="s">
        <v>36</v>
      </c>
    </row>
    <row r="874" spans="1:29" x14ac:dyDescent="0.25">
      <c r="A874">
        <v>921</v>
      </c>
      <c r="B874">
        <v>7588</v>
      </c>
      <c r="C874">
        <v>4917</v>
      </c>
      <c r="D874">
        <f t="shared" si="52"/>
        <v>12505</v>
      </c>
      <c r="E874" t="s">
        <v>29</v>
      </c>
      <c r="F874">
        <v>57</v>
      </c>
      <c r="G874" t="str" cm="1">
        <f t="array" ref="G874">_xlfn.IFS(F874&lt;25,"18-24",F874&lt;35,"25-35",F874&lt;45,"35-44",F874&lt;55,"44-54",F874&gt;=55,"55+")</f>
        <v>55+</v>
      </c>
      <c r="H874" t="s">
        <v>41</v>
      </c>
      <c r="I874">
        <v>1</v>
      </c>
      <c r="J874" t="str" cm="1">
        <f t="array" ref="J874">_xlfn.IFS(I874&lt;=0,"No Dependents",I874&lt;=1,"One",I874&lt;=2,"Two",I874&gt;=3,"Third")</f>
        <v>One</v>
      </c>
      <c r="K874">
        <v>678</v>
      </c>
      <c r="L874" t="str" cm="1">
        <f t="array" ref="L874">_xlfn.IFS(K874&lt;=580,"Poor",K874&lt;=670,"fair",K874&lt;=740,"Good",K874&lt;=800,"Very Good",K874&gt;=800,"Excellent")</f>
        <v>Good</v>
      </c>
      <c r="M874">
        <v>3</v>
      </c>
      <c r="N874" t="str">
        <f t="shared" si="53"/>
        <v>Yes</v>
      </c>
      <c r="O874">
        <v>0.56999999999999995</v>
      </c>
      <c r="P874" t="str" cm="1">
        <f t="array" ref="P874">_xlfn.IFS(O874&lt;=0.3,"Low Risk",O874&lt;=0.4,"medium Risk",O874&lt;=0.5,"High Risk",O874&gt;0.5,"Very High Risk")</f>
        <v>Very High Risk</v>
      </c>
      <c r="Q874">
        <v>0</v>
      </c>
      <c r="R874">
        <v>40551</v>
      </c>
      <c r="S874" t="str">
        <f t="shared" si="54"/>
        <v>Yes</v>
      </c>
      <c r="T874">
        <v>3473</v>
      </c>
      <c r="U874" t="str" cm="1">
        <f t="array" ref="U874">_xlfn.IFS(T874&lt;5000,"Small",T874&lt;20000,"Medium",T874&lt;35000,"Large",T874&gt;35000,"Very Large")</f>
        <v>Small</v>
      </c>
      <c r="V874">
        <v>48</v>
      </c>
      <c r="W874">
        <f t="shared" si="55"/>
        <v>4</v>
      </c>
      <c r="X874" t="s">
        <v>37</v>
      </c>
      <c r="Y874" t="s">
        <v>32</v>
      </c>
      <c r="Z874" t="s">
        <v>39</v>
      </c>
      <c r="AA874" t="s">
        <v>40</v>
      </c>
      <c r="AB874" t="s">
        <v>48</v>
      </c>
      <c r="AC874" t="s">
        <v>36</v>
      </c>
    </row>
    <row r="875" spans="1:29" x14ac:dyDescent="0.25">
      <c r="A875">
        <v>922</v>
      </c>
      <c r="B875">
        <v>19350</v>
      </c>
      <c r="C875">
        <v>8429</v>
      </c>
      <c r="D875">
        <f t="shared" si="52"/>
        <v>27779</v>
      </c>
      <c r="E875" t="s">
        <v>46</v>
      </c>
      <c r="F875">
        <v>46</v>
      </c>
      <c r="G875" t="str" cm="1">
        <f t="array" ref="G875">_xlfn.IFS(F875&lt;25,"18-24",F875&lt;35,"25-35",F875&lt;45,"35-44",F875&lt;55,"44-54",F875&gt;=55,"55+")</f>
        <v>44-54</v>
      </c>
      <c r="H875" t="s">
        <v>30</v>
      </c>
      <c r="I875">
        <v>1</v>
      </c>
      <c r="J875" t="str" cm="1">
        <f t="array" ref="J875">_xlfn.IFS(I875&lt;=0,"No Dependents",I875&lt;=1,"One",I875&lt;=2,"Two",I875&gt;=3,"Third")</f>
        <v>One</v>
      </c>
      <c r="K875">
        <v>574</v>
      </c>
      <c r="L875" t="str" cm="1">
        <f t="array" ref="L875">_xlfn.IFS(K875&lt;=580,"Poor",K875&lt;=670,"fair",K875&lt;=740,"Good",K875&lt;=800,"Very Good",K875&gt;=800,"Excellent")</f>
        <v>Poor</v>
      </c>
      <c r="M875">
        <v>2</v>
      </c>
      <c r="N875" t="str">
        <f t="shared" si="53"/>
        <v>Yes</v>
      </c>
      <c r="O875">
        <v>0.36</v>
      </c>
      <c r="P875" t="str" cm="1">
        <f t="array" ref="P875">_xlfn.IFS(O875&lt;=0.3,"Low Risk",O875&lt;=0.4,"medium Risk",O875&lt;=0.5,"High Risk",O875&gt;0.5,"Very High Risk")</f>
        <v>medium Risk</v>
      </c>
      <c r="Q875">
        <v>6976</v>
      </c>
      <c r="R875">
        <v>1949</v>
      </c>
      <c r="S875" t="str">
        <f t="shared" si="54"/>
        <v>Yes</v>
      </c>
      <c r="T875">
        <v>9108</v>
      </c>
      <c r="U875" t="str" cm="1">
        <f t="array" ref="U875">_xlfn.IFS(T875&lt;5000,"Small",T875&lt;20000,"Medium",T875&lt;35000,"Large",T875&gt;35000,"Very Large")</f>
        <v>Medium</v>
      </c>
      <c r="V875">
        <v>84</v>
      </c>
      <c r="W875">
        <f t="shared" si="55"/>
        <v>7</v>
      </c>
      <c r="X875" t="s">
        <v>37</v>
      </c>
      <c r="Y875" t="s">
        <v>45</v>
      </c>
      <c r="Z875" t="s">
        <v>39</v>
      </c>
      <c r="AA875" t="s">
        <v>40</v>
      </c>
      <c r="AB875" t="s">
        <v>35</v>
      </c>
      <c r="AC875" t="s">
        <v>36</v>
      </c>
    </row>
    <row r="876" spans="1:29" x14ac:dyDescent="0.25">
      <c r="A876">
        <v>923</v>
      </c>
      <c r="B876">
        <v>6944</v>
      </c>
      <c r="C876">
        <v>2530</v>
      </c>
      <c r="D876">
        <f t="shared" si="52"/>
        <v>9474</v>
      </c>
      <c r="E876" t="s">
        <v>49</v>
      </c>
      <c r="F876">
        <v>42</v>
      </c>
      <c r="G876" t="str" cm="1">
        <f t="array" ref="G876">_xlfn.IFS(F876&lt;25,"18-24",F876&lt;35,"25-35",F876&lt;45,"35-44",F876&lt;55,"44-54",F876&gt;=55,"55+")</f>
        <v>35-44</v>
      </c>
      <c r="H876" t="s">
        <v>41</v>
      </c>
      <c r="I876">
        <v>1</v>
      </c>
      <c r="J876" t="str" cm="1">
        <f t="array" ref="J876">_xlfn.IFS(I876&lt;=0,"No Dependents",I876&lt;=1,"One",I876&lt;=2,"Two",I876&gt;=3,"Third")</f>
        <v>One</v>
      </c>
      <c r="K876">
        <v>592</v>
      </c>
      <c r="L876" t="str" cm="1">
        <f t="array" ref="L876">_xlfn.IFS(K876&lt;=580,"Poor",K876&lt;=670,"fair",K876&lt;=740,"Good",K876&lt;=800,"Very Good",K876&gt;=800,"Excellent")</f>
        <v>fair</v>
      </c>
      <c r="M876">
        <v>3</v>
      </c>
      <c r="N876" t="str">
        <f t="shared" si="53"/>
        <v>Yes</v>
      </c>
      <c r="O876">
        <v>0.28000000000000003</v>
      </c>
      <c r="P876" t="str" cm="1">
        <f t="array" ref="P876">_xlfn.IFS(O876&lt;=0.3,"Low Risk",O876&lt;=0.4,"medium Risk",O876&lt;=0.5,"High Risk",O876&gt;0.5,"Very High Risk")</f>
        <v>Low Risk</v>
      </c>
      <c r="Q876">
        <v>4675</v>
      </c>
      <c r="R876">
        <v>49396</v>
      </c>
      <c r="S876" t="str">
        <f t="shared" si="54"/>
        <v>Yes</v>
      </c>
      <c r="T876">
        <v>29715</v>
      </c>
      <c r="U876" t="str" cm="1">
        <f t="array" ref="U876">_xlfn.IFS(T876&lt;5000,"Small",T876&lt;20000,"Medium",T876&lt;35000,"Large",T876&gt;35000,"Very Large")</f>
        <v>Large</v>
      </c>
      <c r="V876">
        <v>60</v>
      </c>
      <c r="W876">
        <f t="shared" si="55"/>
        <v>5</v>
      </c>
      <c r="X876" t="s">
        <v>42</v>
      </c>
      <c r="Y876" t="s">
        <v>32</v>
      </c>
      <c r="Z876" t="s">
        <v>33</v>
      </c>
      <c r="AA876" t="s">
        <v>40</v>
      </c>
      <c r="AB876" t="s">
        <v>42</v>
      </c>
      <c r="AC876" t="s">
        <v>36</v>
      </c>
    </row>
    <row r="877" spans="1:29" x14ac:dyDescent="0.25">
      <c r="A877">
        <v>924</v>
      </c>
      <c r="B877">
        <v>15395</v>
      </c>
      <c r="C877">
        <v>1960</v>
      </c>
      <c r="D877">
        <f t="shared" si="52"/>
        <v>17355</v>
      </c>
      <c r="E877" t="s">
        <v>49</v>
      </c>
      <c r="F877">
        <v>24</v>
      </c>
      <c r="G877" t="str" cm="1">
        <f t="array" ref="G877">_xlfn.IFS(F877&lt;25,"18-24",F877&lt;35,"25-35",F877&lt;45,"35-44",F877&lt;55,"44-54",F877&gt;=55,"55+")</f>
        <v>18-24</v>
      </c>
      <c r="H877" t="s">
        <v>41</v>
      </c>
      <c r="I877">
        <v>0</v>
      </c>
      <c r="J877" t="str" cm="1">
        <f t="array" ref="J877">_xlfn.IFS(I877&lt;=0,"No Dependents",I877&lt;=1,"One",I877&lt;=2,"Two",I877&gt;=3,"Third")</f>
        <v>No Dependents</v>
      </c>
      <c r="K877">
        <v>779</v>
      </c>
      <c r="L877" t="str" cm="1">
        <f t="array" ref="L877">_xlfn.IFS(K877&lt;=580,"Poor",K877&lt;=670,"fair",K877&lt;=740,"Good",K877&lt;=800,"Very Good",K877&gt;=800,"Excellent")</f>
        <v>Very Good</v>
      </c>
      <c r="M877">
        <v>3</v>
      </c>
      <c r="N877" t="str">
        <f t="shared" si="53"/>
        <v>Yes</v>
      </c>
      <c r="O877">
        <v>0.22</v>
      </c>
      <c r="P877" t="str" cm="1">
        <f t="array" ref="P877">_xlfn.IFS(O877&lt;=0.3,"Low Risk",O877&lt;=0.4,"medium Risk",O877&lt;=0.5,"High Risk",O877&gt;0.5,"Very High Risk")</f>
        <v>Low Risk</v>
      </c>
      <c r="Q877">
        <v>0</v>
      </c>
      <c r="R877">
        <v>42800</v>
      </c>
      <c r="S877" t="str">
        <f t="shared" si="54"/>
        <v>Yes</v>
      </c>
      <c r="T877">
        <v>33210</v>
      </c>
      <c r="U877" t="str" cm="1">
        <f t="array" ref="U877">_xlfn.IFS(T877&lt;5000,"Small",T877&lt;20000,"Medium",T877&lt;35000,"Large",T877&gt;35000,"Very Large")</f>
        <v>Large</v>
      </c>
      <c r="V877">
        <v>12</v>
      </c>
      <c r="W877">
        <f t="shared" si="55"/>
        <v>1</v>
      </c>
      <c r="X877" t="s">
        <v>47</v>
      </c>
      <c r="Y877" t="s">
        <v>45</v>
      </c>
      <c r="Z877" t="s">
        <v>39</v>
      </c>
      <c r="AA877" t="s">
        <v>34</v>
      </c>
      <c r="AB877" t="s">
        <v>35</v>
      </c>
      <c r="AC877" t="s">
        <v>44</v>
      </c>
    </row>
    <row r="878" spans="1:29" x14ac:dyDescent="0.25">
      <c r="A878">
        <v>925</v>
      </c>
      <c r="B878">
        <v>19072</v>
      </c>
      <c r="C878">
        <v>7045</v>
      </c>
      <c r="D878">
        <f t="shared" si="52"/>
        <v>26117</v>
      </c>
      <c r="E878" t="s">
        <v>46</v>
      </c>
      <c r="F878">
        <v>51</v>
      </c>
      <c r="G878" t="str" cm="1">
        <f t="array" ref="G878">_xlfn.IFS(F878&lt;25,"18-24",F878&lt;35,"25-35",F878&lt;45,"35-44",F878&lt;55,"44-54",F878&gt;=55,"55+")</f>
        <v>44-54</v>
      </c>
      <c r="H878" t="s">
        <v>30</v>
      </c>
      <c r="I878">
        <v>3</v>
      </c>
      <c r="J878" t="str" cm="1">
        <f t="array" ref="J878">_xlfn.IFS(I878&lt;=0,"No Dependents",I878&lt;=1,"One",I878&lt;=2,"Two",I878&gt;=3,"Third")</f>
        <v>Third</v>
      </c>
      <c r="K878">
        <v>633</v>
      </c>
      <c r="L878" t="str" cm="1">
        <f t="array" ref="L878">_xlfn.IFS(K878&lt;=580,"Poor",K878&lt;=670,"fair",K878&lt;=740,"Good",K878&lt;=800,"Very Good",K878&gt;=800,"Excellent")</f>
        <v>fair</v>
      </c>
      <c r="M878">
        <v>4</v>
      </c>
      <c r="N878" t="str">
        <f t="shared" si="53"/>
        <v>Yes</v>
      </c>
      <c r="O878">
        <v>0.12</v>
      </c>
      <c r="P878" t="str" cm="1">
        <f t="array" ref="P878">_xlfn.IFS(O878&lt;=0.3,"Low Risk",O878&lt;=0.4,"medium Risk",O878&lt;=0.5,"High Risk",O878&gt;0.5,"Very High Risk")</f>
        <v>Low Risk</v>
      </c>
      <c r="Q878">
        <v>7953</v>
      </c>
      <c r="R878">
        <v>31912</v>
      </c>
      <c r="S878" t="str">
        <f t="shared" si="54"/>
        <v>Yes</v>
      </c>
      <c r="T878">
        <v>38317</v>
      </c>
      <c r="U878" t="str" cm="1">
        <f t="array" ref="U878">_xlfn.IFS(T878&lt;5000,"Small",T878&lt;20000,"Medium",T878&lt;35000,"Large",T878&gt;35000,"Very Large")</f>
        <v>Very Large</v>
      </c>
      <c r="V878">
        <v>24</v>
      </c>
      <c r="W878">
        <f t="shared" si="55"/>
        <v>2</v>
      </c>
      <c r="X878" t="s">
        <v>31</v>
      </c>
      <c r="Y878" t="s">
        <v>32</v>
      </c>
      <c r="Z878" t="s">
        <v>39</v>
      </c>
      <c r="AA878" t="s">
        <v>34</v>
      </c>
      <c r="AB878" t="s">
        <v>35</v>
      </c>
      <c r="AC878" t="s">
        <v>36</v>
      </c>
    </row>
    <row r="879" spans="1:29" x14ac:dyDescent="0.25">
      <c r="A879">
        <v>926</v>
      </c>
      <c r="B879">
        <v>6243</v>
      </c>
      <c r="C879">
        <v>1048</v>
      </c>
      <c r="D879">
        <f t="shared" si="52"/>
        <v>7291</v>
      </c>
      <c r="E879" t="s">
        <v>29</v>
      </c>
      <c r="F879">
        <v>38</v>
      </c>
      <c r="G879" t="str" cm="1">
        <f t="array" ref="G879">_xlfn.IFS(F879&lt;25,"18-24",F879&lt;35,"25-35",F879&lt;45,"35-44",F879&lt;55,"44-54",F879&gt;=55,"55+")</f>
        <v>35-44</v>
      </c>
      <c r="H879" t="s">
        <v>30</v>
      </c>
      <c r="I879">
        <v>1</v>
      </c>
      <c r="J879" t="str" cm="1">
        <f t="array" ref="J879">_xlfn.IFS(I879&lt;=0,"No Dependents",I879&lt;=1,"One",I879&lt;=2,"Two",I879&gt;=3,"Third")</f>
        <v>One</v>
      </c>
      <c r="K879">
        <v>744</v>
      </c>
      <c r="L879" t="str" cm="1">
        <f t="array" ref="L879">_xlfn.IFS(K879&lt;=580,"Poor",K879&lt;=670,"fair",K879&lt;=740,"Good",K879&lt;=800,"Very Good",K879&gt;=800,"Excellent")</f>
        <v>Very Good</v>
      </c>
      <c r="M879">
        <v>2</v>
      </c>
      <c r="N879" t="str">
        <f t="shared" si="53"/>
        <v>Yes</v>
      </c>
      <c r="O879">
        <v>0.23</v>
      </c>
      <c r="P879" t="str" cm="1">
        <f t="array" ref="P879">_xlfn.IFS(O879&lt;=0.3,"Low Risk",O879&lt;=0.4,"medium Risk",O879&lt;=0.5,"High Risk",O879&gt;0.5,"Very High Risk")</f>
        <v>Low Risk</v>
      </c>
      <c r="Q879">
        <v>4377</v>
      </c>
      <c r="R879">
        <v>32161</v>
      </c>
      <c r="S879" t="str">
        <f t="shared" si="54"/>
        <v>Yes</v>
      </c>
      <c r="T879">
        <v>34362</v>
      </c>
      <c r="U879" t="str" cm="1">
        <f t="array" ref="U879">_xlfn.IFS(T879&lt;5000,"Small",T879&lt;20000,"Medium",T879&lt;35000,"Large",T879&gt;35000,"Very Large")</f>
        <v>Large</v>
      </c>
      <c r="V879">
        <v>24</v>
      </c>
      <c r="W879">
        <f t="shared" si="55"/>
        <v>2</v>
      </c>
      <c r="X879" t="s">
        <v>37</v>
      </c>
      <c r="Y879" t="s">
        <v>45</v>
      </c>
      <c r="Z879" t="s">
        <v>33</v>
      </c>
      <c r="AA879" t="s">
        <v>40</v>
      </c>
      <c r="AB879" t="s">
        <v>42</v>
      </c>
      <c r="AC879" t="s">
        <v>36</v>
      </c>
    </row>
    <row r="880" spans="1:29" x14ac:dyDescent="0.25">
      <c r="A880">
        <v>927</v>
      </c>
      <c r="B880">
        <v>11916</v>
      </c>
      <c r="C880">
        <v>5772</v>
      </c>
      <c r="D880">
        <f t="shared" si="52"/>
        <v>17688</v>
      </c>
      <c r="E880" t="s">
        <v>46</v>
      </c>
      <c r="F880">
        <v>58</v>
      </c>
      <c r="G880" t="str" cm="1">
        <f t="array" ref="G880">_xlfn.IFS(F880&lt;25,"18-24",F880&lt;35,"25-35",F880&lt;45,"35-44",F880&lt;55,"44-54",F880&gt;=55,"55+")</f>
        <v>55+</v>
      </c>
      <c r="H880" t="s">
        <v>30</v>
      </c>
      <c r="I880">
        <v>3</v>
      </c>
      <c r="J880" t="str" cm="1">
        <f t="array" ref="J880">_xlfn.IFS(I880&lt;=0,"No Dependents",I880&lt;=1,"One",I880&lt;=2,"Two",I880&gt;=3,"Third")</f>
        <v>Third</v>
      </c>
      <c r="K880">
        <v>550</v>
      </c>
      <c r="L880" t="str" cm="1">
        <f t="array" ref="L880">_xlfn.IFS(K880&lt;=580,"Poor",K880&lt;=670,"fair",K880&lt;=740,"Good",K880&lt;=800,"Very Good",K880&gt;=800,"Excellent")</f>
        <v>Poor</v>
      </c>
      <c r="M880">
        <v>0</v>
      </c>
      <c r="N880" t="str">
        <f t="shared" si="53"/>
        <v>No</v>
      </c>
      <c r="O880">
        <v>0.43</v>
      </c>
      <c r="P880" t="str" cm="1">
        <f t="array" ref="P880">_xlfn.IFS(O880&lt;=0.3,"Low Risk",O880&lt;=0.4,"medium Risk",O880&lt;=0.5,"High Risk",O880&gt;0.5,"Very High Risk")</f>
        <v>High Risk</v>
      </c>
      <c r="Q880">
        <v>10599</v>
      </c>
      <c r="R880">
        <v>44387</v>
      </c>
      <c r="S880" t="str">
        <f t="shared" si="54"/>
        <v>Yes</v>
      </c>
      <c r="T880">
        <v>5889</v>
      </c>
      <c r="U880" t="str" cm="1">
        <f t="array" ref="U880">_xlfn.IFS(T880&lt;5000,"Small",T880&lt;20000,"Medium",T880&lt;35000,"Large",T880&gt;35000,"Very Large")</f>
        <v>Medium</v>
      </c>
      <c r="V880">
        <v>48</v>
      </c>
      <c r="W880">
        <f t="shared" si="55"/>
        <v>4</v>
      </c>
      <c r="X880" t="s">
        <v>47</v>
      </c>
      <c r="Y880" t="s">
        <v>45</v>
      </c>
      <c r="Z880" t="s">
        <v>39</v>
      </c>
      <c r="AA880" t="s">
        <v>34</v>
      </c>
      <c r="AB880" t="s">
        <v>35</v>
      </c>
      <c r="AC880" t="s">
        <v>36</v>
      </c>
    </row>
    <row r="881" spans="1:29" x14ac:dyDescent="0.25">
      <c r="A881">
        <v>928</v>
      </c>
      <c r="B881">
        <v>11984</v>
      </c>
      <c r="C881">
        <v>0</v>
      </c>
      <c r="D881">
        <f t="shared" si="52"/>
        <v>11984</v>
      </c>
      <c r="E881" t="s">
        <v>29</v>
      </c>
      <c r="F881">
        <v>44</v>
      </c>
      <c r="G881" t="str" cm="1">
        <f t="array" ref="G881">_xlfn.IFS(F881&lt;25,"18-24",F881&lt;35,"25-35",F881&lt;45,"35-44",F881&lt;55,"44-54",F881&gt;=55,"55+")</f>
        <v>35-44</v>
      </c>
      <c r="H881" t="s">
        <v>30</v>
      </c>
      <c r="I881">
        <v>1</v>
      </c>
      <c r="J881" t="str" cm="1">
        <f t="array" ref="J881">_xlfn.IFS(I881&lt;=0,"No Dependents",I881&lt;=1,"One",I881&lt;=2,"Two",I881&gt;=3,"Third")</f>
        <v>One</v>
      </c>
      <c r="K881">
        <v>600</v>
      </c>
      <c r="L881" t="str" cm="1">
        <f t="array" ref="L881">_xlfn.IFS(K881&lt;=580,"Poor",K881&lt;=670,"fair",K881&lt;=740,"Good",K881&lt;=800,"Very Good",K881&gt;=800,"Excellent")</f>
        <v>fair</v>
      </c>
      <c r="M881">
        <v>1</v>
      </c>
      <c r="N881" t="str">
        <f t="shared" si="53"/>
        <v>Yes</v>
      </c>
      <c r="O881">
        <v>0.37</v>
      </c>
      <c r="P881" t="str" cm="1">
        <f t="array" ref="P881">_xlfn.IFS(O881&lt;=0.3,"Low Risk",O881&lt;=0.4,"medium Risk",O881&lt;=0.5,"High Risk",O881&gt;0.5,"Very High Risk")</f>
        <v>medium Risk</v>
      </c>
      <c r="Q881">
        <v>7058</v>
      </c>
      <c r="R881">
        <v>16508</v>
      </c>
      <c r="S881" t="str">
        <f t="shared" si="54"/>
        <v>Yes</v>
      </c>
      <c r="T881">
        <v>25021</v>
      </c>
      <c r="U881" t="str" cm="1">
        <f t="array" ref="U881">_xlfn.IFS(T881&lt;5000,"Small",T881&lt;20000,"Medium",T881&lt;35000,"Large",T881&gt;35000,"Very Large")</f>
        <v>Large</v>
      </c>
      <c r="V881">
        <v>72</v>
      </c>
      <c r="W881">
        <f t="shared" si="55"/>
        <v>6</v>
      </c>
      <c r="X881" t="s">
        <v>47</v>
      </c>
      <c r="Y881" t="s">
        <v>38</v>
      </c>
      <c r="Z881" t="s">
        <v>33</v>
      </c>
      <c r="AA881" t="s">
        <v>40</v>
      </c>
      <c r="AB881" t="s">
        <v>43</v>
      </c>
      <c r="AC881" t="s">
        <v>36</v>
      </c>
    </row>
    <row r="882" spans="1:29" x14ac:dyDescent="0.25">
      <c r="A882">
        <v>929</v>
      </c>
      <c r="B882">
        <v>0</v>
      </c>
      <c r="C882">
        <v>2964</v>
      </c>
      <c r="D882">
        <f t="shared" si="52"/>
        <v>2964</v>
      </c>
      <c r="E882" t="s">
        <v>48</v>
      </c>
      <c r="F882">
        <v>43</v>
      </c>
      <c r="G882" t="str" cm="1">
        <f t="array" ref="G882">_xlfn.IFS(F882&lt;25,"18-24",F882&lt;35,"25-35",F882&lt;45,"35-44",F882&lt;55,"44-54",F882&gt;=55,"55+")</f>
        <v>35-44</v>
      </c>
      <c r="H882" t="s">
        <v>30</v>
      </c>
      <c r="I882">
        <v>2</v>
      </c>
      <c r="J882" t="str" cm="1">
        <f t="array" ref="J882">_xlfn.IFS(I882&lt;=0,"No Dependents",I882&lt;=1,"One",I882&lt;=2,"Two",I882&gt;=3,"Third")</f>
        <v>Two</v>
      </c>
      <c r="K882">
        <v>679</v>
      </c>
      <c r="L882" t="str" cm="1">
        <f t="array" ref="L882">_xlfn.IFS(K882&lt;=580,"Poor",K882&lt;=670,"fair",K882&lt;=740,"Good",K882&lt;=800,"Very Good",K882&gt;=800,"Excellent")</f>
        <v>Good</v>
      </c>
      <c r="M882">
        <v>4</v>
      </c>
      <c r="N882" t="str">
        <f t="shared" si="53"/>
        <v>Yes</v>
      </c>
      <c r="O882">
        <v>0.56999999999999995</v>
      </c>
      <c r="P882" t="str" cm="1">
        <f t="array" ref="P882">_xlfn.IFS(O882&lt;=0.3,"Low Risk",O882&lt;=0.4,"medium Risk",O882&lt;=0.5,"High Risk",O882&gt;0.5,"Very High Risk")</f>
        <v>Very High Risk</v>
      </c>
      <c r="Q882">
        <v>17206</v>
      </c>
      <c r="R882">
        <v>45592</v>
      </c>
      <c r="S882" t="str">
        <f t="shared" si="54"/>
        <v>Yes</v>
      </c>
      <c r="T882">
        <v>9212</v>
      </c>
      <c r="U882" t="str" cm="1">
        <f t="array" ref="U882">_xlfn.IFS(T882&lt;5000,"Small",T882&lt;20000,"Medium",T882&lt;35000,"Large",T882&gt;35000,"Very Large")</f>
        <v>Medium</v>
      </c>
      <c r="V882">
        <v>72</v>
      </c>
      <c r="W882">
        <f t="shared" si="55"/>
        <v>6</v>
      </c>
      <c r="X882" t="s">
        <v>42</v>
      </c>
      <c r="Y882" t="s">
        <v>45</v>
      </c>
      <c r="Z882" t="s">
        <v>39</v>
      </c>
      <c r="AA882" t="s">
        <v>34</v>
      </c>
      <c r="AB882" t="s">
        <v>42</v>
      </c>
      <c r="AC882" t="s">
        <v>36</v>
      </c>
    </row>
    <row r="883" spans="1:29" x14ac:dyDescent="0.25">
      <c r="A883">
        <v>930</v>
      </c>
      <c r="B883">
        <v>11181</v>
      </c>
      <c r="C883">
        <v>7137</v>
      </c>
      <c r="D883">
        <f t="shared" si="52"/>
        <v>18318</v>
      </c>
      <c r="E883" t="s">
        <v>49</v>
      </c>
      <c r="F883">
        <v>42</v>
      </c>
      <c r="G883" t="str" cm="1">
        <f t="array" ref="G883">_xlfn.IFS(F883&lt;25,"18-24",F883&lt;35,"25-35",F883&lt;45,"35-44",F883&lt;55,"44-54",F883&gt;=55,"55+")</f>
        <v>35-44</v>
      </c>
      <c r="H883" t="s">
        <v>30</v>
      </c>
      <c r="I883">
        <v>1</v>
      </c>
      <c r="J883" t="str" cm="1">
        <f t="array" ref="J883">_xlfn.IFS(I883&lt;=0,"No Dependents",I883&lt;=1,"One",I883&lt;=2,"Two",I883&gt;=3,"Third")</f>
        <v>One</v>
      </c>
      <c r="K883">
        <v>759</v>
      </c>
      <c r="L883" t="str" cm="1">
        <f t="array" ref="L883">_xlfn.IFS(K883&lt;=580,"Poor",K883&lt;=670,"fair",K883&lt;=740,"Good",K883&lt;=800,"Very Good",K883&gt;=800,"Excellent")</f>
        <v>Very Good</v>
      </c>
      <c r="M883">
        <v>2</v>
      </c>
      <c r="N883" t="str">
        <f t="shared" si="53"/>
        <v>Yes</v>
      </c>
      <c r="O883">
        <v>0.3</v>
      </c>
      <c r="P883" t="str" cm="1">
        <f t="array" ref="P883">_xlfn.IFS(O883&lt;=0.3,"Low Risk",O883&lt;=0.4,"medium Risk",O883&lt;=0.5,"High Risk",O883&gt;0.5,"Very High Risk")</f>
        <v>Low Risk</v>
      </c>
      <c r="Q883">
        <v>11894</v>
      </c>
      <c r="R883">
        <v>43713</v>
      </c>
      <c r="S883" t="str">
        <f t="shared" si="54"/>
        <v>Yes</v>
      </c>
      <c r="T883">
        <v>32971</v>
      </c>
      <c r="U883" t="str" cm="1">
        <f t="array" ref="U883">_xlfn.IFS(T883&lt;5000,"Small",T883&lt;20000,"Medium",T883&lt;35000,"Large",T883&gt;35000,"Very Large")</f>
        <v>Large</v>
      </c>
      <c r="V883">
        <v>48</v>
      </c>
      <c r="W883">
        <f t="shared" si="55"/>
        <v>4</v>
      </c>
      <c r="X883" t="s">
        <v>31</v>
      </c>
      <c r="Y883" t="s">
        <v>32</v>
      </c>
      <c r="Z883" t="s">
        <v>39</v>
      </c>
      <c r="AA883" t="s">
        <v>34</v>
      </c>
      <c r="AB883" t="s">
        <v>51</v>
      </c>
      <c r="AC883" t="s">
        <v>44</v>
      </c>
    </row>
    <row r="884" spans="1:29" x14ac:dyDescent="0.25">
      <c r="A884">
        <v>931</v>
      </c>
      <c r="B884">
        <v>4482</v>
      </c>
      <c r="C884">
        <v>963</v>
      </c>
      <c r="D884">
        <f t="shared" si="52"/>
        <v>5445</v>
      </c>
      <c r="E884" t="s">
        <v>49</v>
      </c>
      <c r="F884">
        <v>22</v>
      </c>
      <c r="G884" t="str" cm="1">
        <f t="array" ref="G884">_xlfn.IFS(F884&lt;25,"18-24",F884&lt;35,"25-35",F884&lt;45,"35-44",F884&lt;55,"44-54",F884&gt;=55,"55+")</f>
        <v>18-24</v>
      </c>
      <c r="H884" t="s">
        <v>30</v>
      </c>
      <c r="I884">
        <v>1</v>
      </c>
      <c r="J884" t="str" cm="1">
        <f t="array" ref="J884">_xlfn.IFS(I884&lt;=0,"No Dependents",I884&lt;=1,"One",I884&lt;=2,"Two",I884&gt;=3,"Third")</f>
        <v>One</v>
      </c>
      <c r="K884">
        <v>675</v>
      </c>
      <c r="L884" t="str" cm="1">
        <f t="array" ref="L884">_xlfn.IFS(K884&lt;=580,"Poor",K884&lt;=670,"fair",K884&lt;=740,"Good",K884&lt;=800,"Very Good",K884&gt;=800,"Excellent")</f>
        <v>Good</v>
      </c>
      <c r="M884">
        <v>3</v>
      </c>
      <c r="N884" t="str">
        <f t="shared" si="53"/>
        <v>Yes</v>
      </c>
      <c r="O884">
        <v>0.45</v>
      </c>
      <c r="P884" t="str" cm="1">
        <f t="array" ref="P884">_xlfn.IFS(O884&lt;=0.3,"Low Risk",O884&lt;=0.4,"medium Risk",O884&lt;=0.5,"High Risk",O884&gt;0.5,"Very High Risk")</f>
        <v>High Risk</v>
      </c>
      <c r="Q884">
        <v>2939</v>
      </c>
      <c r="R884">
        <v>1919</v>
      </c>
      <c r="S884" t="str">
        <f t="shared" si="54"/>
        <v>Yes</v>
      </c>
      <c r="T884">
        <v>4201</v>
      </c>
      <c r="U884" t="str" cm="1">
        <f t="array" ref="U884">_xlfn.IFS(T884&lt;5000,"Small",T884&lt;20000,"Medium",T884&lt;35000,"Large",T884&gt;35000,"Very Large")</f>
        <v>Small</v>
      </c>
      <c r="V884">
        <v>36</v>
      </c>
      <c r="W884">
        <f t="shared" si="55"/>
        <v>3</v>
      </c>
      <c r="X884" t="s">
        <v>31</v>
      </c>
      <c r="Y884" t="s">
        <v>32</v>
      </c>
      <c r="Z884" t="s">
        <v>39</v>
      </c>
      <c r="AA884" t="s">
        <v>34</v>
      </c>
      <c r="AB884" t="s">
        <v>43</v>
      </c>
      <c r="AC884" t="s">
        <v>36</v>
      </c>
    </row>
    <row r="885" spans="1:29" x14ac:dyDescent="0.25">
      <c r="A885">
        <v>932</v>
      </c>
      <c r="B885">
        <v>2951</v>
      </c>
      <c r="C885">
        <v>536</v>
      </c>
      <c r="D885">
        <f t="shared" si="52"/>
        <v>3487</v>
      </c>
      <c r="E885" t="s">
        <v>52</v>
      </c>
      <c r="F885">
        <v>51</v>
      </c>
      <c r="G885" t="str" cm="1">
        <f t="array" ref="G885">_xlfn.IFS(F885&lt;25,"18-24",F885&lt;35,"25-35",F885&lt;45,"35-44",F885&lt;55,"44-54",F885&gt;=55,"55+")</f>
        <v>44-54</v>
      </c>
      <c r="H885" t="s">
        <v>30</v>
      </c>
      <c r="I885">
        <v>1</v>
      </c>
      <c r="J885" t="str" cm="1">
        <f t="array" ref="J885">_xlfn.IFS(I885&lt;=0,"No Dependents",I885&lt;=1,"One",I885&lt;=2,"Two",I885&gt;=3,"Third")</f>
        <v>One</v>
      </c>
      <c r="K885">
        <v>785</v>
      </c>
      <c r="L885" t="str" cm="1">
        <f t="array" ref="L885">_xlfn.IFS(K885&lt;=580,"Poor",K885&lt;=670,"fair",K885&lt;=740,"Good",K885&lt;=800,"Very Good",K885&gt;=800,"Excellent")</f>
        <v>Very Good</v>
      </c>
      <c r="M885">
        <v>2</v>
      </c>
      <c r="N885" t="str">
        <f t="shared" si="53"/>
        <v>Yes</v>
      </c>
      <c r="O885">
        <v>0.34</v>
      </c>
      <c r="P885" t="str" cm="1">
        <f t="array" ref="P885">_xlfn.IFS(O885&lt;=0.3,"Low Risk",O885&lt;=0.4,"medium Risk",O885&lt;=0.5,"High Risk",O885&gt;0.5,"Very High Risk")</f>
        <v>medium Risk</v>
      </c>
      <c r="Q885">
        <v>1031</v>
      </c>
      <c r="R885">
        <v>42595</v>
      </c>
      <c r="S885" t="str">
        <f t="shared" si="54"/>
        <v>Yes</v>
      </c>
      <c r="T885">
        <v>25346</v>
      </c>
      <c r="U885" t="str" cm="1">
        <f t="array" ref="U885">_xlfn.IFS(T885&lt;5000,"Small",T885&lt;20000,"Medium",T885&lt;35000,"Large",T885&gt;35000,"Very Large")</f>
        <v>Large</v>
      </c>
      <c r="V885">
        <v>24</v>
      </c>
      <c r="W885">
        <f t="shared" si="55"/>
        <v>2</v>
      </c>
      <c r="X885" t="s">
        <v>37</v>
      </c>
      <c r="Y885" t="s">
        <v>45</v>
      </c>
      <c r="Z885" t="s">
        <v>33</v>
      </c>
      <c r="AA885" t="s">
        <v>40</v>
      </c>
      <c r="AB885" t="s">
        <v>42</v>
      </c>
      <c r="AC885" t="s">
        <v>36</v>
      </c>
    </row>
    <row r="886" spans="1:29" x14ac:dyDescent="0.25">
      <c r="A886">
        <v>934</v>
      </c>
      <c r="B886">
        <v>4717</v>
      </c>
      <c r="C886">
        <v>7179</v>
      </c>
      <c r="D886">
        <f t="shared" si="52"/>
        <v>11896</v>
      </c>
      <c r="E886" t="s">
        <v>49</v>
      </c>
      <c r="F886">
        <v>48</v>
      </c>
      <c r="G886" t="str" cm="1">
        <f t="array" ref="G886">_xlfn.IFS(F886&lt;25,"18-24",F886&lt;35,"25-35",F886&lt;45,"35-44",F886&lt;55,"44-54",F886&gt;=55,"55+")</f>
        <v>44-54</v>
      </c>
      <c r="H886" t="s">
        <v>41</v>
      </c>
      <c r="I886">
        <v>2</v>
      </c>
      <c r="J886" t="str" cm="1">
        <f t="array" ref="J886">_xlfn.IFS(I886&lt;=0,"No Dependents",I886&lt;=1,"One",I886&lt;=2,"Two",I886&gt;=3,"Third")</f>
        <v>Two</v>
      </c>
      <c r="K886">
        <v>751</v>
      </c>
      <c r="L886" t="str" cm="1">
        <f t="array" ref="L886">_xlfn.IFS(K886&lt;=580,"Poor",K886&lt;=670,"fair",K886&lt;=740,"Good",K886&lt;=800,"Very Good",K886&gt;=800,"Excellent")</f>
        <v>Very Good</v>
      </c>
      <c r="M886">
        <v>1</v>
      </c>
      <c r="N886" t="str">
        <f t="shared" si="53"/>
        <v>Yes</v>
      </c>
      <c r="O886">
        <v>0.23</v>
      </c>
      <c r="P886" t="str" cm="1">
        <f t="array" ref="P886">_xlfn.IFS(O886&lt;=0.3,"Low Risk",O886&lt;=0.4,"medium Risk",O886&lt;=0.5,"High Risk",O886&gt;0.5,"Very High Risk")</f>
        <v>Low Risk</v>
      </c>
      <c r="Q886">
        <v>562</v>
      </c>
      <c r="R886">
        <v>0</v>
      </c>
      <c r="S886" t="str">
        <f t="shared" si="54"/>
        <v>No</v>
      </c>
      <c r="T886">
        <v>14715</v>
      </c>
      <c r="U886" t="str" cm="1">
        <f t="array" ref="U886">_xlfn.IFS(T886&lt;5000,"Small",T886&lt;20000,"Medium",T886&lt;35000,"Large",T886&gt;35000,"Very Large")</f>
        <v>Medium</v>
      </c>
      <c r="V886">
        <v>60</v>
      </c>
      <c r="W886">
        <f t="shared" si="55"/>
        <v>5</v>
      </c>
      <c r="X886" t="s">
        <v>47</v>
      </c>
      <c r="Y886" t="s">
        <v>38</v>
      </c>
      <c r="Z886" t="s">
        <v>39</v>
      </c>
      <c r="AA886" t="s">
        <v>40</v>
      </c>
      <c r="AB886" t="s">
        <v>35</v>
      </c>
      <c r="AC886" t="s">
        <v>44</v>
      </c>
    </row>
    <row r="887" spans="1:29" x14ac:dyDescent="0.25">
      <c r="A887">
        <v>935</v>
      </c>
      <c r="B887">
        <v>11692</v>
      </c>
      <c r="C887">
        <v>7967</v>
      </c>
      <c r="D887">
        <f t="shared" si="52"/>
        <v>19659</v>
      </c>
      <c r="E887" t="s">
        <v>29</v>
      </c>
      <c r="F887">
        <v>52</v>
      </c>
      <c r="G887" t="str" cm="1">
        <f t="array" ref="G887">_xlfn.IFS(F887&lt;25,"18-24",F887&lt;35,"25-35",F887&lt;45,"35-44",F887&lt;55,"44-54",F887&gt;=55,"55+")</f>
        <v>44-54</v>
      </c>
      <c r="H887" t="s">
        <v>30</v>
      </c>
      <c r="I887">
        <v>1</v>
      </c>
      <c r="J887" t="str" cm="1">
        <f t="array" ref="J887">_xlfn.IFS(I887&lt;=0,"No Dependents",I887&lt;=1,"One",I887&lt;=2,"Two",I887&gt;=3,"Third")</f>
        <v>One</v>
      </c>
      <c r="K887">
        <v>618</v>
      </c>
      <c r="L887" t="str" cm="1">
        <f t="array" ref="L887">_xlfn.IFS(K887&lt;=580,"Poor",K887&lt;=670,"fair",K887&lt;=740,"Good",K887&lt;=800,"Very Good",K887&gt;=800,"Excellent")</f>
        <v>fair</v>
      </c>
      <c r="M887">
        <v>0</v>
      </c>
      <c r="N887" t="str">
        <f t="shared" si="53"/>
        <v>No</v>
      </c>
      <c r="O887">
        <v>0.33</v>
      </c>
      <c r="P887" t="str" cm="1">
        <f t="array" ref="P887">_xlfn.IFS(O887&lt;=0.3,"Low Risk",O887&lt;=0.4,"medium Risk",O887&lt;=0.5,"High Risk",O887&gt;0.5,"Very High Risk")</f>
        <v>medium Risk</v>
      </c>
      <c r="Q887">
        <v>10730</v>
      </c>
      <c r="R887">
        <v>33298</v>
      </c>
      <c r="S887" t="str">
        <f t="shared" si="54"/>
        <v>Yes</v>
      </c>
      <c r="T887">
        <v>6681</v>
      </c>
      <c r="U887" t="str" cm="1">
        <f t="array" ref="U887">_xlfn.IFS(T887&lt;5000,"Small",T887&lt;20000,"Medium",T887&lt;35000,"Large",T887&gt;35000,"Very Large")</f>
        <v>Medium</v>
      </c>
      <c r="V887">
        <v>24</v>
      </c>
      <c r="W887">
        <f t="shared" si="55"/>
        <v>2</v>
      </c>
      <c r="X887" t="s">
        <v>31</v>
      </c>
      <c r="Y887" t="s">
        <v>45</v>
      </c>
      <c r="Z887" t="s">
        <v>39</v>
      </c>
      <c r="AA887" t="s">
        <v>40</v>
      </c>
      <c r="AB887" t="s">
        <v>42</v>
      </c>
      <c r="AC887" t="s">
        <v>36</v>
      </c>
    </row>
    <row r="888" spans="1:29" x14ac:dyDescent="0.25">
      <c r="A888">
        <v>936</v>
      </c>
      <c r="B888">
        <v>9311</v>
      </c>
      <c r="C888">
        <v>8734</v>
      </c>
      <c r="D888">
        <f t="shared" si="52"/>
        <v>18045</v>
      </c>
      <c r="E888" t="s">
        <v>48</v>
      </c>
      <c r="F888">
        <v>25</v>
      </c>
      <c r="G888" t="str" cm="1">
        <f t="array" ref="G888">_xlfn.IFS(F888&lt;25,"18-24",F888&lt;35,"25-35",F888&lt;45,"35-44",F888&lt;55,"44-54",F888&gt;=55,"55+")</f>
        <v>25-35</v>
      </c>
      <c r="H888" t="s">
        <v>30</v>
      </c>
      <c r="I888">
        <v>1</v>
      </c>
      <c r="J888" t="str" cm="1">
        <f t="array" ref="J888">_xlfn.IFS(I888&lt;=0,"No Dependents",I888&lt;=1,"One",I888&lt;=2,"Two",I888&gt;=3,"Third")</f>
        <v>One</v>
      </c>
      <c r="K888">
        <v>558</v>
      </c>
      <c r="L888" t="str" cm="1">
        <f t="array" ref="L888">_xlfn.IFS(K888&lt;=580,"Poor",K888&lt;=670,"fair",K888&lt;=740,"Good",K888&lt;=800,"Very Good",K888&gt;=800,"Excellent")</f>
        <v>Poor</v>
      </c>
      <c r="M888">
        <v>0</v>
      </c>
      <c r="N888" t="str">
        <f t="shared" si="53"/>
        <v>No</v>
      </c>
      <c r="O888">
        <v>0.34</v>
      </c>
      <c r="P888" t="str" cm="1">
        <f t="array" ref="P888">_xlfn.IFS(O888&lt;=0.3,"Low Risk",O888&lt;=0.4,"medium Risk",O888&lt;=0.5,"High Risk",O888&gt;0.5,"Very High Risk")</f>
        <v>medium Risk</v>
      </c>
      <c r="Q888">
        <v>16724</v>
      </c>
      <c r="R888">
        <v>40617</v>
      </c>
      <c r="S888" t="str">
        <f t="shared" si="54"/>
        <v>Yes</v>
      </c>
      <c r="T888">
        <v>37446</v>
      </c>
      <c r="U888" t="str" cm="1">
        <f t="array" ref="U888">_xlfn.IFS(T888&lt;5000,"Small",T888&lt;20000,"Medium",T888&lt;35000,"Large",T888&gt;35000,"Very Large")</f>
        <v>Very Large</v>
      </c>
      <c r="V888">
        <v>60</v>
      </c>
      <c r="W888">
        <f t="shared" si="55"/>
        <v>5</v>
      </c>
      <c r="X888" t="s">
        <v>31</v>
      </c>
      <c r="Y888" t="s">
        <v>45</v>
      </c>
      <c r="Z888" t="s">
        <v>39</v>
      </c>
      <c r="AA888" t="s">
        <v>40</v>
      </c>
      <c r="AB888" t="s">
        <v>35</v>
      </c>
      <c r="AC888" t="s">
        <v>36</v>
      </c>
    </row>
    <row r="889" spans="1:29" x14ac:dyDescent="0.25">
      <c r="A889">
        <v>937</v>
      </c>
      <c r="B889">
        <v>2768</v>
      </c>
      <c r="C889">
        <v>845</v>
      </c>
      <c r="D889">
        <f t="shared" si="52"/>
        <v>3613</v>
      </c>
      <c r="E889" t="s">
        <v>29</v>
      </c>
      <c r="F889">
        <v>58</v>
      </c>
      <c r="G889" t="str" cm="1">
        <f t="array" ref="G889">_xlfn.IFS(F889&lt;25,"18-24",F889&lt;35,"25-35",F889&lt;45,"35-44",F889&lt;55,"44-54",F889&gt;=55,"55+")</f>
        <v>55+</v>
      </c>
      <c r="H889" t="s">
        <v>30</v>
      </c>
      <c r="I889">
        <v>3</v>
      </c>
      <c r="J889" t="str" cm="1">
        <f t="array" ref="J889">_xlfn.IFS(I889&lt;=0,"No Dependents",I889&lt;=1,"One",I889&lt;=2,"Two",I889&gt;=3,"Third")</f>
        <v>Third</v>
      </c>
      <c r="K889">
        <v>551</v>
      </c>
      <c r="L889" t="str" cm="1">
        <f t="array" ref="L889">_xlfn.IFS(K889&lt;=580,"Poor",K889&lt;=670,"fair",K889&lt;=740,"Good",K889&lt;=800,"Very Good",K889&gt;=800,"Excellent")</f>
        <v>Poor</v>
      </c>
      <c r="M889">
        <v>1</v>
      </c>
      <c r="N889" t="str">
        <f t="shared" si="53"/>
        <v>Yes</v>
      </c>
      <c r="O889">
        <v>0.45</v>
      </c>
      <c r="P889" t="str" cm="1">
        <f t="array" ref="P889">_xlfn.IFS(O889&lt;=0.3,"Low Risk",O889&lt;=0.4,"medium Risk",O889&lt;=0.5,"High Risk",O889&gt;0.5,"Very High Risk")</f>
        <v>High Risk</v>
      </c>
      <c r="Q889">
        <v>16152</v>
      </c>
      <c r="R889">
        <v>6929</v>
      </c>
      <c r="S889" t="str">
        <f t="shared" si="54"/>
        <v>Yes</v>
      </c>
      <c r="T889">
        <v>17720</v>
      </c>
      <c r="U889" t="str" cm="1">
        <f t="array" ref="U889">_xlfn.IFS(T889&lt;5000,"Small",T889&lt;20000,"Medium",T889&lt;35000,"Large",T889&gt;35000,"Very Large")</f>
        <v>Medium</v>
      </c>
      <c r="V889">
        <v>12</v>
      </c>
      <c r="W889">
        <f t="shared" si="55"/>
        <v>1</v>
      </c>
      <c r="X889" t="s">
        <v>37</v>
      </c>
      <c r="Y889" t="s">
        <v>32</v>
      </c>
      <c r="Z889" t="s">
        <v>33</v>
      </c>
      <c r="AA889" t="s">
        <v>40</v>
      </c>
      <c r="AB889" t="s">
        <v>35</v>
      </c>
      <c r="AC889" t="s">
        <v>36</v>
      </c>
    </row>
    <row r="890" spans="1:29" x14ac:dyDescent="0.25">
      <c r="A890">
        <v>938</v>
      </c>
      <c r="B890">
        <v>7490</v>
      </c>
      <c r="C890">
        <v>5777</v>
      </c>
      <c r="D890">
        <f t="shared" si="52"/>
        <v>13267</v>
      </c>
      <c r="E890" t="s">
        <v>52</v>
      </c>
      <c r="F890">
        <v>30</v>
      </c>
      <c r="G890" t="str" cm="1">
        <f t="array" ref="G890">_xlfn.IFS(F890&lt;25,"18-24",F890&lt;35,"25-35",F890&lt;45,"35-44",F890&lt;55,"44-54",F890&gt;=55,"55+")</f>
        <v>25-35</v>
      </c>
      <c r="H890" t="s">
        <v>30</v>
      </c>
      <c r="I890">
        <v>2</v>
      </c>
      <c r="J890" t="str" cm="1">
        <f t="array" ref="J890">_xlfn.IFS(I890&lt;=0,"No Dependents",I890&lt;=1,"One",I890&lt;=2,"Two",I890&gt;=3,"Third")</f>
        <v>Two</v>
      </c>
      <c r="K890">
        <v>711</v>
      </c>
      <c r="L890" t="str" cm="1">
        <f t="array" ref="L890">_xlfn.IFS(K890&lt;=580,"Poor",K890&lt;=670,"fair",K890&lt;=740,"Good",K890&lt;=800,"Very Good",K890&gt;=800,"Excellent")</f>
        <v>Good</v>
      </c>
      <c r="M890">
        <v>4</v>
      </c>
      <c r="N890" t="str">
        <f t="shared" si="53"/>
        <v>Yes</v>
      </c>
      <c r="O890">
        <v>0.56999999999999995</v>
      </c>
      <c r="P890" t="str" cm="1">
        <f t="array" ref="P890">_xlfn.IFS(O890&lt;=0.3,"Low Risk",O890&lt;=0.4,"medium Risk",O890&lt;=0.5,"High Risk",O890&gt;0.5,"Very High Risk")</f>
        <v>Very High Risk</v>
      </c>
      <c r="Q890">
        <v>13998</v>
      </c>
      <c r="R890">
        <v>37117</v>
      </c>
      <c r="S890" t="str">
        <f t="shared" si="54"/>
        <v>Yes</v>
      </c>
      <c r="T890">
        <v>2667</v>
      </c>
      <c r="U890" t="str" cm="1">
        <f t="array" ref="U890">_xlfn.IFS(T890&lt;5000,"Small",T890&lt;20000,"Medium",T890&lt;35000,"Large",T890&gt;35000,"Very Large")</f>
        <v>Small</v>
      </c>
      <c r="V890">
        <v>36</v>
      </c>
      <c r="W890">
        <f t="shared" si="55"/>
        <v>3</v>
      </c>
      <c r="X890" t="s">
        <v>50</v>
      </c>
      <c r="Y890" t="s">
        <v>32</v>
      </c>
      <c r="Z890" t="s">
        <v>39</v>
      </c>
      <c r="AA890" t="s">
        <v>40</v>
      </c>
      <c r="AB890" t="s">
        <v>43</v>
      </c>
      <c r="AC890" t="s">
        <v>36</v>
      </c>
    </row>
    <row r="891" spans="1:29" x14ac:dyDescent="0.25">
      <c r="A891">
        <v>939</v>
      </c>
      <c r="B891">
        <v>17534</v>
      </c>
      <c r="C891">
        <v>3036</v>
      </c>
      <c r="D891">
        <f t="shared" si="52"/>
        <v>20570</v>
      </c>
      <c r="E891" t="s">
        <v>49</v>
      </c>
      <c r="F891">
        <v>44</v>
      </c>
      <c r="G891" t="str" cm="1">
        <f t="array" ref="G891">_xlfn.IFS(F891&lt;25,"18-24",F891&lt;35,"25-35",F891&lt;45,"35-44",F891&lt;55,"44-54",F891&gt;=55,"55+")</f>
        <v>35-44</v>
      </c>
      <c r="H891" t="s">
        <v>30</v>
      </c>
      <c r="I891">
        <v>1</v>
      </c>
      <c r="J891" t="str" cm="1">
        <f t="array" ref="J891">_xlfn.IFS(I891&lt;=0,"No Dependents",I891&lt;=1,"One",I891&lt;=2,"Two",I891&gt;=3,"Third")</f>
        <v>One</v>
      </c>
      <c r="K891">
        <v>737</v>
      </c>
      <c r="L891" t="str" cm="1">
        <f t="array" ref="L891">_xlfn.IFS(K891&lt;=580,"Poor",K891&lt;=670,"fair",K891&lt;=740,"Good",K891&lt;=800,"Very Good",K891&gt;=800,"Excellent")</f>
        <v>Good</v>
      </c>
      <c r="M891">
        <v>4</v>
      </c>
      <c r="N891" t="str">
        <f t="shared" si="53"/>
        <v>Yes</v>
      </c>
      <c r="O891">
        <v>0.26</v>
      </c>
      <c r="P891" t="str" cm="1">
        <f t="array" ref="P891">_xlfn.IFS(O891&lt;=0.3,"Low Risk",O891&lt;=0.4,"medium Risk",O891&lt;=0.5,"High Risk",O891&gt;0.5,"Very High Risk")</f>
        <v>Low Risk</v>
      </c>
      <c r="Q891">
        <v>18680</v>
      </c>
      <c r="R891">
        <v>0</v>
      </c>
      <c r="S891" t="str">
        <f t="shared" si="54"/>
        <v>No</v>
      </c>
      <c r="T891">
        <v>29152</v>
      </c>
      <c r="U891" t="str" cm="1">
        <f t="array" ref="U891">_xlfn.IFS(T891&lt;5000,"Small",T891&lt;20000,"Medium",T891&lt;35000,"Large",T891&gt;35000,"Very Large")</f>
        <v>Large</v>
      </c>
      <c r="V891">
        <v>48</v>
      </c>
      <c r="W891">
        <f t="shared" si="55"/>
        <v>4</v>
      </c>
      <c r="X891" t="s">
        <v>47</v>
      </c>
      <c r="Y891" t="s">
        <v>32</v>
      </c>
      <c r="Z891" t="s">
        <v>39</v>
      </c>
      <c r="AA891" t="s">
        <v>34</v>
      </c>
      <c r="AB891" t="s">
        <v>51</v>
      </c>
      <c r="AC891" t="s">
        <v>36</v>
      </c>
    </row>
    <row r="892" spans="1:29" x14ac:dyDescent="0.25">
      <c r="A892">
        <v>940</v>
      </c>
      <c r="B892">
        <v>8645</v>
      </c>
      <c r="C892">
        <v>5947</v>
      </c>
      <c r="D892">
        <f t="shared" si="52"/>
        <v>14592</v>
      </c>
      <c r="E892" t="s">
        <v>29</v>
      </c>
      <c r="F892">
        <v>55</v>
      </c>
      <c r="G892" t="str" cm="1">
        <f t="array" ref="G892">_xlfn.IFS(F892&lt;25,"18-24",F892&lt;35,"25-35",F892&lt;45,"35-44",F892&lt;55,"44-54",F892&gt;=55,"55+")</f>
        <v>55+</v>
      </c>
      <c r="H892" t="s">
        <v>30</v>
      </c>
      <c r="I892">
        <v>3</v>
      </c>
      <c r="J892" t="str" cm="1">
        <f t="array" ref="J892">_xlfn.IFS(I892&lt;=0,"No Dependents",I892&lt;=1,"One",I892&lt;=2,"Two",I892&gt;=3,"Third")</f>
        <v>Third</v>
      </c>
      <c r="K892">
        <v>779</v>
      </c>
      <c r="L892" t="str" cm="1">
        <f t="array" ref="L892">_xlfn.IFS(K892&lt;=580,"Poor",K892&lt;=670,"fair",K892&lt;=740,"Good",K892&lt;=800,"Very Good",K892&gt;=800,"Excellent")</f>
        <v>Very Good</v>
      </c>
      <c r="M892">
        <v>3</v>
      </c>
      <c r="N892" t="str">
        <f t="shared" si="53"/>
        <v>Yes</v>
      </c>
      <c r="O892">
        <v>0.12</v>
      </c>
      <c r="P892" t="str" cm="1">
        <f t="array" ref="P892">_xlfn.IFS(O892&lt;=0.3,"Low Risk",O892&lt;=0.4,"medium Risk",O892&lt;=0.5,"High Risk",O892&gt;0.5,"Very High Risk")</f>
        <v>Low Risk</v>
      </c>
      <c r="Q892">
        <v>16618</v>
      </c>
      <c r="R892">
        <v>44063</v>
      </c>
      <c r="S892" t="str">
        <f t="shared" si="54"/>
        <v>Yes</v>
      </c>
      <c r="T892">
        <v>9204</v>
      </c>
      <c r="U892" t="str" cm="1">
        <f t="array" ref="U892">_xlfn.IFS(T892&lt;5000,"Small",T892&lt;20000,"Medium",T892&lt;35000,"Large",T892&gt;35000,"Very Large")</f>
        <v>Medium</v>
      </c>
      <c r="V892">
        <v>48</v>
      </c>
      <c r="W892">
        <f t="shared" si="55"/>
        <v>4</v>
      </c>
      <c r="X892" t="s">
        <v>31</v>
      </c>
      <c r="Y892" t="s">
        <v>32</v>
      </c>
      <c r="Z892" t="s">
        <v>39</v>
      </c>
      <c r="AA892" t="s">
        <v>40</v>
      </c>
      <c r="AB892" t="s">
        <v>35</v>
      </c>
      <c r="AC892" t="s">
        <v>44</v>
      </c>
    </row>
    <row r="893" spans="1:29" x14ac:dyDescent="0.25">
      <c r="A893">
        <v>941</v>
      </c>
      <c r="B893">
        <v>7232</v>
      </c>
      <c r="C893">
        <v>2494</v>
      </c>
      <c r="D893">
        <f t="shared" si="52"/>
        <v>9726</v>
      </c>
      <c r="E893" t="s">
        <v>29</v>
      </c>
      <c r="F893">
        <v>43</v>
      </c>
      <c r="G893" t="str" cm="1">
        <f t="array" ref="G893">_xlfn.IFS(F893&lt;25,"18-24",F893&lt;35,"25-35",F893&lt;45,"35-44",F893&lt;55,"44-54",F893&gt;=55,"55+")</f>
        <v>35-44</v>
      </c>
      <c r="H893" t="s">
        <v>30</v>
      </c>
      <c r="I893">
        <v>3</v>
      </c>
      <c r="J893" t="str" cm="1">
        <f t="array" ref="J893">_xlfn.IFS(I893&lt;=0,"No Dependents",I893&lt;=1,"One",I893&lt;=2,"Two",I893&gt;=3,"Third")</f>
        <v>Third</v>
      </c>
      <c r="K893">
        <v>738</v>
      </c>
      <c r="L893" t="str" cm="1">
        <f t="array" ref="L893">_xlfn.IFS(K893&lt;=580,"Poor",K893&lt;=670,"fair",K893&lt;=740,"Good",K893&lt;=800,"Very Good",K893&gt;=800,"Excellent")</f>
        <v>Good</v>
      </c>
      <c r="M893">
        <v>0</v>
      </c>
      <c r="N893" t="str">
        <f t="shared" si="53"/>
        <v>No</v>
      </c>
      <c r="O893">
        <v>0.35</v>
      </c>
      <c r="P893" t="str" cm="1">
        <f t="array" ref="P893">_xlfn.IFS(O893&lt;=0.3,"Low Risk",O893&lt;=0.4,"medium Risk",O893&lt;=0.5,"High Risk",O893&gt;0.5,"Very High Risk")</f>
        <v>medium Risk</v>
      </c>
      <c r="Q893">
        <v>9308</v>
      </c>
      <c r="R893">
        <v>21140</v>
      </c>
      <c r="S893" t="str">
        <f t="shared" si="54"/>
        <v>Yes</v>
      </c>
      <c r="T893">
        <v>38890</v>
      </c>
      <c r="U893" t="str" cm="1">
        <f t="array" ref="U893">_xlfn.IFS(T893&lt;5000,"Small",T893&lt;20000,"Medium",T893&lt;35000,"Large",T893&gt;35000,"Very Large")</f>
        <v>Very Large</v>
      </c>
      <c r="V893">
        <v>36</v>
      </c>
      <c r="W893">
        <f t="shared" si="55"/>
        <v>3</v>
      </c>
      <c r="X893" t="s">
        <v>42</v>
      </c>
      <c r="Y893" t="s">
        <v>45</v>
      </c>
      <c r="Z893" t="s">
        <v>39</v>
      </c>
      <c r="AA893" t="s">
        <v>34</v>
      </c>
      <c r="AB893" t="s">
        <v>35</v>
      </c>
      <c r="AC893" t="s">
        <v>36</v>
      </c>
    </row>
    <row r="894" spans="1:29" x14ac:dyDescent="0.25">
      <c r="A894">
        <v>942</v>
      </c>
      <c r="B894">
        <v>13485</v>
      </c>
      <c r="C894">
        <v>2719</v>
      </c>
      <c r="D894">
        <f t="shared" si="52"/>
        <v>16204</v>
      </c>
      <c r="E894" t="s">
        <v>49</v>
      </c>
      <c r="F894">
        <v>37</v>
      </c>
      <c r="G894" t="str" cm="1">
        <f t="array" ref="G894">_xlfn.IFS(F894&lt;25,"18-24",F894&lt;35,"25-35",F894&lt;45,"35-44",F894&lt;55,"44-54",F894&gt;=55,"55+")</f>
        <v>35-44</v>
      </c>
      <c r="H894" t="s">
        <v>41</v>
      </c>
      <c r="I894">
        <v>0</v>
      </c>
      <c r="J894" t="str" cm="1">
        <f t="array" ref="J894">_xlfn.IFS(I894&lt;=0,"No Dependents",I894&lt;=1,"One",I894&lt;=2,"Two",I894&gt;=3,"Third")</f>
        <v>No Dependents</v>
      </c>
      <c r="K894">
        <v>708</v>
      </c>
      <c r="L894" t="str" cm="1">
        <f t="array" ref="L894">_xlfn.IFS(K894&lt;=580,"Poor",K894&lt;=670,"fair",K894&lt;=740,"Good",K894&lt;=800,"Very Good",K894&gt;=800,"Excellent")</f>
        <v>Good</v>
      </c>
      <c r="M894">
        <v>3</v>
      </c>
      <c r="N894" t="str">
        <f t="shared" si="53"/>
        <v>Yes</v>
      </c>
      <c r="O894">
        <v>0.37</v>
      </c>
      <c r="P894" t="str" cm="1">
        <f t="array" ref="P894">_xlfn.IFS(O894&lt;=0.3,"Low Risk",O894&lt;=0.4,"medium Risk",O894&lt;=0.5,"High Risk",O894&gt;0.5,"Very High Risk")</f>
        <v>medium Risk</v>
      </c>
      <c r="Q894">
        <v>9609</v>
      </c>
      <c r="R894">
        <v>18185</v>
      </c>
      <c r="S894" t="str">
        <f t="shared" si="54"/>
        <v>Yes</v>
      </c>
      <c r="T894">
        <v>25537</v>
      </c>
      <c r="U894" t="str" cm="1">
        <f t="array" ref="U894">_xlfn.IFS(T894&lt;5000,"Small",T894&lt;20000,"Medium",T894&lt;35000,"Large",T894&gt;35000,"Very Large")</f>
        <v>Large</v>
      </c>
      <c r="V894">
        <v>48</v>
      </c>
      <c r="W894">
        <f t="shared" si="55"/>
        <v>4</v>
      </c>
      <c r="X894" t="s">
        <v>42</v>
      </c>
      <c r="Y894" t="s">
        <v>32</v>
      </c>
      <c r="Z894" t="s">
        <v>39</v>
      </c>
      <c r="AA894" t="s">
        <v>40</v>
      </c>
      <c r="AB894" t="s">
        <v>35</v>
      </c>
      <c r="AC894" t="s">
        <v>44</v>
      </c>
    </row>
    <row r="895" spans="1:29" x14ac:dyDescent="0.25">
      <c r="A895">
        <v>943</v>
      </c>
      <c r="B895">
        <v>7797</v>
      </c>
      <c r="C895">
        <v>1884</v>
      </c>
      <c r="D895">
        <f t="shared" si="52"/>
        <v>9681</v>
      </c>
      <c r="E895" t="s">
        <v>29</v>
      </c>
      <c r="F895">
        <v>21</v>
      </c>
      <c r="G895" t="str" cm="1">
        <f t="array" ref="G895">_xlfn.IFS(F895&lt;25,"18-24",F895&lt;35,"25-35",F895&lt;45,"35-44",F895&lt;55,"44-54",F895&gt;=55,"55+")</f>
        <v>18-24</v>
      </c>
      <c r="H895" t="s">
        <v>30</v>
      </c>
      <c r="I895">
        <v>3</v>
      </c>
      <c r="J895" t="str" cm="1">
        <f t="array" ref="J895">_xlfn.IFS(I895&lt;=0,"No Dependents",I895&lt;=1,"One",I895&lt;=2,"Two",I895&gt;=3,"Third")</f>
        <v>Third</v>
      </c>
      <c r="K895">
        <v>559</v>
      </c>
      <c r="L895" t="str" cm="1">
        <f t="array" ref="L895">_xlfn.IFS(K895&lt;=580,"Poor",K895&lt;=670,"fair",K895&lt;=740,"Good",K895&lt;=800,"Very Good",K895&gt;=800,"Excellent")</f>
        <v>Poor</v>
      </c>
      <c r="M895">
        <v>0</v>
      </c>
      <c r="N895" t="str">
        <f t="shared" si="53"/>
        <v>No</v>
      </c>
      <c r="O895">
        <v>0.18</v>
      </c>
      <c r="P895" t="str" cm="1">
        <f t="array" ref="P895">_xlfn.IFS(O895&lt;=0.3,"Low Risk",O895&lt;=0.4,"medium Risk",O895&lt;=0.5,"High Risk",O895&gt;0.5,"Very High Risk")</f>
        <v>Low Risk</v>
      </c>
      <c r="Q895">
        <v>17675</v>
      </c>
      <c r="R895">
        <v>37924</v>
      </c>
      <c r="S895" t="str">
        <f t="shared" si="54"/>
        <v>Yes</v>
      </c>
      <c r="T895">
        <v>0</v>
      </c>
      <c r="U895" t="str" cm="1">
        <f t="array" ref="U895">_xlfn.IFS(T895&lt;5000,"Small",T895&lt;20000,"Medium",T895&lt;35000,"Large",T895&gt;35000,"Very Large")</f>
        <v>Small</v>
      </c>
      <c r="V895">
        <v>12</v>
      </c>
      <c r="W895">
        <f t="shared" si="55"/>
        <v>1</v>
      </c>
      <c r="X895" t="s">
        <v>50</v>
      </c>
      <c r="Y895" t="s">
        <v>32</v>
      </c>
      <c r="Z895" t="s">
        <v>39</v>
      </c>
      <c r="AA895" t="s">
        <v>34</v>
      </c>
      <c r="AB895" t="s">
        <v>35</v>
      </c>
      <c r="AC895" t="s">
        <v>36</v>
      </c>
    </row>
    <row r="896" spans="1:29" x14ac:dyDescent="0.25">
      <c r="A896">
        <v>944</v>
      </c>
      <c r="B896">
        <v>14342</v>
      </c>
      <c r="C896">
        <v>4349</v>
      </c>
      <c r="D896">
        <f t="shared" si="52"/>
        <v>18691</v>
      </c>
      <c r="E896" t="s">
        <v>29</v>
      </c>
      <c r="F896">
        <v>51</v>
      </c>
      <c r="G896" t="str" cm="1">
        <f t="array" ref="G896">_xlfn.IFS(F896&lt;25,"18-24",F896&lt;35,"25-35",F896&lt;45,"35-44",F896&lt;55,"44-54",F896&gt;=55,"55+")</f>
        <v>44-54</v>
      </c>
      <c r="H896" t="s">
        <v>41</v>
      </c>
      <c r="I896">
        <v>1</v>
      </c>
      <c r="J896" t="str" cm="1">
        <f t="array" ref="J896">_xlfn.IFS(I896&lt;=0,"No Dependents",I896&lt;=1,"One",I896&lt;=2,"Two",I896&gt;=3,"Third")</f>
        <v>One</v>
      </c>
      <c r="K896">
        <v>663</v>
      </c>
      <c r="L896" t="str" cm="1">
        <f t="array" ref="L896">_xlfn.IFS(K896&lt;=580,"Poor",K896&lt;=670,"fair",K896&lt;=740,"Good",K896&lt;=800,"Very Good",K896&gt;=800,"Excellent")</f>
        <v>fair</v>
      </c>
      <c r="M896">
        <v>1</v>
      </c>
      <c r="N896" t="str">
        <f t="shared" si="53"/>
        <v>Yes</v>
      </c>
      <c r="O896">
        <v>0.48</v>
      </c>
      <c r="P896" t="str" cm="1">
        <f t="array" ref="P896">_xlfn.IFS(O896&lt;=0.3,"Low Risk",O896&lt;=0.4,"medium Risk",O896&lt;=0.5,"High Risk",O896&gt;0.5,"Very High Risk")</f>
        <v>High Risk</v>
      </c>
      <c r="Q896">
        <v>8720</v>
      </c>
      <c r="R896">
        <v>24240</v>
      </c>
      <c r="S896" t="str">
        <f t="shared" si="54"/>
        <v>Yes</v>
      </c>
      <c r="T896">
        <v>34741</v>
      </c>
      <c r="U896" t="str" cm="1">
        <f t="array" ref="U896">_xlfn.IFS(T896&lt;5000,"Small",T896&lt;20000,"Medium",T896&lt;35000,"Large",T896&gt;35000,"Very Large")</f>
        <v>Large</v>
      </c>
      <c r="V896">
        <v>24</v>
      </c>
      <c r="W896">
        <f t="shared" si="55"/>
        <v>2</v>
      </c>
      <c r="X896" t="s">
        <v>37</v>
      </c>
      <c r="Y896" t="s">
        <v>32</v>
      </c>
      <c r="Z896" t="s">
        <v>33</v>
      </c>
      <c r="AA896" t="s">
        <v>40</v>
      </c>
      <c r="AB896" t="s">
        <v>43</v>
      </c>
      <c r="AC896" t="s">
        <v>36</v>
      </c>
    </row>
    <row r="897" spans="1:29" x14ac:dyDescent="0.25">
      <c r="A897">
        <v>945</v>
      </c>
      <c r="B897">
        <v>10038</v>
      </c>
      <c r="C897">
        <v>5179</v>
      </c>
      <c r="D897">
        <f t="shared" si="52"/>
        <v>15217</v>
      </c>
      <c r="E897" t="s">
        <v>29</v>
      </c>
      <c r="F897">
        <v>51</v>
      </c>
      <c r="G897" t="str" cm="1">
        <f t="array" ref="G897">_xlfn.IFS(F897&lt;25,"18-24",F897&lt;35,"25-35",F897&lt;45,"35-44",F897&lt;55,"44-54",F897&gt;=55,"55+")</f>
        <v>44-54</v>
      </c>
      <c r="H897" t="s">
        <v>41</v>
      </c>
      <c r="I897">
        <v>0</v>
      </c>
      <c r="J897" t="str" cm="1">
        <f t="array" ref="J897">_xlfn.IFS(I897&lt;=0,"No Dependents",I897&lt;=1,"One",I897&lt;=2,"Two",I897&gt;=3,"Third")</f>
        <v>No Dependents</v>
      </c>
      <c r="K897">
        <v>625</v>
      </c>
      <c r="L897" t="str" cm="1">
        <f t="array" ref="L897">_xlfn.IFS(K897&lt;=580,"Poor",K897&lt;=670,"fair",K897&lt;=740,"Good",K897&lt;=800,"Very Good",K897&gt;=800,"Excellent")</f>
        <v>fair</v>
      </c>
      <c r="M897">
        <v>4</v>
      </c>
      <c r="N897" t="str">
        <f t="shared" si="53"/>
        <v>Yes</v>
      </c>
      <c r="O897">
        <v>0.59</v>
      </c>
      <c r="P897" t="str" cm="1">
        <f t="array" ref="P897">_xlfn.IFS(O897&lt;=0.3,"Low Risk",O897&lt;=0.4,"medium Risk",O897&lt;=0.5,"High Risk",O897&gt;0.5,"Very High Risk")</f>
        <v>Very High Risk</v>
      </c>
      <c r="Q897">
        <v>10172</v>
      </c>
      <c r="R897">
        <v>21845</v>
      </c>
      <c r="S897" t="str">
        <f t="shared" si="54"/>
        <v>Yes</v>
      </c>
      <c r="T897">
        <v>21654</v>
      </c>
      <c r="U897" t="str" cm="1">
        <f t="array" ref="U897">_xlfn.IFS(T897&lt;5000,"Small",T897&lt;20000,"Medium",T897&lt;35000,"Large",T897&gt;35000,"Very Large")</f>
        <v>Large</v>
      </c>
      <c r="V897">
        <v>60</v>
      </c>
      <c r="W897">
        <f t="shared" si="55"/>
        <v>5</v>
      </c>
      <c r="X897" t="s">
        <v>37</v>
      </c>
      <c r="Y897" t="s">
        <v>32</v>
      </c>
      <c r="Z897" t="s">
        <v>33</v>
      </c>
      <c r="AA897" t="s">
        <v>40</v>
      </c>
      <c r="AB897" t="s">
        <v>35</v>
      </c>
      <c r="AC897" t="s">
        <v>36</v>
      </c>
    </row>
    <row r="898" spans="1:29" x14ac:dyDescent="0.25">
      <c r="A898">
        <v>946</v>
      </c>
      <c r="B898">
        <v>18002</v>
      </c>
      <c r="C898">
        <v>6610</v>
      </c>
      <c r="D898">
        <f t="shared" si="52"/>
        <v>24612</v>
      </c>
      <c r="E898" t="s">
        <v>29</v>
      </c>
      <c r="F898">
        <v>54</v>
      </c>
      <c r="G898" t="str" cm="1">
        <f t="array" ref="G898">_xlfn.IFS(F898&lt;25,"18-24",F898&lt;35,"25-35",F898&lt;45,"35-44",F898&lt;55,"44-54",F898&gt;=55,"55+")</f>
        <v>44-54</v>
      </c>
      <c r="H898" t="s">
        <v>41</v>
      </c>
      <c r="I898">
        <v>0</v>
      </c>
      <c r="J898" t="str" cm="1">
        <f t="array" ref="J898">_xlfn.IFS(I898&lt;=0,"No Dependents",I898&lt;=1,"One",I898&lt;=2,"Two",I898&gt;=3,"Third")</f>
        <v>No Dependents</v>
      </c>
      <c r="K898">
        <v>713</v>
      </c>
      <c r="L898" t="str" cm="1">
        <f t="array" ref="L898">_xlfn.IFS(K898&lt;=580,"Poor",K898&lt;=670,"fair",K898&lt;=740,"Good",K898&lt;=800,"Very Good",K898&gt;=800,"Excellent")</f>
        <v>Good</v>
      </c>
      <c r="M898">
        <v>4</v>
      </c>
      <c r="N898" t="str">
        <f t="shared" si="53"/>
        <v>Yes</v>
      </c>
      <c r="O898">
        <v>0.56999999999999995</v>
      </c>
      <c r="P898" t="str" cm="1">
        <f t="array" ref="P898">_xlfn.IFS(O898&lt;=0.3,"Low Risk",O898&lt;=0.4,"medium Risk",O898&lt;=0.5,"High Risk",O898&gt;0.5,"Very High Risk")</f>
        <v>Very High Risk</v>
      </c>
      <c r="Q898">
        <v>14457</v>
      </c>
      <c r="R898">
        <v>9228</v>
      </c>
      <c r="S898" t="str">
        <f t="shared" si="54"/>
        <v>Yes</v>
      </c>
      <c r="T898">
        <v>2408</v>
      </c>
      <c r="U898" t="str" cm="1">
        <f t="array" ref="U898">_xlfn.IFS(T898&lt;5000,"Small",T898&lt;20000,"Medium",T898&lt;35000,"Large",T898&gt;35000,"Very Large")</f>
        <v>Small</v>
      </c>
      <c r="V898">
        <v>12</v>
      </c>
      <c r="W898">
        <f t="shared" si="55"/>
        <v>1</v>
      </c>
      <c r="X898" t="s">
        <v>42</v>
      </c>
      <c r="Y898" t="s">
        <v>32</v>
      </c>
      <c r="Z898" t="s">
        <v>39</v>
      </c>
      <c r="AA898" t="s">
        <v>34</v>
      </c>
      <c r="AB898" t="s">
        <v>51</v>
      </c>
      <c r="AC898" t="s">
        <v>36</v>
      </c>
    </row>
    <row r="899" spans="1:29" x14ac:dyDescent="0.25">
      <c r="A899">
        <v>947</v>
      </c>
      <c r="B899">
        <v>15087</v>
      </c>
      <c r="C899">
        <v>6430</v>
      </c>
      <c r="D899">
        <f t="shared" ref="D899:D951" si="56">B899+C899</f>
        <v>21517</v>
      </c>
      <c r="E899" t="s">
        <v>49</v>
      </c>
      <c r="F899">
        <v>29</v>
      </c>
      <c r="G899" t="str" cm="1">
        <f t="array" ref="G899">_xlfn.IFS(F899&lt;25,"18-24",F899&lt;35,"25-35",F899&lt;45,"35-44",F899&lt;55,"44-54",F899&gt;=55,"55+")</f>
        <v>25-35</v>
      </c>
      <c r="H899" t="s">
        <v>41</v>
      </c>
      <c r="I899">
        <v>1</v>
      </c>
      <c r="J899" t="str" cm="1">
        <f t="array" ref="J899">_xlfn.IFS(I899&lt;=0,"No Dependents",I899&lt;=1,"One",I899&lt;=2,"Two",I899&gt;=3,"Third")</f>
        <v>One</v>
      </c>
      <c r="K899">
        <v>795</v>
      </c>
      <c r="L899" t="str" cm="1">
        <f t="array" ref="L899">_xlfn.IFS(K899&lt;=580,"Poor",K899&lt;=670,"fair",K899&lt;=740,"Good",K899&lt;=800,"Very Good",K899&gt;=800,"Excellent")</f>
        <v>Very Good</v>
      </c>
      <c r="M899">
        <v>1</v>
      </c>
      <c r="N899" t="str">
        <f t="shared" ref="N899:N951" si="57">IF(M899&gt;0,"Yes","No")</f>
        <v>Yes</v>
      </c>
      <c r="O899">
        <v>0.2</v>
      </c>
      <c r="P899" t="str" cm="1">
        <f t="array" ref="P899">_xlfn.IFS(O899&lt;=0.3,"Low Risk",O899&lt;=0.4,"medium Risk",O899&lt;=0.5,"High Risk",O899&gt;0.5,"Very High Risk")</f>
        <v>Low Risk</v>
      </c>
      <c r="Q899">
        <v>2939</v>
      </c>
      <c r="R899">
        <v>21686</v>
      </c>
      <c r="S899" t="str">
        <f t="shared" ref="S899:S951" si="58">IF(R899&gt;100,"Yes","No")</f>
        <v>Yes</v>
      </c>
      <c r="T899">
        <v>19672</v>
      </c>
      <c r="U899" t="str" cm="1">
        <f t="array" ref="U899">_xlfn.IFS(T899&lt;5000,"Small",T899&lt;20000,"Medium",T899&lt;35000,"Large",T899&gt;35000,"Very Large")</f>
        <v>Medium</v>
      </c>
      <c r="V899">
        <v>72</v>
      </c>
      <c r="W899">
        <f t="shared" ref="W899:W951" si="59">V899/12</f>
        <v>6</v>
      </c>
      <c r="X899" t="s">
        <v>42</v>
      </c>
      <c r="Y899" t="s">
        <v>45</v>
      </c>
      <c r="Z899" t="s">
        <v>33</v>
      </c>
      <c r="AA899" t="s">
        <v>40</v>
      </c>
      <c r="AB899" t="s">
        <v>51</v>
      </c>
      <c r="AC899" t="s">
        <v>44</v>
      </c>
    </row>
    <row r="900" spans="1:29" x14ac:dyDescent="0.25">
      <c r="A900">
        <v>948</v>
      </c>
      <c r="B900">
        <v>6873</v>
      </c>
      <c r="C900">
        <v>7154</v>
      </c>
      <c r="D900">
        <f t="shared" si="56"/>
        <v>14027</v>
      </c>
      <c r="E900" t="s">
        <v>46</v>
      </c>
      <c r="F900">
        <v>42</v>
      </c>
      <c r="G900" t="str" cm="1">
        <f t="array" ref="G900">_xlfn.IFS(F900&lt;25,"18-24",F900&lt;35,"25-35",F900&lt;45,"35-44",F900&lt;55,"44-54",F900&gt;=55,"55+")</f>
        <v>35-44</v>
      </c>
      <c r="H900" t="s">
        <v>30</v>
      </c>
      <c r="I900">
        <v>2</v>
      </c>
      <c r="J900" t="str" cm="1">
        <f t="array" ref="J900">_xlfn.IFS(I900&lt;=0,"No Dependents",I900&lt;=1,"One",I900&lt;=2,"Two",I900&gt;=3,"Third")</f>
        <v>Two</v>
      </c>
      <c r="K900">
        <v>634</v>
      </c>
      <c r="L900" t="str" cm="1">
        <f t="array" ref="L900">_xlfn.IFS(K900&lt;=580,"Poor",K900&lt;=670,"fair",K900&lt;=740,"Good",K900&lt;=800,"Very Good",K900&gt;=800,"Excellent")</f>
        <v>fair</v>
      </c>
      <c r="M900">
        <v>3</v>
      </c>
      <c r="N900" t="str">
        <f t="shared" si="57"/>
        <v>Yes</v>
      </c>
      <c r="O900">
        <v>0.54</v>
      </c>
      <c r="P900" t="str" cm="1">
        <f t="array" ref="P900">_xlfn.IFS(O900&lt;=0.3,"Low Risk",O900&lt;=0.4,"medium Risk",O900&lt;=0.5,"High Risk",O900&gt;0.5,"Very High Risk")</f>
        <v>Very High Risk</v>
      </c>
      <c r="Q900">
        <v>14345</v>
      </c>
      <c r="R900">
        <v>11920</v>
      </c>
      <c r="S900" t="str">
        <f t="shared" si="58"/>
        <v>Yes</v>
      </c>
      <c r="T900">
        <v>2218</v>
      </c>
      <c r="U900" t="str" cm="1">
        <f t="array" ref="U900">_xlfn.IFS(T900&lt;5000,"Small",T900&lt;20000,"Medium",T900&lt;35000,"Large",T900&gt;35000,"Very Large")</f>
        <v>Small</v>
      </c>
      <c r="V900">
        <v>48</v>
      </c>
      <c r="W900">
        <f t="shared" si="59"/>
        <v>4</v>
      </c>
      <c r="X900" t="s">
        <v>37</v>
      </c>
      <c r="Y900" t="s">
        <v>32</v>
      </c>
      <c r="Z900" t="s">
        <v>39</v>
      </c>
      <c r="AA900" t="s">
        <v>40</v>
      </c>
      <c r="AB900" t="s">
        <v>42</v>
      </c>
      <c r="AC900" t="s">
        <v>36</v>
      </c>
    </row>
    <row r="901" spans="1:29" x14ac:dyDescent="0.25">
      <c r="A901">
        <v>949</v>
      </c>
      <c r="B901">
        <v>3481</v>
      </c>
      <c r="C901">
        <v>6488</v>
      </c>
      <c r="D901">
        <f t="shared" si="56"/>
        <v>9969</v>
      </c>
      <c r="E901" t="s">
        <v>29</v>
      </c>
      <c r="F901">
        <v>33</v>
      </c>
      <c r="G901" t="str" cm="1">
        <f t="array" ref="G901">_xlfn.IFS(F901&lt;25,"18-24",F901&lt;35,"25-35",F901&lt;45,"35-44",F901&lt;55,"44-54",F901&gt;=55,"55+")</f>
        <v>25-35</v>
      </c>
      <c r="H901" t="s">
        <v>30</v>
      </c>
      <c r="I901">
        <v>3</v>
      </c>
      <c r="J901" t="str" cm="1">
        <f t="array" ref="J901">_xlfn.IFS(I901&lt;=0,"No Dependents",I901&lt;=1,"One",I901&lt;=2,"Two",I901&gt;=3,"Third")</f>
        <v>Third</v>
      </c>
      <c r="K901">
        <v>598</v>
      </c>
      <c r="L901" t="str" cm="1">
        <f t="array" ref="L901">_xlfn.IFS(K901&lt;=580,"Poor",K901&lt;=670,"fair",K901&lt;=740,"Good",K901&lt;=800,"Very Good",K901&gt;=800,"Excellent")</f>
        <v>fair</v>
      </c>
      <c r="M901">
        <v>3</v>
      </c>
      <c r="N901" t="str">
        <f t="shared" si="57"/>
        <v>Yes</v>
      </c>
      <c r="O901">
        <v>0.45</v>
      </c>
      <c r="P901" t="str" cm="1">
        <f t="array" ref="P901">_xlfn.IFS(O901&lt;=0.3,"Low Risk",O901&lt;=0.4,"medium Risk",O901&lt;=0.5,"High Risk",O901&gt;0.5,"Very High Risk")</f>
        <v>High Risk</v>
      </c>
      <c r="Q901">
        <v>16158</v>
      </c>
      <c r="R901">
        <v>7432</v>
      </c>
      <c r="S901" t="str">
        <f t="shared" si="58"/>
        <v>Yes</v>
      </c>
      <c r="T901">
        <v>37145</v>
      </c>
      <c r="U901" t="str" cm="1">
        <f t="array" ref="U901">_xlfn.IFS(T901&lt;5000,"Small",T901&lt;20000,"Medium",T901&lt;35000,"Large",T901&gt;35000,"Very Large")</f>
        <v>Very Large</v>
      </c>
      <c r="V901">
        <v>24</v>
      </c>
      <c r="W901">
        <f t="shared" si="59"/>
        <v>2</v>
      </c>
      <c r="X901" t="s">
        <v>42</v>
      </c>
      <c r="Y901" t="s">
        <v>32</v>
      </c>
      <c r="Z901" t="s">
        <v>39</v>
      </c>
      <c r="AA901" t="s">
        <v>40</v>
      </c>
      <c r="AB901" t="s">
        <v>43</v>
      </c>
      <c r="AC901" t="s">
        <v>36</v>
      </c>
    </row>
    <row r="902" spans="1:29" x14ac:dyDescent="0.25">
      <c r="A902">
        <v>950</v>
      </c>
      <c r="B902">
        <v>0</v>
      </c>
      <c r="C902">
        <v>4737</v>
      </c>
      <c r="D902">
        <f t="shared" si="56"/>
        <v>4737</v>
      </c>
      <c r="E902" t="s">
        <v>29</v>
      </c>
      <c r="F902">
        <v>45</v>
      </c>
      <c r="G902" t="str" cm="1">
        <f t="array" ref="G902">_xlfn.IFS(F902&lt;25,"18-24",F902&lt;35,"25-35",F902&lt;45,"35-44",F902&lt;55,"44-54",F902&gt;=55,"55+")</f>
        <v>44-54</v>
      </c>
      <c r="H902" t="s">
        <v>41</v>
      </c>
      <c r="I902">
        <v>0</v>
      </c>
      <c r="J902" t="str" cm="1">
        <f t="array" ref="J902">_xlfn.IFS(I902&lt;=0,"No Dependents",I902&lt;=1,"One",I902&lt;=2,"Two",I902&gt;=3,"Third")</f>
        <v>No Dependents</v>
      </c>
      <c r="K902">
        <v>788</v>
      </c>
      <c r="L902" t="str" cm="1">
        <f t="array" ref="L902">_xlfn.IFS(K902&lt;=580,"Poor",K902&lt;=670,"fair",K902&lt;=740,"Good",K902&lt;=800,"Very Good",K902&gt;=800,"Excellent")</f>
        <v>Very Good</v>
      </c>
      <c r="M902">
        <v>2</v>
      </c>
      <c r="N902" t="str">
        <f t="shared" si="57"/>
        <v>Yes</v>
      </c>
      <c r="O902">
        <v>0.33</v>
      </c>
      <c r="P902" t="str" cm="1">
        <f t="array" ref="P902">_xlfn.IFS(O902&lt;=0.3,"Low Risk",O902&lt;=0.4,"medium Risk",O902&lt;=0.5,"High Risk",O902&gt;0.5,"Very High Risk")</f>
        <v>medium Risk</v>
      </c>
      <c r="Q902">
        <v>5435</v>
      </c>
      <c r="R902">
        <v>44971</v>
      </c>
      <c r="S902" t="str">
        <f t="shared" si="58"/>
        <v>Yes</v>
      </c>
      <c r="T902">
        <v>0</v>
      </c>
      <c r="U902" t="str" cm="1">
        <f t="array" ref="U902">_xlfn.IFS(T902&lt;5000,"Small",T902&lt;20000,"Medium",T902&lt;35000,"Large",T902&gt;35000,"Very Large")</f>
        <v>Small</v>
      </c>
      <c r="V902">
        <v>24</v>
      </c>
      <c r="W902">
        <f t="shared" si="59"/>
        <v>2</v>
      </c>
      <c r="X902" t="s">
        <v>50</v>
      </c>
      <c r="Y902" t="s">
        <v>45</v>
      </c>
      <c r="Z902" t="s">
        <v>39</v>
      </c>
      <c r="AA902" t="s">
        <v>40</v>
      </c>
      <c r="AB902" t="s">
        <v>35</v>
      </c>
      <c r="AC902" t="s">
        <v>44</v>
      </c>
    </row>
    <row r="903" spans="1:29" x14ac:dyDescent="0.25">
      <c r="A903">
        <v>951</v>
      </c>
      <c r="B903">
        <v>16422</v>
      </c>
      <c r="C903">
        <v>6525</v>
      </c>
      <c r="D903">
        <f t="shared" si="56"/>
        <v>22947</v>
      </c>
      <c r="E903" t="s">
        <v>29</v>
      </c>
      <c r="F903">
        <v>38</v>
      </c>
      <c r="G903" t="str" cm="1">
        <f t="array" ref="G903">_xlfn.IFS(F903&lt;25,"18-24",F903&lt;35,"25-35",F903&lt;45,"35-44",F903&lt;55,"44-54",F903&gt;=55,"55+")</f>
        <v>35-44</v>
      </c>
      <c r="H903" t="s">
        <v>30</v>
      </c>
      <c r="I903">
        <v>2</v>
      </c>
      <c r="J903" t="str" cm="1">
        <f t="array" ref="J903">_xlfn.IFS(I903&lt;=0,"No Dependents",I903&lt;=1,"One",I903&lt;=2,"Two",I903&gt;=3,"Third")</f>
        <v>Two</v>
      </c>
      <c r="K903">
        <v>619</v>
      </c>
      <c r="L903" t="str" cm="1">
        <f t="array" ref="L903">_xlfn.IFS(K903&lt;=580,"Poor",K903&lt;=670,"fair",K903&lt;=740,"Good",K903&lt;=800,"Very Good",K903&gt;=800,"Excellent")</f>
        <v>fair</v>
      </c>
      <c r="M903">
        <v>0</v>
      </c>
      <c r="N903" t="str">
        <f t="shared" si="57"/>
        <v>No</v>
      </c>
      <c r="O903">
        <v>0.37</v>
      </c>
      <c r="P903" t="str" cm="1">
        <f t="array" ref="P903">_xlfn.IFS(O903&lt;=0.3,"Low Risk",O903&lt;=0.4,"medium Risk",O903&lt;=0.5,"High Risk",O903&gt;0.5,"Very High Risk")</f>
        <v>medium Risk</v>
      </c>
      <c r="Q903">
        <v>5392</v>
      </c>
      <c r="R903">
        <v>6189</v>
      </c>
      <c r="S903" t="str">
        <f t="shared" si="58"/>
        <v>Yes</v>
      </c>
      <c r="T903">
        <v>5098</v>
      </c>
      <c r="U903" t="str" cm="1">
        <f t="array" ref="U903">_xlfn.IFS(T903&lt;5000,"Small",T903&lt;20000,"Medium",T903&lt;35000,"Large",T903&gt;35000,"Very Large")</f>
        <v>Medium</v>
      </c>
      <c r="V903">
        <v>84</v>
      </c>
      <c r="W903">
        <f t="shared" si="59"/>
        <v>7</v>
      </c>
      <c r="X903" t="s">
        <v>42</v>
      </c>
      <c r="Y903" t="s">
        <v>38</v>
      </c>
      <c r="Z903" t="s">
        <v>39</v>
      </c>
      <c r="AA903" t="s">
        <v>40</v>
      </c>
      <c r="AB903" t="s">
        <v>35</v>
      </c>
      <c r="AC903" t="s">
        <v>36</v>
      </c>
    </row>
    <row r="904" spans="1:29" x14ac:dyDescent="0.25">
      <c r="A904">
        <v>952</v>
      </c>
      <c r="B904">
        <v>18438</v>
      </c>
      <c r="C904">
        <v>3850</v>
      </c>
      <c r="D904">
        <f t="shared" si="56"/>
        <v>22288</v>
      </c>
      <c r="E904" t="s">
        <v>29</v>
      </c>
      <c r="F904">
        <v>32</v>
      </c>
      <c r="G904" t="str" cm="1">
        <f t="array" ref="G904">_xlfn.IFS(F904&lt;25,"18-24",F904&lt;35,"25-35",F904&lt;45,"35-44",F904&lt;55,"44-54",F904&gt;=55,"55+")</f>
        <v>25-35</v>
      </c>
      <c r="H904" t="s">
        <v>30</v>
      </c>
      <c r="I904">
        <v>1</v>
      </c>
      <c r="J904" t="str" cm="1">
        <f t="array" ref="J904">_xlfn.IFS(I904&lt;=0,"No Dependents",I904&lt;=1,"One",I904&lt;=2,"Two",I904&gt;=3,"Third")</f>
        <v>One</v>
      </c>
      <c r="K904">
        <v>789</v>
      </c>
      <c r="L904" t="str" cm="1">
        <f t="array" ref="L904">_xlfn.IFS(K904&lt;=580,"Poor",K904&lt;=670,"fair",K904&lt;=740,"Good",K904&lt;=800,"Very Good",K904&gt;=800,"Excellent")</f>
        <v>Very Good</v>
      </c>
      <c r="M904">
        <v>3</v>
      </c>
      <c r="N904" t="str">
        <f t="shared" si="57"/>
        <v>Yes</v>
      </c>
      <c r="O904">
        <v>0.52</v>
      </c>
      <c r="P904" t="str" cm="1">
        <f t="array" ref="P904">_xlfn.IFS(O904&lt;=0.3,"Low Risk",O904&lt;=0.4,"medium Risk",O904&lt;=0.5,"High Risk",O904&gt;0.5,"Very High Risk")</f>
        <v>Very High Risk</v>
      </c>
      <c r="Q904">
        <v>7972</v>
      </c>
      <c r="R904">
        <v>0</v>
      </c>
      <c r="S904" t="str">
        <f t="shared" si="58"/>
        <v>No</v>
      </c>
      <c r="T904">
        <v>8619</v>
      </c>
      <c r="U904" t="str" cm="1">
        <f t="array" ref="U904">_xlfn.IFS(T904&lt;5000,"Small",T904&lt;20000,"Medium",T904&lt;35000,"Large",T904&gt;35000,"Very Large")</f>
        <v>Medium</v>
      </c>
      <c r="V904">
        <v>84</v>
      </c>
      <c r="W904">
        <f t="shared" si="59"/>
        <v>7</v>
      </c>
      <c r="X904" t="s">
        <v>31</v>
      </c>
      <c r="Y904" t="s">
        <v>32</v>
      </c>
      <c r="Z904" t="s">
        <v>39</v>
      </c>
      <c r="AA904" t="s">
        <v>40</v>
      </c>
      <c r="AB904" t="s">
        <v>43</v>
      </c>
      <c r="AC904" t="s">
        <v>36</v>
      </c>
    </row>
    <row r="905" spans="1:29" x14ac:dyDescent="0.25">
      <c r="A905">
        <v>953</v>
      </c>
      <c r="B905">
        <v>9643</v>
      </c>
      <c r="C905">
        <v>689</v>
      </c>
      <c r="D905">
        <f t="shared" si="56"/>
        <v>10332</v>
      </c>
      <c r="E905" t="s">
        <v>29</v>
      </c>
      <c r="F905">
        <v>37</v>
      </c>
      <c r="G905" t="str" cm="1">
        <f t="array" ref="G905">_xlfn.IFS(F905&lt;25,"18-24",F905&lt;35,"25-35",F905&lt;45,"35-44",F905&lt;55,"44-54",F905&gt;=55,"55+")</f>
        <v>35-44</v>
      </c>
      <c r="H905" t="s">
        <v>30</v>
      </c>
      <c r="I905">
        <v>3</v>
      </c>
      <c r="J905" t="str" cm="1">
        <f t="array" ref="J905">_xlfn.IFS(I905&lt;=0,"No Dependents",I905&lt;=1,"One",I905&lt;=2,"Two",I905&gt;=3,"Third")</f>
        <v>Third</v>
      </c>
      <c r="K905">
        <v>726</v>
      </c>
      <c r="L905" t="str" cm="1">
        <f t="array" ref="L905">_xlfn.IFS(K905&lt;=580,"Poor",K905&lt;=670,"fair",K905&lt;=740,"Good",K905&lt;=800,"Very Good",K905&gt;=800,"Excellent")</f>
        <v>Good</v>
      </c>
      <c r="M905">
        <v>1</v>
      </c>
      <c r="N905" t="str">
        <f t="shared" si="57"/>
        <v>Yes</v>
      </c>
      <c r="O905">
        <v>0.34</v>
      </c>
      <c r="P905" t="str" cm="1">
        <f t="array" ref="P905">_xlfn.IFS(O905&lt;=0.3,"Low Risk",O905&lt;=0.4,"medium Risk",O905&lt;=0.5,"High Risk",O905&gt;0.5,"Very High Risk")</f>
        <v>medium Risk</v>
      </c>
      <c r="Q905">
        <v>0</v>
      </c>
      <c r="R905">
        <v>33910</v>
      </c>
      <c r="S905" t="str">
        <f t="shared" si="58"/>
        <v>Yes</v>
      </c>
      <c r="T905">
        <v>12939</v>
      </c>
      <c r="U905" t="str" cm="1">
        <f t="array" ref="U905">_xlfn.IFS(T905&lt;5000,"Small",T905&lt;20000,"Medium",T905&lt;35000,"Large",T905&gt;35000,"Very Large")</f>
        <v>Medium</v>
      </c>
      <c r="V905">
        <v>12</v>
      </c>
      <c r="W905">
        <f t="shared" si="59"/>
        <v>1</v>
      </c>
      <c r="X905" t="s">
        <v>50</v>
      </c>
      <c r="Y905" t="s">
        <v>32</v>
      </c>
      <c r="Z905" t="s">
        <v>39</v>
      </c>
      <c r="AA905" t="s">
        <v>34</v>
      </c>
      <c r="AB905" t="s">
        <v>35</v>
      </c>
      <c r="AC905" t="s">
        <v>44</v>
      </c>
    </row>
    <row r="906" spans="1:29" x14ac:dyDescent="0.25">
      <c r="A906">
        <v>954</v>
      </c>
      <c r="B906">
        <v>17708</v>
      </c>
      <c r="C906">
        <v>5175</v>
      </c>
      <c r="D906">
        <f t="shared" si="56"/>
        <v>22883</v>
      </c>
      <c r="E906" t="s">
        <v>29</v>
      </c>
      <c r="F906">
        <v>35</v>
      </c>
      <c r="G906" t="str" cm="1">
        <f t="array" ref="G906">_xlfn.IFS(F906&lt;25,"18-24",F906&lt;35,"25-35",F906&lt;45,"35-44",F906&lt;55,"44-54",F906&gt;=55,"55+")</f>
        <v>35-44</v>
      </c>
      <c r="H906" t="s">
        <v>41</v>
      </c>
      <c r="I906">
        <v>3</v>
      </c>
      <c r="J906" t="str" cm="1">
        <f t="array" ref="J906">_xlfn.IFS(I906&lt;=0,"No Dependents",I906&lt;=1,"One",I906&lt;=2,"Two",I906&gt;=3,"Third")</f>
        <v>Third</v>
      </c>
      <c r="K906">
        <v>680</v>
      </c>
      <c r="L906" t="str" cm="1">
        <f t="array" ref="L906">_xlfn.IFS(K906&lt;=580,"Poor",K906&lt;=670,"fair",K906&lt;=740,"Good",K906&lt;=800,"Very Good",K906&gt;=800,"Excellent")</f>
        <v>Good</v>
      </c>
      <c r="M906">
        <v>3</v>
      </c>
      <c r="N906" t="str">
        <f t="shared" si="57"/>
        <v>Yes</v>
      </c>
      <c r="O906">
        <v>0.28999999999999998</v>
      </c>
      <c r="P906" t="str" cm="1">
        <f t="array" ref="P906">_xlfn.IFS(O906&lt;=0.3,"Low Risk",O906&lt;=0.4,"medium Risk",O906&lt;=0.5,"High Risk",O906&gt;0.5,"Very High Risk")</f>
        <v>Low Risk</v>
      </c>
      <c r="Q906">
        <v>19184</v>
      </c>
      <c r="R906">
        <v>30226</v>
      </c>
      <c r="S906" t="str">
        <f t="shared" si="58"/>
        <v>Yes</v>
      </c>
      <c r="T906">
        <v>19226</v>
      </c>
      <c r="U906" t="str" cm="1">
        <f t="array" ref="U906">_xlfn.IFS(T906&lt;5000,"Small",T906&lt;20000,"Medium",T906&lt;35000,"Large",T906&gt;35000,"Very Large")</f>
        <v>Medium</v>
      </c>
      <c r="V906">
        <v>24</v>
      </c>
      <c r="W906">
        <f t="shared" si="59"/>
        <v>2</v>
      </c>
      <c r="X906" t="s">
        <v>42</v>
      </c>
      <c r="Y906" t="s">
        <v>32</v>
      </c>
      <c r="Z906" t="s">
        <v>33</v>
      </c>
      <c r="AA906" t="s">
        <v>34</v>
      </c>
      <c r="AB906" t="s">
        <v>42</v>
      </c>
      <c r="AC906" t="s">
        <v>44</v>
      </c>
    </row>
    <row r="907" spans="1:29" x14ac:dyDescent="0.25">
      <c r="A907">
        <v>955</v>
      </c>
      <c r="B907">
        <v>13271</v>
      </c>
      <c r="C907">
        <v>8648</v>
      </c>
      <c r="D907">
        <f t="shared" si="56"/>
        <v>21919</v>
      </c>
      <c r="E907" t="s">
        <v>29</v>
      </c>
      <c r="F907">
        <v>35</v>
      </c>
      <c r="G907" t="str" cm="1">
        <f t="array" ref="G907">_xlfn.IFS(F907&lt;25,"18-24",F907&lt;35,"25-35",F907&lt;45,"35-44",F907&lt;55,"44-54",F907&gt;=55,"55+")</f>
        <v>35-44</v>
      </c>
      <c r="H907" t="s">
        <v>41</v>
      </c>
      <c r="I907">
        <v>0</v>
      </c>
      <c r="J907" t="str" cm="1">
        <f t="array" ref="J907">_xlfn.IFS(I907&lt;=0,"No Dependents",I907&lt;=1,"One",I907&lt;=2,"Two",I907&gt;=3,"Third")</f>
        <v>No Dependents</v>
      </c>
      <c r="K907">
        <v>751</v>
      </c>
      <c r="L907" t="str" cm="1">
        <f t="array" ref="L907">_xlfn.IFS(K907&lt;=580,"Poor",K907&lt;=670,"fair",K907&lt;=740,"Good",K907&lt;=800,"Very Good",K907&gt;=800,"Excellent")</f>
        <v>Very Good</v>
      </c>
      <c r="M907">
        <v>4</v>
      </c>
      <c r="N907" t="str">
        <f t="shared" si="57"/>
        <v>Yes</v>
      </c>
      <c r="O907">
        <v>0.35</v>
      </c>
      <c r="P907" t="str" cm="1">
        <f t="array" ref="P907">_xlfn.IFS(O907&lt;=0.3,"Low Risk",O907&lt;=0.4,"medium Risk",O907&lt;=0.5,"High Risk",O907&gt;0.5,"Very High Risk")</f>
        <v>medium Risk</v>
      </c>
      <c r="Q907">
        <v>14799</v>
      </c>
      <c r="R907">
        <v>7614</v>
      </c>
      <c r="S907" t="str">
        <f t="shared" si="58"/>
        <v>Yes</v>
      </c>
      <c r="T907">
        <v>26322</v>
      </c>
      <c r="U907" t="str" cm="1">
        <f t="array" ref="U907">_xlfn.IFS(T907&lt;5000,"Small",T907&lt;20000,"Medium",T907&lt;35000,"Large",T907&gt;35000,"Very Large")</f>
        <v>Large</v>
      </c>
      <c r="V907">
        <v>48</v>
      </c>
      <c r="W907">
        <f t="shared" si="59"/>
        <v>4</v>
      </c>
      <c r="X907" t="s">
        <v>50</v>
      </c>
      <c r="Y907" t="s">
        <v>32</v>
      </c>
      <c r="Z907" t="s">
        <v>39</v>
      </c>
      <c r="AA907" t="s">
        <v>40</v>
      </c>
      <c r="AB907" t="s">
        <v>35</v>
      </c>
      <c r="AC907" t="s">
        <v>44</v>
      </c>
    </row>
    <row r="908" spans="1:29" x14ac:dyDescent="0.25">
      <c r="A908">
        <v>956</v>
      </c>
      <c r="B908">
        <v>19216</v>
      </c>
      <c r="C908">
        <v>5078</v>
      </c>
      <c r="D908">
        <f t="shared" si="56"/>
        <v>24294</v>
      </c>
      <c r="E908" t="s">
        <v>49</v>
      </c>
      <c r="F908">
        <v>40</v>
      </c>
      <c r="G908" t="str" cm="1">
        <f t="array" ref="G908">_xlfn.IFS(F908&lt;25,"18-24",F908&lt;35,"25-35",F908&lt;45,"35-44",F908&lt;55,"44-54",F908&gt;=55,"55+")</f>
        <v>35-44</v>
      </c>
      <c r="H908" t="s">
        <v>41</v>
      </c>
      <c r="I908">
        <v>3</v>
      </c>
      <c r="J908" t="str" cm="1">
        <f t="array" ref="J908">_xlfn.IFS(I908&lt;=0,"No Dependents",I908&lt;=1,"One",I908&lt;=2,"Two",I908&gt;=3,"Third")</f>
        <v>Third</v>
      </c>
      <c r="K908">
        <v>682</v>
      </c>
      <c r="L908" t="str" cm="1">
        <f t="array" ref="L908">_xlfn.IFS(K908&lt;=580,"Poor",K908&lt;=670,"fair",K908&lt;=740,"Good",K908&lt;=800,"Very Good",K908&gt;=800,"Excellent")</f>
        <v>Good</v>
      </c>
      <c r="M908">
        <v>0</v>
      </c>
      <c r="N908" t="str">
        <f t="shared" si="57"/>
        <v>No</v>
      </c>
      <c r="O908">
        <v>0.39</v>
      </c>
      <c r="P908" t="str" cm="1">
        <f t="array" ref="P908">_xlfn.IFS(O908&lt;=0.3,"Low Risk",O908&lt;=0.4,"medium Risk",O908&lt;=0.5,"High Risk",O908&gt;0.5,"Very High Risk")</f>
        <v>medium Risk</v>
      </c>
      <c r="Q908">
        <v>19159</v>
      </c>
      <c r="R908">
        <v>47021</v>
      </c>
      <c r="S908" t="str">
        <f t="shared" si="58"/>
        <v>Yes</v>
      </c>
      <c r="T908">
        <v>17878</v>
      </c>
      <c r="U908" t="str" cm="1">
        <f t="array" ref="U908">_xlfn.IFS(T908&lt;5000,"Small",T908&lt;20000,"Medium",T908&lt;35000,"Large",T908&gt;35000,"Very Large")</f>
        <v>Medium</v>
      </c>
      <c r="V908">
        <v>12</v>
      </c>
      <c r="W908">
        <f t="shared" si="59"/>
        <v>1</v>
      </c>
      <c r="X908" t="s">
        <v>31</v>
      </c>
      <c r="Y908" t="s">
        <v>38</v>
      </c>
      <c r="Z908" t="s">
        <v>39</v>
      </c>
      <c r="AA908" t="s">
        <v>34</v>
      </c>
      <c r="AB908" t="s">
        <v>35</v>
      </c>
      <c r="AC908" t="s">
        <v>44</v>
      </c>
    </row>
    <row r="909" spans="1:29" x14ac:dyDescent="0.25">
      <c r="A909">
        <v>957</v>
      </c>
      <c r="B909">
        <v>14600</v>
      </c>
      <c r="C909">
        <v>5448</v>
      </c>
      <c r="D909">
        <f t="shared" si="56"/>
        <v>20048</v>
      </c>
      <c r="E909" t="s">
        <v>29</v>
      </c>
      <c r="F909">
        <v>59</v>
      </c>
      <c r="G909" t="str" cm="1">
        <f t="array" ref="G909">_xlfn.IFS(F909&lt;25,"18-24",F909&lt;35,"25-35",F909&lt;45,"35-44",F909&lt;55,"44-54",F909&gt;=55,"55+")</f>
        <v>55+</v>
      </c>
      <c r="H909" t="s">
        <v>41</v>
      </c>
      <c r="I909">
        <v>3</v>
      </c>
      <c r="J909" t="str" cm="1">
        <f t="array" ref="J909">_xlfn.IFS(I909&lt;=0,"No Dependents",I909&lt;=1,"One",I909&lt;=2,"Two",I909&gt;=3,"Third")</f>
        <v>Third</v>
      </c>
      <c r="K909">
        <v>787</v>
      </c>
      <c r="L909" t="str" cm="1">
        <f t="array" ref="L909">_xlfn.IFS(K909&lt;=580,"Poor",K909&lt;=670,"fair",K909&lt;=740,"Good",K909&lt;=800,"Very Good",K909&gt;=800,"Excellent")</f>
        <v>Very Good</v>
      </c>
      <c r="M909">
        <v>2</v>
      </c>
      <c r="N909" t="str">
        <f t="shared" si="57"/>
        <v>Yes</v>
      </c>
      <c r="O909">
        <v>0.19</v>
      </c>
      <c r="P909" t="str" cm="1">
        <f t="array" ref="P909">_xlfn.IFS(O909&lt;=0.3,"Low Risk",O909&lt;=0.4,"medium Risk",O909&lt;=0.5,"High Risk",O909&gt;0.5,"Very High Risk")</f>
        <v>Low Risk</v>
      </c>
      <c r="Q909">
        <v>15052</v>
      </c>
      <c r="R909">
        <v>21224</v>
      </c>
      <c r="S909" t="str">
        <f t="shared" si="58"/>
        <v>Yes</v>
      </c>
      <c r="T909">
        <v>7560</v>
      </c>
      <c r="U909" t="str" cm="1">
        <f t="array" ref="U909">_xlfn.IFS(T909&lt;5000,"Small",T909&lt;20000,"Medium",T909&lt;35000,"Large",T909&gt;35000,"Very Large")</f>
        <v>Medium</v>
      </c>
      <c r="V909">
        <v>60</v>
      </c>
      <c r="W909">
        <f t="shared" si="59"/>
        <v>5</v>
      </c>
      <c r="X909" t="s">
        <v>47</v>
      </c>
      <c r="Y909" t="s">
        <v>45</v>
      </c>
      <c r="Z909" t="s">
        <v>39</v>
      </c>
      <c r="AA909" t="s">
        <v>40</v>
      </c>
      <c r="AB909" t="s">
        <v>35</v>
      </c>
      <c r="AC909" t="s">
        <v>44</v>
      </c>
    </row>
    <row r="910" spans="1:29" x14ac:dyDescent="0.25">
      <c r="A910">
        <v>958</v>
      </c>
      <c r="B910">
        <v>12998</v>
      </c>
      <c r="C910">
        <v>1179</v>
      </c>
      <c r="D910">
        <f t="shared" si="56"/>
        <v>14177</v>
      </c>
      <c r="E910" t="s">
        <v>46</v>
      </c>
      <c r="F910">
        <v>33</v>
      </c>
      <c r="G910" t="str" cm="1">
        <f t="array" ref="G910">_xlfn.IFS(F910&lt;25,"18-24",F910&lt;35,"25-35",F910&lt;45,"35-44",F910&lt;55,"44-54",F910&gt;=55,"55+")</f>
        <v>25-35</v>
      </c>
      <c r="H910" t="s">
        <v>30</v>
      </c>
      <c r="I910">
        <v>3</v>
      </c>
      <c r="J910" t="str" cm="1">
        <f t="array" ref="J910">_xlfn.IFS(I910&lt;=0,"No Dependents",I910&lt;=1,"One",I910&lt;=2,"Two",I910&gt;=3,"Third")</f>
        <v>Third</v>
      </c>
      <c r="K910">
        <v>767</v>
      </c>
      <c r="L910" t="str" cm="1">
        <f t="array" ref="L910">_xlfn.IFS(K910&lt;=580,"Poor",K910&lt;=670,"fair",K910&lt;=740,"Good",K910&lt;=800,"Very Good",K910&gt;=800,"Excellent")</f>
        <v>Very Good</v>
      </c>
      <c r="M910">
        <v>0</v>
      </c>
      <c r="N910" t="str">
        <f t="shared" si="57"/>
        <v>No</v>
      </c>
      <c r="O910">
        <v>0.55000000000000004</v>
      </c>
      <c r="P910" t="str" cm="1">
        <f t="array" ref="P910">_xlfn.IFS(O910&lt;=0.3,"Low Risk",O910&lt;=0.4,"medium Risk",O910&lt;=0.5,"High Risk",O910&gt;0.5,"Very High Risk")</f>
        <v>Very High Risk</v>
      </c>
      <c r="Q910">
        <v>6044</v>
      </c>
      <c r="R910">
        <v>18013</v>
      </c>
      <c r="S910" t="str">
        <f t="shared" si="58"/>
        <v>Yes</v>
      </c>
      <c r="T910">
        <v>39278</v>
      </c>
      <c r="U910" t="str" cm="1">
        <f t="array" ref="U910">_xlfn.IFS(T910&lt;5000,"Small",T910&lt;20000,"Medium",T910&lt;35000,"Large",T910&gt;35000,"Very Large")</f>
        <v>Very Large</v>
      </c>
      <c r="V910">
        <v>12</v>
      </c>
      <c r="W910">
        <f t="shared" si="59"/>
        <v>1</v>
      </c>
      <c r="X910" t="s">
        <v>31</v>
      </c>
      <c r="Y910" t="s">
        <v>45</v>
      </c>
      <c r="Z910" t="s">
        <v>39</v>
      </c>
      <c r="AA910" t="s">
        <v>40</v>
      </c>
      <c r="AB910" t="s">
        <v>35</v>
      </c>
      <c r="AC910" t="s">
        <v>36</v>
      </c>
    </row>
    <row r="911" spans="1:29" x14ac:dyDescent="0.25">
      <c r="A911">
        <v>959</v>
      </c>
      <c r="B911">
        <v>16295</v>
      </c>
      <c r="C911">
        <v>9074</v>
      </c>
      <c r="D911">
        <f t="shared" si="56"/>
        <v>25369</v>
      </c>
      <c r="E911" t="s">
        <v>46</v>
      </c>
      <c r="F911">
        <v>37</v>
      </c>
      <c r="G911" t="str" cm="1">
        <f t="array" ref="G911">_xlfn.IFS(F911&lt;25,"18-24",F911&lt;35,"25-35",F911&lt;45,"35-44",F911&lt;55,"44-54",F911&gt;=55,"55+")</f>
        <v>35-44</v>
      </c>
      <c r="H911" t="s">
        <v>41</v>
      </c>
      <c r="I911">
        <v>3</v>
      </c>
      <c r="J911" t="str" cm="1">
        <f t="array" ref="J911">_xlfn.IFS(I911&lt;=0,"No Dependents",I911&lt;=1,"One",I911&lt;=2,"Two",I911&gt;=3,"Third")</f>
        <v>Third</v>
      </c>
      <c r="K911">
        <v>738</v>
      </c>
      <c r="L911" t="str" cm="1">
        <f t="array" ref="L911">_xlfn.IFS(K911&lt;=580,"Poor",K911&lt;=670,"fair",K911&lt;=740,"Good",K911&lt;=800,"Very Good",K911&gt;=800,"Excellent")</f>
        <v>Good</v>
      </c>
      <c r="M911">
        <v>4</v>
      </c>
      <c r="N911" t="str">
        <f t="shared" si="57"/>
        <v>Yes</v>
      </c>
      <c r="O911">
        <v>0.44</v>
      </c>
      <c r="P911" t="str" cm="1">
        <f t="array" ref="P911">_xlfn.IFS(O911&lt;=0.3,"Low Risk",O911&lt;=0.4,"medium Risk",O911&lt;=0.5,"High Risk",O911&gt;0.5,"Very High Risk")</f>
        <v>High Risk</v>
      </c>
      <c r="Q911">
        <v>19871</v>
      </c>
      <c r="R911">
        <v>21446</v>
      </c>
      <c r="S911" t="str">
        <f t="shared" si="58"/>
        <v>Yes</v>
      </c>
      <c r="T911">
        <v>37212</v>
      </c>
      <c r="U911" t="str" cm="1">
        <f t="array" ref="U911">_xlfn.IFS(T911&lt;5000,"Small",T911&lt;20000,"Medium",T911&lt;35000,"Large",T911&gt;35000,"Very Large")</f>
        <v>Very Large</v>
      </c>
      <c r="V911">
        <v>12</v>
      </c>
      <c r="W911">
        <f t="shared" si="59"/>
        <v>1</v>
      </c>
      <c r="X911" t="s">
        <v>42</v>
      </c>
      <c r="Y911" t="s">
        <v>32</v>
      </c>
      <c r="Z911" t="s">
        <v>39</v>
      </c>
      <c r="AA911" t="s">
        <v>40</v>
      </c>
      <c r="AB911" t="s">
        <v>48</v>
      </c>
      <c r="AC911" t="s">
        <v>36</v>
      </c>
    </row>
    <row r="912" spans="1:29" x14ac:dyDescent="0.25">
      <c r="A912">
        <v>960</v>
      </c>
      <c r="B912">
        <v>0</v>
      </c>
      <c r="C912">
        <v>6406</v>
      </c>
      <c r="D912">
        <f t="shared" si="56"/>
        <v>6406</v>
      </c>
      <c r="E912" t="s">
        <v>52</v>
      </c>
      <c r="F912">
        <v>52</v>
      </c>
      <c r="G912" t="str" cm="1">
        <f t="array" ref="G912">_xlfn.IFS(F912&lt;25,"18-24",F912&lt;35,"25-35",F912&lt;45,"35-44",F912&lt;55,"44-54",F912&gt;=55,"55+")</f>
        <v>44-54</v>
      </c>
      <c r="H912" t="s">
        <v>30</v>
      </c>
      <c r="I912">
        <v>1</v>
      </c>
      <c r="J912" t="str" cm="1">
        <f t="array" ref="J912">_xlfn.IFS(I912&lt;=0,"No Dependents",I912&lt;=1,"One",I912&lt;=2,"Two",I912&gt;=3,"Third")</f>
        <v>One</v>
      </c>
      <c r="K912">
        <v>762</v>
      </c>
      <c r="L912" t="str" cm="1">
        <f t="array" ref="L912">_xlfn.IFS(K912&lt;=580,"Poor",K912&lt;=670,"fair",K912&lt;=740,"Good",K912&lt;=800,"Very Good",K912&gt;=800,"Excellent")</f>
        <v>Very Good</v>
      </c>
      <c r="M912">
        <v>4</v>
      </c>
      <c r="N912" t="str">
        <f t="shared" si="57"/>
        <v>Yes</v>
      </c>
      <c r="O912">
        <v>0.42</v>
      </c>
      <c r="P912" t="str" cm="1">
        <f t="array" ref="P912">_xlfn.IFS(O912&lt;=0.3,"Low Risk",O912&lt;=0.4,"medium Risk",O912&lt;=0.5,"High Risk",O912&gt;0.5,"Very High Risk")</f>
        <v>High Risk</v>
      </c>
      <c r="Q912">
        <v>14415</v>
      </c>
      <c r="R912">
        <v>0</v>
      </c>
      <c r="S912" t="str">
        <f t="shared" si="58"/>
        <v>No</v>
      </c>
      <c r="T912">
        <v>30299</v>
      </c>
      <c r="U912" t="str" cm="1">
        <f t="array" ref="U912">_xlfn.IFS(T912&lt;5000,"Small",T912&lt;20000,"Medium",T912&lt;35000,"Large",T912&gt;35000,"Very Large")</f>
        <v>Large</v>
      </c>
      <c r="V912">
        <v>60</v>
      </c>
      <c r="W912">
        <f t="shared" si="59"/>
        <v>5</v>
      </c>
      <c r="X912" t="s">
        <v>31</v>
      </c>
      <c r="Y912" t="s">
        <v>45</v>
      </c>
      <c r="Z912" t="s">
        <v>39</v>
      </c>
      <c r="AA912" t="s">
        <v>34</v>
      </c>
      <c r="AB912" t="s">
        <v>35</v>
      </c>
      <c r="AC912" t="s">
        <v>36</v>
      </c>
    </row>
    <row r="913" spans="1:29" x14ac:dyDescent="0.25">
      <c r="A913">
        <v>961</v>
      </c>
      <c r="B913">
        <v>18380</v>
      </c>
      <c r="C913">
        <v>8591</v>
      </c>
      <c r="D913">
        <f t="shared" si="56"/>
        <v>26971</v>
      </c>
      <c r="E913" t="s">
        <v>46</v>
      </c>
      <c r="F913">
        <v>29</v>
      </c>
      <c r="G913" t="str" cm="1">
        <f t="array" ref="G913">_xlfn.IFS(F913&lt;25,"18-24",F913&lt;35,"25-35",F913&lt;45,"35-44",F913&lt;55,"44-54",F913&gt;=55,"55+")</f>
        <v>25-35</v>
      </c>
      <c r="H913" t="s">
        <v>30</v>
      </c>
      <c r="I913">
        <v>2</v>
      </c>
      <c r="J913" t="str" cm="1">
        <f t="array" ref="J913">_xlfn.IFS(I913&lt;=0,"No Dependents",I913&lt;=1,"One",I913&lt;=2,"Two",I913&gt;=3,"Third")</f>
        <v>Two</v>
      </c>
      <c r="K913">
        <v>786</v>
      </c>
      <c r="L913" t="str" cm="1">
        <f t="array" ref="L913">_xlfn.IFS(K913&lt;=580,"Poor",K913&lt;=670,"fair",K913&lt;=740,"Good",K913&lt;=800,"Very Good",K913&gt;=800,"Excellent")</f>
        <v>Very Good</v>
      </c>
      <c r="M913">
        <v>4</v>
      </c>
      <c r="N913" t="str">
        <f t="shared" si="57"/>
        <v>Yes</v>
      </c>
      <c r="O913">
        <v>0.15</v>
      </c>
      <c r="P913" t="str" cm="1">
        <f t="array" ref="P913">_xlfn.IFS(O913&lt;=0.3,"Low Risk",O913&lt;=0.4,"medium Risk",O913&lt;=0.5,"High Risk",O913&gt;0.5,"Very High Risk")</f>
        <v>Low Risk</v>
      </c>
      <c r="Q913">
        <v>17274</v>
      </c>
      <c r="R913">
        <v>39673</v>
      </c>
      <c r="S913" t="str">
        <f t="shared" si="58"/>
        <v>Yes</v>
      </c>
      <c r="T913">
        <v>8543</v>
      </c>
      <c r="U913" t="str" cm="1">
        <f t="array" ref="U913">_xlfn.IFS(T913&lt;5000,"Small",T913&lt;20000,"Medium",T913&lt;35000,"Large",T913&gt;35000,"Very Large")</f>
        <v>Medium</v>
      </c>
      <c r="V913">
        <v>72</v>
      </c>
      <c r="W913">
        <f t="shared" si="59"/>
        <v>6</v>
      </c>
      <c r="X913" t="s">
        <v>42</v>
      </c>
      <c r="Y913" t="s">
        <v>32</v>
      </c>
      <c r="Z913" t="s">
        <v>39</v>
      </c>
      <c r="AA913" t="s">
        <v>40</v>
      </c>
      <c r="AB913" t="s">
        <v>51</v>
      </c>
      <c r="AC913" t="s">
        <v>36</v>
      </c>
    </row>
    <row r="914" spans="1:29" x14ac:dyDescent="0.25">
      <c r="A914">
        <v>962</v>
      </c>
      <c r="B914">
        <v>10519</v>
      </c>
      <c r="C914">
        <v>6907</v>
      </c>
      <c r="D914">
        <f t="shared" si="56"/>
        <v>17426</v>
      </c>
      <c r="E914" t="s">
        <v>46</v>
      </c>
      <c r="F914">
        <v>40</v>
      </c>
      <c r="G914" t="str" cm="1">
        <f t="array" ref="G914">_xlfn.IFS(F914&lt;25,"18-24",F914&lt;35,"25-35",F914&lt;45,"35-44",F914&lt;55,"44-54",F914&gt;=55,"55+")</f>
        <v>35-44</v>
      </c>
      <c r="H914" t="s">
        <v>41</v>
      </c>
      <c r="I914">
        <v>0</v>
      </c>
      <c r="J914" t="str" cm="1">
        <f t="array" ref="J914">_xlfn.IFS(I914&lt;=0,"No Dependents",I914&lt;=1,"One",I914&lt;=2,"Two",I914&gt;=3,"Third")</f>
        <v>No Dependents</v>
      </c>
      <c r="K914">
        <v>639</v>
      </c>
      <c r="L914" t="str" cm="1">
        <f t="array" ref="L914">_xlfn.IFS(K914&lt;=580,"Poor",K914&lt;=670,"fair",K914&lt;=740,"Good",K914&lt;=800,"Very Good",K914&gt;=800,"Excellent")</f>
        <v>fair</v>
      </c>
      <c r="M914">
        <v>4</v>
      </c>
      <c r="N914" t="str">
        <f t="shared" si="57"/>
        <v>Yes</v>
      </c>
      <c r="O914">
        <v>0.4</v>
      </c>
      <c r="P914" t="str" cm="1">
        <f t="array" ref="P914">_xlfn.IFS(O914&lt;=0.3,"Low Risk",O914&lt;=0.4,"medium Risk",O914&lt;=0.5,"High Risk",O914&gt;0.5,"Very High Risk")</f>
        <v>medium Risk</v>
      </c>
      <c r="Q914">
        <v>13858</v>
      </c>
      <c r="R914">
        <v>37657</v>
      </c>
      <c r="S914" t="str">
        <f t="shared" si="58"/>
        <v>Yes</v>
      </c>
      <c r="T914">
        <v>24946</v>
      </c>
      <c r="U914" t="str" cm="1">
        <f t="array" ref="U914">_xlfn.IFS(T914&lt;5000,"Small",T914&lt;20000,"Medium",T914&lt;35000,"Large",T914&gt;35000,"Very Large")</f>
        <v>Large</v>
      </c>
      <c r="V914">
        <v>84</v>
      </c>
      <c r="W914">
        <f t="shared" si="59"/>
        <v>7</v>
      </c>
      <c r="X914" t="s">
        <v>37</v>
      </c>
      <c r="Y914" t="s">
        <v>45</v>
      </c>
      <c r="Z914" t="s">
        <v>39</v>
      </c>
      <c r="AA914" t="s">
        <v>40</v>
      </c>
      <c r="AB914" t="s">
        <v>35</v>
      </c>
      <c r="AC914" t="s">
        <v>36</v>
      </c>
    </row>
    <row r="915" spans="1:29" x14ac:dyDescent="0.25">
      <c r="A915">
        <v>963</v>
      </c>
      <c r="B915">
        <v>5300</v>
      </c>
      <c r="C915">
        <v>8800</v>
      </c>
      <c r="D915">
        <f t="shared" si="56"/>
        <v>14100</v>
      </c>
      <c r="E915" t="s">
        <v>49</v>
      </c>
      <c r="F915">
        <v>46</v>
      </c>
      <c r="G915" t="str" cm="1">
        <f t="array" ref="G915">_xlfn.IFS(F915&lt;25,"18-24",F915&lt;35,"25-35",F915&lt;45,"35-44",F915&lt;55,"44-54",F915&gt;=55,"55+")</f>
        <v>44-54</v>
      </c>
      <c r="H915" t="s">
        <v>30</v>
      </c>
      <c r="I915">
        <v>1</v>
      </c>
      <c r="J915" t="str" cm="1">
        <f t="array" ref="J915">_xlfn.IFS(I915&lt;=0,"No Dependents",I915&lt;=1,"One",I915&lt;=2,"Two",I915&gt;=3,"Third")</f>
        <v>One</v>
      </c>
      <c r="K915">
        <v>779</v>
      </c>
      <c r="L915" t="str" cm="1">
        <f t="array" ref="L915">_xlfn.IFS(K915&lt;=580,"Poor",K915&lt;=670,"fair",K915&lt;=740,"Good",K915&lt;=800,"Very Good",K915&gt;=800,"Excellent")</f>
        <v>Very Good</v>
      </c>
      <c r="M915">
        <v>1</v>
      </c>
      <c r="N915" t="str">
        <f t="shared" si="57"/>
        <v>Yes</v>
      </c>
      <c r="O915">
        <v>0.16</v>
      </c>
      <c r="P915" t="str" cm="1">
        <f t="array" ref="P915">_xlfn.IFS(O915&lt;=0.3,"Low Risk",O915&lt;=0.4,"medium Risk",O915&lt;=0.5,"High Risk",O915&gt;0.5,"Very High Risk")</f>
        <v>Low Risk</v>
      </c>
      <c r="Q915">
        <v>17572</v>
      </c>
      <c r="R915">
        <v>4839</v>
      </c>
      <c r="S915" t="str">
        <f t="shared" si="58"/>
        <v>Yes</v>
      </c>
      <c r="T915">
        <v>32740</v>
      </c>
      <c r="U915" t="str" cm="1">
        <f t="array" ref="U915">_xlfn.IFS(T915&lt;5000,"Small",T915&lt;20000,"Medium",T915&lt;35000,"Large",T915&gt;35000,"Very Large")</f>
        <v>Large</v>
      </c>
      <c r="V915">
        <v>48</v>
      </c>
      <c r="W915">
        <f t="shared" si="59"/>
        <v>4</v>
      </c>
      <c r="X915" t="s">
        <v>50</v>
      </c>
      <c r="Y915" t="s">
        <v>45</v>
      </c>
      <c r="Z915" t="s">
        <v>39</v>
      </c>
      <c r="AA915" t="s">
        <v>40</v>
      </c>
      <c r="AB915" t="s">
        <v>51</v>
      </c>
      <c r="AC915" t="s">
        <v>36</v>
      </c>
    </row>
    <row r="916" spans="1:29" x14ac:dyDescent="0.25">
      <c r="A916">
        <v>964</v>
      </c>
      <c r="B916">
        <v>8722</v>
      </c>
      <c r="C916">
        <v>1638</v>
      </c>
      <c r="D916">
        <f t="shared" si="56"/>
        <v>10360</v>
      </c>
      <c r="E916" t="s">
        <v>46</v>
      </c>
      <c r="F916">
        <v>47</v>
      </c>
      <c r="G916" t="str" cm="1">
        <f t="array" ref="G916">_xlfn.IFS(F916&lt;25,"18-24",F916&lt;35,"25-35",F916&lt;45,"35-44",F916&lt;55,"44-54",F916&gt;=55,"55+")</f>
        <v>44-54</v>
      </c>
      <c r="H916" t="s">
        <v>30</v>
      </c>
      <c r="I916">
        <v>0</v>
      </c>
      <c r="J916" t="str" cm="1">
        <f t="array" ref="J916">_xlfn.IFS(I916&lt;=0,"No Dependents",I916&lt;=1,"One",I916&lt;=2,"Two",I916&gt;=3,"Third")</f>
        <v>No Dependents</v>
      </c>
      <c r="K916">
        <v>550</v>
      </c>
      <c r="L916" t="str" cm="1">
        <f t="array" ref="L916">_xlfn.IFS(K916&lt;=580,"Poor",K916&lt;=670,"fair",K916&lt;=740,"Good",K916&lt;=800,"Very Good",K916&gt;=800,"Excellent")</f>
        <v>Poor</v>
      </c>
      <c r="M916">
        <v>2</v>
      </c>
      <c r="N916" t="str">
        <f t="shared" si="57"/>
        <v>Yes</v>
      </c>
      <c r="O916">
        <v>0.14000000000000001</v>
      </c>
      <c r="P916" t="str" cm="1">
        <f t="array" ref="P916">_xlfn.IFS(O916&lt;=0.3,"Low Risk",O916&lt;=0.4,"medium Risk",O916&lt;=0.5,"High Risk",O916&gt;0.5,"Very High Risk")</f>
        <v>Low Risk</v>
      </c>
      <c r="Q916">
        <v>5644</v>
      </c>
      <c r="R916">
        <v>36725</v>
      </c>
      <c r="S916" t="str">
        <f t="shared" si="58"/>
        <v>Yes</v>
      </c>
      <c r="T916">
        <v>8253</v>
      </c>
      <c r="U916" t="str" cm="1">
        <f t="array" ref="U916">_xlfn.IFS(T916&lt;5000,"Small",T916&lt;20000,"Medium",T916&lt;35000,"Large",T916&gt;35000,"Very Large")</f>
        <v>Medium</v>
      </c>
      <c r="V916">
        <v>72</v>
      </c>
      <c r="W916">
        <f t="shared" si="59"/>
        <v>6</v>
      </c>
      <c r="X916" t="s">
        <v>42</v>
      </c>
      <c r="Y916" t="s">
        <v>32</v>
      </c>
      <c r="Z916" t="s">
        <v>33</v>
      </c>
      <c r="AA916" t="s">
        <v>40</v>
      </c>
      <c r="AB916" t="s">
        <v>43</v>
      </c>
      <c r="AC916" t="s">
        <v>44</v>
      </c>
    </row>
    <row r="917" spans="1:29" x14ac:dyDescent="0.25">
      <c r="A917">
        <v>965</v>
      </c>
      <c r="B917">
        <v>9218</v>
      </c>
      <c r="C917">
        <v>5671</v>
      </c>
      <c r="D917">
        <f t="shared" si="56"/>
        <v>14889</v>
      </c>
      <c r="E917" t="s">
        <v>46</v>
      </c>
      <c r="F917">
        <v>41</v>
      </c>
      <c r="G917" t="str" cm="1">
        <f t="array" ref="G917">_xlfn.IFS(F917&lt;25,"18-24",F917&lt;35,"25-35",F917&lt;45,"35-44",F917&lt;55,"44-54",F917&gt;=55,"55+")</f>
        <v>35-44</v>
      </c>
      <c r="H917" t="s">
        <v>30</v>
      </c>
      <c r="I917">
        <v>3</v>
      </c>
      <c r="J917" t="str" cm="1">
        <f t="array" ref="J917">_xlfn.IFS(I917&lt;=0,"No Dependents",I917&lt;=1,"One",I917&lt;=2,"Two",I917&gt;=3,"Third")</f>
        <v>Third</v>
      </c>
      <c r="K917">
        <v>575</v>
      </c>
      <c r="L917" t="str" cm="1">
        <f t="array" ref="L917">_xlfn.IFS(K917&lt;=580,"Poor",K917&lt;=670,"fair",K917&lt;=740,"Good",K917&lt;=800,"Very Good",K917&gt;=800,"Excellent")</f>
        <v>Poor</v>
      </c>
      <c r="M917">
        <v>4</v>
      </c>
      <c r="N917" t="str">
        <f t="shared" si="57"/>
        <v>Yes</v>
      </c>
      <c r="O917">
        <v>0.36</v>
      </c>
      <c r="P917" t="str" cm="1">
        <f t="array" ref="P917">_xlfn.IFS(O917&lt;=0.3,"Low Risk",O917&lt;=0.4,"medium Risk",O917&lt;=0.5,"High Risk",O917&gt;0.5,"Very High Risk")</f>
        <v>medium Risk</v>
      </c>
      <c r="Q917">
        <v>17124</v>
      </c>
      <c r="R917">
        <v>30203</v>
      </c>
      <c r="S917" t="str">
        <f t="shared" si="58"/>
        <v>Yes</v>
      </c>
      <c r="T917">
        <v>0</v>
      </c>
      <c r="U917" t="str" cm="1">
        <f t="array" ref="U917">_xlfn.IFS(T917&lt;5000,"Small",T917&lt;20000,"Medium",T917&lt;35000,"Large",T917&gt;35000,"Very Large")</f>
        <v>Small</v>
      </c>
      <c r="V917">
        <v>72</v>
      </c>
      <c r="W917">
        <f t="shared" si="59"/>
        <v>6</v>
      </c>
      <c r="X917" t="s">
        <v>42</v>
      </c>
      <c r="Y917" t="s">
        <v>32</v>
      </c>
      <c r="Z917" t="s">
        <v>39</v>
      </c>
      <c r="AA917" t="s">
        <v>34</v>
      </c>
      <c r="AB917" t="s">
        <v>48</v>
      </c>
      <c r="AC917" t="s">
        <v>36</v>
      </c>
    </row>
    <row r="918" spans="1:29" x14ac:dyDescent="0.25">
      <c r="A918">
        <v>966</v>
      </c>
      <c r="B918">
        <v>5054</v>
      </c>
      <c r="C918">
        <v>6928</v>
      </c>
      <c r="D918">
        <f t="shared" si="56"/>
        <v>11982</v>
      </c>
      <c r="E918" t="s">
        <v>49</v>
      </c>
      <c r="F918">
        <v>38</v>
      </c>
      <c r="G918" t="str" cm="1">
        <f t="array" ref="G918">_xlfn.IFS(F918&lt;25,"18-24",F918&lt;35,"25-35",F918&lt;45,"35-44",F918&lt;55,"44-54",F918&gt;=55,"55+")</f>
        <v>35-44</v>
      </c>
      <c r="H918" t="s">
        <v>41</v>
      </c>
      <c r="I918">
        <v>1</v>
      </c>
      <c r="J918" t="str" cm="1">
        <f t="array" ref="J918">_xlfn.IFS(I918&lt;=0,"No Dependents",I918&lt;=1,"One",I918&lt;=2,"Two",I918&gt;=3,"Third")</f>
        <v>One</v>
      </c>
      <c r="K918">
        <v>621</v>
      </c>
      <c r="L918" t="str" cm="1">
        <f t="array" ref="L918">_xlfn.IFS(K918&lt;=580,"Poor",K918&lt;=670,"fair",K918&lt;=740,"Good",K918&lt;=800,"Very Good",K918&gt;=800,"Excellent")</f>
        <v>fair</v>
      </c>
      <c r="M918">
        <v>4</v>
      </c>
      <c r="N918" t="str">
        <f t="shared" si="57"/>
        <v>Yes</v>
      </c>
      <c r="O918">
        <v>0.3</v>
      </c>
      <c r="P918" t="str" cm="1">
        <f t="array" ref="P918">_xlfn.IFS(O918&lt;=0.3,"Low Risk",O918&lt;=0.4,"medium Risk",O918&lt;=0.5,"High Risk",O918&gt;0.5,"Very High Risk")</f>
        <v>Low Risk</v>
      </c>
      <c r="Q918">
        <v>17753</v>
      </c>
      <c r="R918">
        <v>557</v>
      </c>
      <c r="S918" t="str">
        <f t="shared" si="58"/>
        <v>Yes</v>
      </c>
      <c r="T918">
        <v>33813</v>
      </c>
      <c r="U918" t="str" cm="1">
        <f t="array" ref="U918">_xlfn.IFS(T918&lt;5000,"Small",T918&lt;20000,"Medium",T918&lt;35000,"Large",T918&gt;35000,"Very Large")</f>
        <v>Large</v>
      </c>
      <c r="V918">
        <v>72</v>
      </c>
      <c r="W918">
        <f t="shared" si="59"/>
        <v>6</v>
      </c>
      <c r="X918" t="s">
        <v>31</v>
      </c>
      <c r="Y918" t="s">
        <v>38</v>
      </c>
      <c r="Z918" t="s">
        <v>33</v>
      </c>
      <c r="AA918" t="s">
        <v>40</v>
      </c>
      <c r="AB918" t="s">
        <v>35</v>
      </c>
      <c r="AC918" t="s">
        <v>36</v>
      </c>
    </row>
    <row r="919" spans="1:29" x14ac:dyDescent="0.25">
      <c r="A919">
        <v>967</v>
      </c>
      <c r="B919">
        <v>15575</v>
      </c>
      <c r="C919">
        <v>1382</v>
      </c>
      <c r="D919">
        <f t="shared" si="56"/>
        <v>16957</v>
      </c>
      <c r="E919" t="s">
        <v>46</v>
      </c>
      <c r="F919">
        <v>33</v>
      </c>
      <c r="G919" t="str" cm="1">
        <f t="array" ref="G919">_xlfn.IFS(F919&lt;25,"18-24",F919&lt;35,"25-35",F919&lt;45,"35-44",F919&lt;55,"44-54",F919&gt;=55,"55+")</f>
        <v>25-35</v>
      </c>
      <c r="H919" t="s">
        <v>30</v>
      </c>
      <c r="I919">
        <v>3</v>
      </c>
      <c r="J919" t="str" cm="1">
        <f t="array" ref="J919">_xlfn.IFS(I919&lt;=0,"No Dependents",I919&lt;=1,"One",I919&lt;=2,"Two",I919&gt;=3,"Third")</f>
        <v>Third</v>
      </c>
      <c r="K919">
        <v>554</v>
      </c>
      <c r="L919" t="str" cm="1">
        <f t="array" ref="L919">_xlfn.IFS(K919&lt;=580,"Poor",K919&lt;=670,"fair",K919&lt;=740,"Good",K919&lt;=800,"Very Good",K919&gt;=800,"Excellent")</f>
        <v>Poor</v>
      </c>
      <c r="M919">
        <v>3</v>
      </c>
      <c r="N919" t="str">
        <f t="shared" si="57"/>
        <v>Yes</v>
      </c>
      <c r="O919">
        <v>0.39</v>
      </c>
      <c r="P919" t="str" cm="1">
        <f t="array" ref="P919">_xlfn.IFS(O919&lt;=0.3,"Low Risk",O919&lt;=0.4,"medium Risk",O919&lt;=0.5,"High Risk",O919&gt;0.5,"Very High Risk")</f>
        <v>medium Risk</v>
      </c>
      <c r="Q919">
        <v>18384</v>
      </c>
      <c r="R919">
        <v>30666</v>
      </c>
      <c r="S919" t="str">
        <f t="shared" si="58"/>
        <v>Yes</v>
      </c>
      <c r="T919">
        <v>28632</v>
      </c>
      <c r="U919" t="str" cm="1">
        <f t="array" ref="U919">_xlfn.IFS(T919&lt;5000,"Small",T919&lt;20000,"Medium",T919&lt;35000,"Large",T919&gt;35000,"Very Large")</f>
        <v>Large</v>
      </c>
      <c r="V919">
        <v>84</v>
      </c>
      <c r="W919">
        <f t="shared" si="59"/>
        <v>7</v>
      </c>
      <c r="X919" t="s">
        <v>47</v>
      </c>
      <c r="Y919" t="s">
        <v>32</v>
      </c>
      <c r="Z919" t="s">
        <v>39</v>
      </c>
      <c r="AA919" t="s">
        <v>34</v>
      </c>
      <c r="AB919" t="s">
        <v>43</v>
      </c>
      <c r="AC919" t="s">
        <v>36</v>
      </c>
    </row>
    <row r="920" spans="1:29" x14ac:dyDescent="0.25">
      <c r="A920">
        <v>968</v>
      </c>
      <c r="B920">
        <v>9970</v>
      </c>
      <c r="C920">
        <v>1403</v>
      </c>
      <c r="D920">
        <f t="shared" si="56"/>
        <v>11373</v>
      </c>
      <c r="E920" t="s">
        <v>29</v>
      </c>
      <c r="F920">
        <v>36</v>
      </c>
      <c r="G920" t="str" cm="1">
        <f t="array" ref="G920">_xlfn.IFS(F920&lt;25,"18-24",F920&lt;35,"25-35",F920&lt;45,"35-44",F920&lt;55,"44-54",F920&gt;=55,"55+")</f>
        <v>35-44</v>
      </c>
      <c r="H920" t="s">
        <v>41</v>
      </c>
      <c r="I920">
        <v>1</v>
      </c>
      <c r="J920" t="str" cm="1">
        <f t="array" ref="J920">_xlfn.IFS(I920&lt;=0,"No Dependents",I920&lt;=1,"One",I920&lt;=2,"Two",I920&gt;=3,"Third")</f>
        <v>One</v>
      </c>
      <c r="K920">
        <v>564</v>
      </c>
      <c r="L920" t="str" cm="1">
        <f t="array" ref="L920">_xlfn.IFS(K920&lt;=580,"Poor",K920&lt;=670,"fair",K920&lt;=740,"Good",K920&lt;=800,"Very Good",K920&gt;=800,"Excellent")</f>
        <v>Poor</v>
      </c>
      <c r="M920">
        <v>2</v>
      </c>
      <c r="N920" t="str">
        <f t="shared" si="57"/>
        <v>Yes</v>
      </c>
      <c r="O920">
        <v>0.14000000000000001</v>
      </c>
      <c r="P920" t="str" cm="1">
        <f t="array" ref="P920">_xlfn.IFS(O920&lt;=0.3,"Low Risk",O920&lt;=0.4,"medium Risk",O920&lt;=0.5,"High Risk",O920&gt;0.5,"Very High Risk")</f>
        <v>Low Risk</v>
      </c>
      <c r="Q920">
        <v>17855</v>
      </c>
      <c r="R920">
        <v>37389</v>
      </c>
      <c r="S920" t="str">
        <f t="shared" si="58"/>
        <v>Yes</v>
      </c>
      <c r="T920">
        <v>3057</v>
      </c>
      <c r="U920" t="str" cm="1">
        <f t="array" ref="U920">_xlfn.IFS(T920&lt;5000,"Small",T920&lt;20000,"Medium",T920&lt;35000,"Large",T920&gt;35000,"Very Large")</f>
        <v>Small</v>
      </c>
      <c r="V920">
        <v>36</v>
      </c>
      <c r="W920">
        <f t="shared" si="59"/>
        <v>3</v>
      </c>
      <c r="X920" t="s">
        <v>42</v>
      </c>
      <c r="Y920" t="s">
        <v>32</v>
      </c>
      <c r="Z920" t="s">
        <v>39</v>
      </c>
      <c r="AA920" t="s">
        <v>40</v>
      </c>
      <c r="AB920" t="s">
        <v>35</v>
      </c>
      <c r="AC920" t="s">
        <v>36</v>
      </c>
    </row>
    <row r="921" spans="1:29" x14ac:dyDescent="0.25">
      <c r="A921">
        <v>969</v>
      </c>
      <c r="B921">
        <v>4143</v>
      </c>
      <c r="C921">
        <v>0</v>
      </c>
      <c r="D921">
        <f t="shared" si="56"/>
        <v>4143</v>
      </c>
      <c r="E921" t="s">
        <v>29</v>
      </c>
      <c r="F921">
        <v>29</v>
      </c>
      <c r="G921" t="str" cm="1">
        <f t="array" ref="G921">_xlfn.IFS(F921&lt;25,"18-24",F921&lt;35,"25-35",F921&lt;45,"35-44",F921&lt;55,"44-54",F921&gt;=55,"55+")</f>
        <v>25-35</v>
      </c>
      <c r="H921" t="s">
        <v>30</v>
      </c>
      <c r="I921">
        <v>1</v>
      </c>
      <c r="J921" t="str" cm="1">
        <f t="array" ref="J921">_xlfn.IFS(I921&lt;=0,"No Dependents",I921&lt;=1,"One",I921&lt;=2,"Two",I921&gt;=3,"Third")</f>
        <v>One</v>
      </c>
      <c r="K921">
        <v>672</v>
      </c>
      <c r="L921" t="str" cm="1">
        <f t="array" ref="L921">_xlfn.IFS(K921&lt;=580,"Poor",K921&lt;=670,"fair",K921&lt;=740,"Good",K921&lt;=800,"Very Good",K921&gt;=800,"Excellent")</f>
        <v>Good</v>
      </c>
      <c r="M921">
        <v>0</v>
      </c>
      <c r="N921" t="str">
        <f t="shared" si="57"/>
        <v>No</v>
      </c>
      <c r="O921">
        <v>0.32</v>
      </c>
      <c r="P921" t="str" cm="1">
        <f t="array" ref="P921">_xlfn.IFS(O921&lt;=0.3,"Low Risk",O921&lt;=0.4,"medium Risk",O921&lt;=0.5,"High Risk",O921&gt;0.5,"Very High Risk")</f>
        <v>medium Risk</v>
      </c>
      <c r="Q921">
        <v>17920</v>
      </c>
      <c r="R921">
        <v>47700</v>
      </c>
      <c r="S921" t="str">
        <f t="shared" si="58"/>
        <v>Yes</v>
      </c>
      <c r="T921">
        <v>34431</v>
      </c>
      <c r="U921" t="str" cm="1">
        <f t="array" ref="U921">_xlfn.IFS(T921&lt;5000,"Small",T921&lt;20000,"Medium",T921&lt;35000,"Large",T921&gt;35000,"Very Large")</f>
        <v>Large</v>
      </c>
      <c r="V921">
        <v>84</v>
      </c>
      <c r="W921">
        <f t="shared" si="59"/>
        <v>7</v>
      </c>
      <c r="X921" t="s">
        <v>31</v>
      </c>
      <c r="Y921" t="s">
        <v>32</v>
      </c>
      <c r="Z921" t="s">
        <v>33</v>
      </c>
      <c r="AA921" t="s">
        <v>40</v>
      </c>
      <c r="AB921" t="s">
        <v>43</v>
      </c>
      <c r="AC921" t="s">
        <v>36</v>
      </c>
    </row>
    <row r="922" spans="1:29" x14ac:dyDescent="0.25">
      <c r="A922">
        <v>970</v>
      </c>
      <c r="B922">
        <v>11503</v>
      </c>
      <c r="C922">
        <v>3292</v>
      </c>
      <c r="D922">
        <f t="shared" si="56"/>
        <v>14795</v>
      </c>
      <c r="E922" t="s">
        <v>29</v>
      </c>
      <c r="F922">
        <v>32</v>
      </c>
      <c r="G922" t="str" cm="1">
        <f t="array" ref="G922">_xlfn.IFS(F922&lt;25,"18-24",F922&lt;35,"25-35",F922&lt;45,"35-44",F922&lt;55,"44-54",F922&gt;=55,"55+")</f>
        <v>25-35</v>
      </c>
      <c r="H922" t="s">
        <v>41</v>
      </c>
      <c r="I922">
        <v>0</v>
      </c>
      <c r="J922" t="str" cm="1">
        <f t="array" ref="J922">_xlfn.IFS(I922&lt;=0,"No Dependents",I922&lt;=1,"One",I922&lt;=2,"Two",I922&gt;=3,"Third")</f>
        <v>No Dependents</v>
      </c>
      <c r="K922">
        <v>693</v>
      </c>
      <c r="L922" t="str" cm="1">
        <f t="array" ref="L922">_xlfn.IFS(K922&lt;=580,"Poor",K922&lt;=670,"fair",K922&lt;=740,"Good",K922&lt;=800,"Very Good",K922&gt;=800,"Excellent")</f>
        <v>Good</v>
      </c>
      <c r="M922">
        <v>2</v>
      </c>
      <c r="N922" t="str">
        <f t="shared" si="57"/>
        <v>Yes</v>
      </c>
      <c r="O922">
        <v>0.19</v>
      </c>
      <c r="P922" t="str" cm="1">
        <f t="array" ref="P922">_xlfn.IFS(O922&lt;=0.3,"Low Risk",O922&lt;=0.4,"medium Risk",O922&lt;=0.5,"High Risk",O922&gt;0.5,"Very High Risk")</f>
        <v>Low Risk</v>
      </c>
      <c r="Q922">
        <v>16702</v>
      </c>
      <c r="R922">
        <v>33607</v>
      </c>
      <c r="S922" t="str">
        <f t="shared" si="58"/>
        <v>Yes</v>
      </c>
      <c r="T922">
        <v>38436</v>
      </c>
      <c r="U922" t="str" cm="1">
        <f t="array" ref="U922">_xlfn.IFS(T922&lt;5000,"Small",T922&lt;20000,"Medium",T922&lt;35000,"Large",T922&gt;35000,"Very Large")</f>
        <v>Very Large</v>
      </c>
      <c r="V922">
        <v>72</v>
      </c>
      <c r="W922">
        <f t="shared" si="59"/>
        <v>6</v>
      </c>
      <c r="X922" t="s">
        <v>50</v>
      </c>
      <c r="Y922" t="s">
        <v>32</v>
      </c>
      <c r="Z922" t="s">
        <v>39</v>
      </c>
      <c r="AA922" t="s">
        <v>40</v>
      </c>
      <c r="AB922" t="s">
        <v>43</v>
      </c>
      <c r="AC922" t="s">
        <v>36</v>
      </c>
    </row>
    <row r="923" spans="1:29" x14ac:dyDescent="0.25">
      <c r="A923">
        <v>971</v>
      </c>
      <c r="B923">
        <v>17149</v>
      </c>
      <c r="C923">
        <v>9011</v>
      </c>
      <c r="D923">
        <f t="shared" si="56"/>
        <v>26160</v>
      </c>
      <c r="E923" t="s">
        <v>49</v>
      </c>
      <c r="F923">
        <v>58</v>
      </c>
      <c r="G923" t="str" cm="1">
        <f t="array" ref="G923">_xlfn.IFS(F923&lt;25,"18-24",F923&lt;35,"25-35",F923&lt;45,"35-44",F923&lt;55,"44-54",F923&gt;=55,"55+")</f>
        <v>55+</v>
      </c>
      <c r="H923" t="s">
        <v>41</v>
      </c>
      <c r="I923">
        <v>2</v>
      </c>
      <c r="J923" t="str" cm="1">
        <f t="array" ref="J923">_xlfn.IFS(I923&lt;=0,"No Dependents",I923&lt;=1,"One",I923&lt;=2,"Two",I923&gt;=3,"Third")</f>
        <v>Two</v>
      </c>
      <c r="K923">
        <v>550</v>
      </c>
      <c r="L923" t="str" cm="1">
        <f t="array" ref="L923">_xlfn.IFS(K923&lt;=580,"Poor",K923&lt;=670,"fair",K923&lt;=740,"Good",K923&lt;=800,"Very Good",K923&gt;=800,"Excellent")</f>
        <v>Poor</v>
      </c>
      <c r="M923">
        <v>2</v>
      </c>
      <c r="N923" t="str">
        <f t="shared" si="57"/>
        <v>Yes</v>
      </c>
      <c r="O923">
        <v>0.59</v>
      </c>
      <c r="P923" t="str" cm="1">
        <f t="array" ref="P923">_xlfn.IFS(O923&lt;=0.3,"Low Risk",O923&lt;=0.4,"medium Risk",O923&lt;=0.5,"High Risk",O923&gt;0.5,"Very High Risk")</f>
        <v>Very High Risk</v>
      </c>
      <c r="Q923">
        <v>5153</v>
      </c>
      <c r="R923">
        <v>24578</v>
      </c>
      <c r="S923" t="str">
        <f t="shared" si="58"/>
        <v>Yes</v>
      </c>
      <c r="T923">
        <v>19413</v>
      </c>
      <c r="U923" t="str" cm="1">
        <f t="array" ref="U923">_xlfn.IFS(T923&lt;5000,"Small",T923&lt;20000,"Medium",T923&lt;35000,"Large",T923&gt;35000,"Very Large")</f>
        <v>Medium</v>
      </c>
      <c r="V923">
        <v>36</v>
      </c>
      <c r="W923">
        <f t="shared" si="59"/>
        <v>3</v>
      </c>
      <c r="X923" t="s">
        <v>50</v>
      </c>
      <c r="Y923" t="s">
        <v>45</v>
      </c>
      <c r="Z923" t="s">
        <v>39</v>
      </c>
      <c r="AA923" t="s">
        <v>40</v>
      </c>
      <c r="AB923" t="s">
        <v>42</v>
      </c>
      <c r="AC923" t="s">
        <v>36</v>
      </c>
    </row>
    <row r="924" spans="1:29" x14ac:dyDescent="0.25">
      <c r="A924">
        <v>972</v>
      </c>
      <c r="B924">
        <v>14175</v>
      </c>
      <c r="C924">
        <v>419</v>
      </c>
      <c r="D924">
        <f t="shared" si="56"/>
        <v>14594</v>
      </c>
      <c r="E924" t="s">
        <v>49</v>
      </c>
      <c r="F924">
        <v>39</v>
      </c>
      <c r="G924" t="str" cm="1">
        <f t="array" ref="G924">_xlfn.IFS(F924&lt;25,"18-24",F924&lt;35,"25-35",F924&lt;45,"35-44",F924&lt;55,"44-54",F924&gt;=55,"55+")</f>
        <v>35-44</v>
      </c>
      <c r="H924" t="s">
        <v>30</v>
      </c>
      <c r="I924">
        <v>2</v>
      </c>
      <c r="J924" t="str" cm="1">
        <f t="array" ref="J924">_xlfn.IFS(I924&lt;=0,"No Dependents",I924&lt;=1,"One",I924&lt;=2,"Two",I924&gt;=3,"Third")</f>
        <v>Two</v>
      </c>
      <c r="K924">
        <v>693</v>
      </c>
      <c r="L924" t="str" cm="1">
        <f t="array" ref="L924">_xlfn.IFS(K924&lt;=580,"Poor",K924&lt;=670,"fair",K924&lt;=740,"Good",K924&lt;=800,"Very Good",K924&gt;=800,"Excellent")</f>
        <v>Good</v>
      </c>
      <c r="M924">
        <v>2</v>
      </c>
      <c r="N924" t="str">
        <f t="shared" si="57"/>
        <v>Yes</v>
      </c>
      <c r="O924">
        <v>0.38</v>
      </c>
      <c r="P924" t="str" cm="1">
        <f t="array" ref="P924">_xlfn.IFS(O924&lt;=0.3,"Low Risk",O924&lt;=0.4,"medium Risk",O924&lt;=0.5,"High Risk",O924&gt;0.5,"Very High Risk")</f>
        <v>medium Risk</v>
      </c>
      <c r="Q924">
        <v>1894</v>
      </c>
      <c r="R924">
        <v>9243</v>
      </c>
      <c r="S924" t="str">
        <f t="shared" si="58"/>
        <v>Yes</v>
      </c>
      <c r="T924">
        <v>31225</v>
      </c>
      <c r="U924" t="str" cm="1">
        <f t="array" ref="U924">_xlfn.IFS(T924&lt;5000,"Small",T924&lt;20000,"Medium",T924&lt;35000,"Large",T924&gt;35000,"Very Large")</f>
        <v>Large</v>
      </c>
      <c r="V924">
        <v>60</v>
      </c>
      <c r="W924">
        <f t="shared" si="59"/>
        <v>5</v>
      </c>
      <c r="X924" t="s">
        <v>42</v>
      </c>
      <c r="Y924" t="s">
        <v>45</v>
      </c>
      <c r="Z924" t="s">
        <v>39</v>
      </c>
      <c r="AA924" t="s">
        <v>34</v>
      </c>
      <c r="AB924" t="s">
        <v>35</v>
      </c>
      <c r="AC924" t="s">
        <v>44</v>
      </c>
    </row>
    <row r="925" spans="1:29" x14ac:dyDescent="0.25">
      <c r="A925">
        <v>973</v>
      </c>
      <c r="B925">
        <v>10356</v>
      </c>
      <c r="C925">
        <v>4517</v>
      </c>
      <c r="D925">
        <f t="shared" si="56"/>
        <v>14873</v>
      </c>
      <c r="E925" t="s">
        <v>48</v>
      </c>
      <c r="F925">
        <v>27</v>
      </c>
      <c r="G925" t="str" cm="1">
        <f t="array" ref="G925">_xlfn.IFS(F925&lt;25,"18-24",F925&lt;35,"25-35",F925&lt;45,"35-44",F925&lt;55,"44-54",F925&gt;=55,"55+")</f>
        <v>25-35</v>
      </c>
      <c r="H925" t="s">
        <v>30</v>
      </c>
      <c r="I925">
        <v>0</v>
      </c>
      <c r="J925" t="str" cm="1">
        <f t="array" ref="J925">_xlfn.IFS(I925&lt;=0,"No Dependents",I925&lt;=1,"One",I925&lt;=2,"Two",I925&gt;=3,"Third")</f>
        <v>No Dependents</v>
      </c>
      <c r="K925">
        <v>714</v>
      </c>
      <c r="L925" t="str" cm="1">
        <f t="array" ref="L925">_xlfn.IFS(K925&lt;=580,"Poor",K925&lt;=670,"fair",K925&lt;=740,"Good",K925&lt;=800,"Very Good",K925&gt;=800,"Excellent")</f>
        <v>Good</v>
      </c>
      <c r="M925">
        <v>4</v>
      </c>
      <c r="N925" t="str">
        <f t="shared" si="57"/>
        <v>Yes</v>
      </c>
      <c r="O925">
        <v>0.44</v>
      </c>
      <c r="P925" t="str" cm="1">
        <f t="array" ref="P925">_xlfn.IFS(O925&lt;=0.3,"Low Risk",O925&lt;=0.4,"medium Risk",O925&lt;=0.5,"High Risk",O925&gt;0.5,"Very High Risk")</f>
        <v>High Risk</v>
      </c>
      <c r="Q925">
        <v>7991</v>
      </c>
      <c r="R925">
        <v>9596</v>
      </c>
      <c r="S925" t="str">
        <f t="shared" si="58"/>
        <v>Yes</v>
      </c>
      <c r="T925">
        <v>39485</v>
      </c>
      <c r="U925" t="str" cm="1">
        <f t="array" ref="U925">_xlfn.IFS(T925&lt;5000,"Small",T925&lt;20000,"Medium",T925&lt;35000,"Large",T925&gt;35000,"Very Large")</f>
        <v>Very Large</v>
      </c>
      <c r="V925">
        <v>84</v>
      </c>
      <c r="W925">
        <f t="shared" si="59"/>
        <v>7</v>
      </c>
      <c r="X925" t="s">
        <v>31</v>
      </c>
      <c r="Y925" t="s">
        <v>45</v>
      </c>
      <c r="Z925" t="s">
        <v>33</v>
      </c>
      <c r="AA925" t="s">
        <v>40</v>
      </c>
      <c r="AB925" t="s">
        <v>35</v>
      </c>
      <c r="AC925" t="s">
        <v>36</v>
      </c>
    </row>
    <row r="926" spans="1:29" x14ac:dyDescent="0.25">
      <c r="A926">
        <v>974</v>
      </c>
      <c r="B926">
        <v>17070</v>
      </c>
      <c r="C926">
        <v>3302</v>
      </c>
      <c r="D926">
        <f t="shared" si="56"/>
        <v>20372</v>
      </c>
      <c r="E926" t="s">
        <v>46</v>
      </c>
      <c r="F926">
        <v>55</v>
      </c>
      <c r="G926" t="str" cm="1">
        <f t="array" ref="G926">_xlfn.IFS(F926&lt;25,"18-24",F926&lt;35,"25-35",F926&lt;45,"35-44",F926&lt;55,"44-54",F926&gt;=55,"55+")</f>
        <v>55+</v>
      </c>
      <c r="H926" t="s">
        <v>30</v>
      </c>
      <c r="I926">
        <v>0</v>
      </c>
      <c r="J926" t="str" cm="1">
        <f t="array" ref="J926">_xlfn.IFS(I926&lt;=0,"No Dependents",I926&lt;=1,"One",I926&lt;=2,"Two",I926&gt;=3,"Third")</f>
        <v>No Dependents</v>
      </c>
      <c r="K926">
        <v>552</v>
      </c>
      <c r="L926" t="str" cm="1">
        <f t="array" ref="L926">_xlfn.IFS(K926&lt;=580,"Poor",K926&lt;=670,"fair",K926&lt;=740,"Good",K926&lt;=800,"Very Good",K926&gt;=800,"Excellent")</f>
        <v>Poor</v>
      </c>
      <c r="M926">
        <v>4</v>
      </c>
      <c r="N926" t="str">
        <f t="shared" si="57"/>
        <v>Yes</v>
      </c>
      <c r="O926">
        <v>0.26</v>
      </c>
      <c r="P926" t="str" cm="1">
        <f t="array" ref="P926">_xlfn.IFS(O926&lt;=0.3,"Low Risk",O926&lt;=0.4,"medium Risk",O926&lt;=0.5,"High Risk",O926&gt;0.5,"Very High Risk")</f>
        <v>Low Risk</v>
      </c>
      <c r="Q926">
        <v>15439</v>
      </c>
      <c r="R926">
        <v>6998</v>
      </c>
      <c r="S926" t="str">
        <f t="shared" si="58"/>
        <v>Yes</v>
      </c>
      <c r="T926">
        <v>3696</v>
      </c>
      <c r="U926" t="str" cm="1">
        <f t="array" ref="U926">_xlfn.IFS(T926&lt;5000,"Small",T926&lt;20000,"Medium",T926&lt;35000,"Large",T926&gt;35000,"Very Large")</f>
        <v>Small</v>
      </c>
      <c r="V926">
        <v>48</v>
      </c>
      <c r="W926">
        <f t="shared" si="59"/>
        <v>4</v>
      </c>
      <c r="X926" t="s">
        <v>50</v>
      </c>
      <c r="Y926" t="s">
        <v>32</v>
      </c>
      <c r="Z926" t="s">
        <v>33</v>
      </c>
      <c r="AA926" t="s">
        <v>40</v>
      </c>
      <c r="AB926" t="s">
        <v>42</v>
      </c>
      <c r="AC926" t="s">
        <v>36</v>
      </c>
    </row>
    <row r="927" spans="1:29" x14ac:dyDescent="0.25">
      <c r="A927">
        <v>975</v>
      </c>
      <c r="B927">
        <v>2822</v>
      </c>
      <c r="C927">
        <v>7857</v>
      </c>
      <c r="D927">
        <f t="shared" si="56"/>
        <v>10679</v>
      </c>
      <c r="E927" t="s">
        <v>29</v>
      </c>
      <c r="F927">
        <v>38</v>
      </c>
      <c r="G927" t="str" cm="1">
        <f t="array" ref="G927">_xlfn.IFS(F927&lt;25,"18-24",F927&lt;35,"25-35",F927&lt;45,"35-44",F927&lt;55,"44-54",F927&gt;=55,"55+")</f>
        <v>35-44</v>
      </c>
      <c r="H927" t="s">
        <v>41</v>
      </c>
      <c r="I927">
        <v>3</v>
      </c>
      <c r="J927" t="str" cm="1">
        <f t="array" ref="J927">_xlfn.IFS(I927&lt;=0,"No Dependents",I927&lt;=1,"One",I927&lt;=2,"Two",I927&gt;=3,"Third")</f>
        <v>Third</v>
      </c>
      <c r="K927">
        <v>729</v>
      </c>
      <c r="L927" t="str" cm="1">
        <f t="array" ref="L927">_xlfn.IFS(K927&lt;=580,"Poor",K927&lt;=670,"fair",K927&lt;=740,"Good",K927&lt;=800,"Very Good",K927&gt;=800,"Excellent")</f>
        <v>Good</v>
      </c>
      <c r="M927">
        <v>1</v>
      </c>
      <c r="N927" t="str">
        <f t="shared" si="57"/>
        <v>Yes</v>
      </c>
      <c r="O927">
        <v>0.15</v>
      </c>
      <c r="P927" t="str" cm="1">
        <f t="array" ref="P927">_xlfn.IFS(O927&lt;=0.3,"Low Risk",O927&lt;=0.4,"medium Risk",O927&lt;=0.5,"High Risk",O927&gt;0.5,"Very High Risk")</f>
        <v>Low Risk</v>
      </c>
      <c r="Q927">
        <v>9467</v>
      </c>
      <c r="R927">
        <v>10129</v>
      </c>
      <c r="S927" t="str">
        <f t="shared" si="58"/>
        <v>Yes</v>
      </c>
      <c r="T927">
        <v>17101</v>
      </c>
      <c r="U927" t="str" cm="1">
        <f t="array" ref="U927">_xlfn.IFS(T927&lt;5000,"Small",T927&lt;20000,"Medium",T927&lt;35000,"Large",T927&gt;35000,"Very Large")</f>
        <v>Medium</v>
      </c>
      <c r="V927">
        <v>72</v>
      </c>
      <c r="W927">
        <f t="shared" si="59"/>
        <v>6</v>
      </c>
      <c r="X927" t="s">
        <v>42</v>
      </c>
      <c r="Y927" t="s">
        <v>32</v>
      </c>
      <c r="Z927" t="s">
        <v>33</v>
      </c>
      <c r="AA927" t="s">
        <v>40</v>
      </c>
      <c r="AB927" t="s">
        <v>43</v>
      </c>
      <c r="AC927" t="s">
        <v>36</v>
      </c>
    </row>
    <row r="928" spans="1:29" x14ac:dyDescent="0.25">
      <c r="A928">
        <v>976</v>
      </c>
      <c r="B928">
        <v>19327</v>
      </c>
      <c r="C928">
        <v>0</v>
      </c>
      <c r="D928">
        <f t="shared" si="56"/>
        <v>19327</v>
      </c>
      <c r="E928" t="s">
        <v>29</v>
      </c>
      <c r="F928">
        <v>36</v>
      </c>
      <c r="G928" t="str" cm="1">
        <f t="array" ref="G928">_xlfn.IFS(F928&lt;25,"18-24",F928&lt;35,"25-35",F928&lt;45,"35-44",F928&lt;55,"44-54",F928&gt;=55,"55+")</f>
        <v>35-44</v>
      </c>
      <c r="H928" t="s">
        <v>41</v>
      </c>
      <c r="I928">
        <v>3</v>
      </c>
      <c r="J928" t="str" cm="1">
        <f t="array" ref="J928">_xlfn.IFS(I928&lt;=0,"No Dependents",I928&lt;=1,"One",I928&lt;=2,"Two",I928&gt;=3,"Third")</f>
        <v>Third</v>
      </c>
      <c r="K928">
        <v>596</v>
      </c>
      <c r="L928" t="str" cm="1">
        <f t="array" ref="L928">_xlfn.IFS(K928&lt;=580,"Poor",K928&lt;=670,"fair",K928&lt;=740,"Good",K928&lt;=800,"Very Good",K928&gt;=800,"Excellent")</f>
        <v>fair</v>
      </c>
      <c r="M928">
        <v>0</v>
      </c>
      <c r="N928" t="str">
        <f t="shared" si="57"/>
        <v>No</v>
      </c>
      <c r="O928">
        <v>0.59</v>
      </c>
      <c r="P928" t="str" cm="1">
        <f t="array" ref="P928">_xlfn.IFS(O928&lt;=0.3,"Low Risk",O928&lt;=0.4,"medium Risk",O928&lt;=0.5,"High Risk",O928&gt;0.5,"Very High Risk")</f>
        <v>Very High Risk</v>
      </c>
      <c r="Q928">
        <v>5935</v>
      </c>
      <c r="R928">
        <v>510</v>
      </c>
      <c r="S928" t="str">
        <f t="shared" si="58"/>
        <v>Yes</v>
      </c>
      <c r="T928">
        <v>9831</v>
      </c>
      <c r="U928" t="str" cm="1">
        <f t="array" ref="U928">_xlfn.IFS(T928&lt;5000,"Small",T928&lt;20000,"Medium",T928&lt;35000,"Large",T928&gt;35000,"Very Large")</f>
        <v>Medium</v>
      </c>
      <c r="V928">
        <v>24</v>
      </c>
      <c r="W928">
        <f t="shared" si="59"/>
        <v>2</v>
      </c>
      <c r="X928" t="s">
        <v>42</v>
      </c>
      <c r="Y928" t="s">
        <v>38</v>
      </c>
      <c r="Z928" t="s">
        <v>39</v>
      </c>
      <c r="AA928" t="s">
        <v>40</v>
      </c>
      <c r="AB928" t="s">
        <v>35</v>
      </c>
      <c r="AC928" t="s">
        <v>36</v>
      </c>
    </row>
    <row r="929" spans="1:29" x14ac:dyDescent="0.25">
      <c r="A929">
        <v>977</v>
      </c>
      <c r="B929">
        <v>16289</v>
      </c>
      <c r="C929">
        <v>0</v>
      </c>
      <c r="D929">
        <f t="shared" si="56"/>
        <v>16289</v>
      </c>
      <c r="E929" t="s">
        <v>46</v>
      </c>
      <c r="F929">
        <v>59</v>
      </c>
      <c r="G929" t="str" cm="1">
        <f t="array" ref="G929">_xlfn.IFS(F929&lt;25,"18-24",F929&lt;35,"25-35",F929&lt;45,"35-44",F929&lt;55,"44-54",F929&gt;=55,"55+")</f>
        <v>55+</v>
      </c>
      <c r="H929" t="s">
        <v>41</v>
      </c>
      <c r="I929">
        <v>1</v>
      </c>
      <c r="J929" t="str" cm="1">
        <f t="array" ref="J929">_xlfn.IFS(I929&lt;=0,"No Dependents",I929&lt;=1,"One",I929&lt;=2,"Two",I929&gt;=3,"Third")</f>
        <v>One</v>
      </c>
      <c r="K929">
        <v>644</v>
      </c>
      <c r="L929" t="str" cm="1">
        <f t="array" ref="L929">_xlfn.IFS(K929&lt;=580,"Poor",K929&lt;=670,"fair",K929&lt;=740,"Good",K929&lt;=800,"Very Good",K929&gt;=800,"Excellent")</f>
        <v>fair</v>
      </c>
      <c r="M929">
        <v>3</v>
      </c>
      <c r="N929" t="str">
        <f t="shared" si="57"/>
        <v>Yes</v>
      </c>
      <c r="O929">
        <v>0.24</v>
      </c>
      <c r="P929" t="str" cm="1">
        <f t="array" ref="P929">_xlfn.IFS(O929&lt;=0.3,"Low Risk",O929&lt;=0.4,"medium Risk",O929&lt;=0.5,"High Risk",O929&gt;0.5,"Very High Risk")</f>
        <v>Low Risk</v>
      </c>
      <c r="Q929">
        <v>17107</v>
      </c>
      <c r="R929">
        <v>11596</v>
      </c>
      <c r="S929" t="str">
        <f t="shared" si="58"/>
        <v>Yes</v>
      </c>
      <c r="T929">
        <v>20047</v>
      </c>
      <c r="U929" t="str" cm="1">
        <f t="array" ref="U929">_xlfn.IFS(T929&lt;5000,"Small",T929&lt;20000,"Medium",T929&lt;35000,"Large",T929&gt;35000,"Very Large")</f>
        <v>Large</v>
      </c>
      <c r="V929">
        <v>60</v>
      </c>
      <c r="W929">
        <f t="shared" si="59"/>
        <v>5</v>
      </c>
      <c r="X929" t="s">
        <v>47</v>
      </c>
      <c r="Y929" t="s">
        <v>32</v>
      </c>
      <c r="Z929" t="s">
        <v>33</v>
      </c>
      <c r="AA929" t="s">
        <v>40</v>
      </c>
      <c r="AB929" t="s">
        <v>48</v>
      </c>
      <c r="AC929" t="s">
        <v>36</v>
      </c>
    </row>
    <row r="930" spans="1:29" x14ac:dyDescent="0.25">
      <c r="A930">
        <v>978</v>
      </c>
      <c r="B930">
        <v>8150</v>
      </c>
      <c r="C930">
        <v>5693</v>
      </c>
      <c r="D930">
        <f t="shared" si="56"/>
        <v>13843</v>
      </c>
      <c r="E930" t="s">
        <v>46</v>
      </c>
      <c r="F930">
        <v>24</v>
      </c>
      <c r="G930" t="str" cm="1">
        <f t="array" ref="G930">_xlfn.IFS(F930&lt;25,"18-24",F930&lt;35,"25-35",F930&lt;45,"35-44",F930&lt;55,"44-54",F930&gt;=55,"55+")</f>
        <v>18-24</v>
      </c>
      <c r="H930" t="s">
        <v>30</v>
      </c>
      <c r="I930">
        <v>2</v>
      </c>
      <c r="J930" t="str" cm="1">
        <f t="array" ref="J930">_xlfn.IFS(I930&lt;=0,"No Dependents",I930&lt;=1,"One",I930&lt;=2,"Two",I930&gt;=3,"Third")</f>
        <v>Two</v>
      </c>
      <c r="K930">
        <v>562</v>
      </c>
      <c r="L930" t="str" cm="1">
        <f t="array" ref="L930">_xlfn.IFS(K930&lt;=580,"Poor",K930&lt;=670,"fair",K930&lt;=740,"Good",K930&lt;=800,"Very Good",K930&gt;=800,"Excellent")</f>
        <v>Poor</v>
      </c>
      <c r="M930">
        <v>2</v>
      </c>
      <c r="N930" t="str">
        <f t="shared" si="57"/>
        <v>Yes</v>
      </c>
      <c r="O930">
        <v>0.31</v>
      </c>
      <c r="P930" t="str" cm="1">
        <f t="array" ref="P930">_xlfn.IFS(O930&lt;=0.3,"Low Risk",O930&lt;=0.4,"medium Risk",O930&lt;=0.5,"High Risk",O930&gt;0.5,"Very High Risk")</f>
        <v>medium Risk</v>
      </c>
      <c r="Q930">
        <v>2329</v>
      </c>
      <c r="R930">
        <v>12974</v>
      </c>
      <c r="S930" t="str">
        <f t="shared" si="58"/>
        <v>Yes</v>
      </c>
      <c r="T930">
        <v>6004</v>
      </c>
      <c r="U930" t="str" cm="1">
        <f t="array" ref="U930">_xlfn.IFS(T930&lt;5000,"Small",T930&lt;20000,"Medium",T930&lt;35000,"Large",T930&gt;35000,"Very Large")</f>
        <v>Medium</v>
      </c>
      <c r="V930">
        <v>36</v>
      </c>
      <c r="W930">
        <f t="shared" si="59"/>
        <v>3</v>
      </c>
      <c r="X930" t="s">
        <v>50</v>
      </c>
      <c r="Y930" t="s">
        <v>32</v>
      </c>
      <c r="Z930" t="s">
        <v>39</v>
      </c>
      <c r="AA930" t="s">
        <v>34</v>
      </c>
      <c r="AB930" t="s">
        <v>48</v>
      </c>
      <c r="AC930" t="s">
        <v>36</v>
      </c>
    </row>
    <row r="931" spans="1:29" x14ac:dyDescent="0.25">
      <c r="A931">
        <v>979</v>
      </c>
      <c r="B931">
        <v>6425</v>
      </c>
      <c r="C931">
        <v>0</v>
      </c>
      <c r="D931">
        <f t="shared" si="56"/>
        <v>6425</v>
      </c>
      <c r="E931" t="s">
        <v>48</v>
      </c>
      <c r="F931">
        <v>45</v>
      </c>
      <c r="G931" t="str" cm="1">
        <f t="array" ref="G931">_xlfn.IFS(F931&lt;25,"18-24",F931&lt;35,"25-35",F931&lt;45,"35-44",F931&lt;55,"44-54",F931&gt;=55,"55+")</f>
        <v>44-54</v>
      </c>
      <c r="H931" t="s">
        <v>41</v>
      </c>
      <c r="I931">
        <v>0</v>
      </c>
      <c r="J931" t="str" cm="1">
        <f t="array" ref="J931">_xlfn.IFS(I931&lt;=0,"No Dependents",I931&lt;=1,"One",I931&lt;=2,"Two",I931&gt;=3,"Third")</f>
        <v>No Dependents</v>
      </c>
      <c r="K931">
        <v>669</v>
      </c>
      <c r="L931" t="str" cm="1">
        <f t="array" ref="L931">_xlfn.IFS(K931&lt;=580,"Poor",K931&lt;=670,"fair",K931&lt;=740,"Good",K931&lt;=800,"Very Good",K931&gt;=800,"Excellent")</f>
        <v>fair</v>
      </c>
      <c r="M931">
        <v>0</v>
      </c>
      <c r="N931" t="str">
        <f t="shared" si="57"/>
        <v>No</v>
      </c>
      <c r="O931">
        <v>0.42</v>
      </c>
      <c r="P931" t="str" cm="1">
        <f t="array" ref="P931">_xlfn.IFS(O931&lt;=0.3,"Low Risk",O931&lt;=0.4,"medium Risk",O931&lt;=0.5,"High Risk",O931&gt;0.5,"Very High Risk")</f>
        <v>High Risk</v>
      </c>
      <c r="Q931">
        <v>9327</v>
      </c>
      <c r="R931">
        <v>1137</v>
      </c>
      <c r="S931" t="str">
        <f t="shared" si="58"/>
        <v>Yes</v>
      </c>
      <c r="T931">
        <v>23705</v>
      </c>
      <c r="U931" t="str" cm="1">
        <f t="array" ref="U931">_xlfn.IFS(T931&lt;5000,"Small",T931&lt;20000,"Medium",T931&lt;35000,"Large",T931&gt;35000,"Very Large")</f>
        <v>Large</v>
      </c>
      <c r="V931">
        <v>84</v>
      </c>
      <c r="W931">
        <f t="shared" si="59"/>
        <v>7</v>
      </c>
      <c r="X931" t="s">
        <v>31</v>
      </c>
      <c r="Y931" t="s">
        <v>38</v>
      </c>
      <c r="Z931" t="s">
        <v>33</v>
      </c>
      <c r="AA931" t="s">
        <v>34</v>
      </c>
      <c r="AB931" t="s">
        <v>51</v>
      </c>
      <c r="AC931" t="s">
        <v>36</v>
      </c>
    </row>
    <row r="932" spans="1:29" x14ac:dyDescent="0.25">
      <c r="A932">
        <v>980</v>
      </c>
      <c r="B932">
        <v>18032</v>
      </c>
      <c r="C932">
        <v>2044</v>
      </c>
      <c r="D932">
        <f t="shared" si="56"/>
        <v>20076</v>
      </c>
      <c r="E932" t="s">
        <v>29</v>
      </c>
      <c r="F932">
        <v>52</v>
      </c>
      <c r="G932" t="str" cm="1">
        <f t="array" ref="G932">_xlfn.IFS(F932&lt;25,"18-24",F932&lt;35,"25-35",F932&lt;45,"35-44",F932&lt;55,"44-54",F932&gt;=55,"55+")</f>
        <v>44-54</v>
      </c>
      <c r="H932" t="s">
        <v>41</v>
      </c>
      <c r="I932">
        <v>2</v>
      </c>
      <c r="J932" t="str" cm="1">
        <f t="array" ref="J932">_xlfn.IFS(I932&lt;=0,"No Dependents",I932&lt;=1,"One",I932&lt;=2,"Two",I932&gt;=3,"Third")</f>
        <v>Two</v>
      </c>
      <c r="K932">
        <v>757</v>
      </c>
      <c r="L932" t="str" cm="1">
        <f t="array" ref="L932">_xlfn.IFS(K932&lt;=580,"Poor",K932&lt;=670,"fair",K932&lt;=740,"Good",K932&lt;=800,"Very Good",K932&gt;=800,"Excellent")</f>
        <v>Very Good</v>
      </c>
      <c r="M932">
        <v>0</v>
      </c>
      <c r="N932" t="str">
        <f t="shared" si="57"/>
        <v>No</v>
      </c>
      <c r="O932">
        <v>0.11</v>
      </c>
      <c r="P932" t="str" cm="1">
        <f t="array" ref="P932">_xlfn.IFS(O932&lt;=0.3,"Low Risk",O932&lt;=0.4,"medium Risk",O932&lt;=0.5,"High Risk",O932&gt;0.5,"Very High Risk")</f>
        <v>Low Risk</v>
      </c>
      <c r="Q932">
        <v>2770</v>
      </c>
      <c r="R932">
        <v>46468</v>
      </c>
      <c r="S932" t="str">
        <f t="shared" si="58"/>
        <v>Yes</v>
      </c>
      <c r="T932">
        <v>22509</v>
      </c>
      <c r="U932" t="str" cm="1">
        <f t="array" ref="U932">_xlfn.IFS(T932&lt;5000,"Small",T932&lt;20000,"Medium",T932&lt;35000,"Large",T932&gt;35000,"Very Large")</f>
        <v>Large</v>
      </c>
      <c r="V932">
        <v>48</v>
      </c>
      <c r="W932">
        <f t="shared" si="59"/>
        <v>4</v>
      </c>
      <c r="X932" t="s">
        <v>42</v>
      </c>
      <c r="Y932" t="s">
        <v>32</v>
      </c>
      <c r="Z932" t="s">
        <v>39</v>
      </c>
      <c r="AA932" t="s">
        <v>40</v>
      </c>
      <c r="AB932" t="s">
        <v>51</v>
      </c>
      <c r="AC932" t="s">
        <v>44</v>
      </c>
    </row>
    <row r="933" spans="1:29" x14ac:dyDescent="0.25">
      <c r="A933">
        <v>981</v>
      </c>
      <c r="B933">
        <v>4198</v>
      </c>
      <c r="C933">
        <v>1549</v>
      </c>
      <c r="D933">
        <f t="shared" si="56"/>
        <v>5747</v>
      </c>
      <c r="E933" t="s">
        <v>46</v>
      </c>
      <c r="F933">
        <v>33</v>
      </c>
      <c r="G933" t="str" cm="1">
        <f t="array" ref="G933">_xlfn.IFS(F933&lt;25,"18-24",F933&lt;35,"25-35",F933&lt;45,"35-44",F933&lt;55,"44-54",F933&gt;=55,"55+")</f>
        <v>25-35</v>
      </c>
      <c r="H933" t="s">
        <v>41</v>
      </c>
      <c r="I933">
        <v>3</v>
      </c>
      <c r="J933" t="str" cm="1">
        <f t="array" ref="J933">_xlfn.IFS(I933&lt;=0,"No Dependents",I933&lt;=1,"One",I933&lt;=2,"Two",I933&gt;=3,"Third")</f>
        <v>Third</v>
      </c>
      <c r="K933">
        <v>604</v>
      </c>
      <c r="L933" t="str" cm="1">
        <f t="array" ref="L933">_xlfn.IFS(K933&lt;=580,"Poor",K933&lt;=670,"fair",K933&lt;=740,"Good",K933&lt;=800,"Very Good",K933&gt;=800,"Excellent")</f>
        <v>fair</v>
      </c>
      <c r="M933">
        <v>1</v>
      </c>
      <c r="N933" t="str">
        <f t="shared" si="57"/>
        <v>Yes</v>
      </c>
      <c r="O933">
        <v>0.51</v>
      </c>
      <c r="P933" t="str" cm="1">
        <f t="array" ref="P933">_xlfn.IFS(O933&lt;=0.3,"Low Risk",O933&lt;=0.4,"medium Risk",O933&lt;=0.5,"High Risk",O933&gt;0.5,"Very High Risk")</f>
        <v>Very High Risk</v>
      </c>
      <c r="Q933">
        <v>4846</v>
      </c>
      <c r="R933">
        <v>27897</v>
      </c>
      <c r="S933" t="str">
        <f t="shared" si="58"/>
        <v>Yes</v>
      </c>
      <c r="T933">
        <v>38170</v>
      </c>
      <c r="U933" t="str" cm="1">
        <f t="array" ref="U933">_xlfn.IFS(T933&lt;5000,"Small",T933&lt;20000,"Medium",T933&lt;35000,"Large",T933&gt;35000,"Very Large")</f>
        <v>Very Large</v>
      </c>
      <c r="V933">
        <v>12</v>
      </c>
      <c r="W933">
        <f t="shared" si="59"/>
        <v>1</v>
      </c>
      <c r="X933" t="s">
        <v>50</v>
      </c>
      <c r="Y933" t="s">
        <v>32</v>
      </c>
      <c r="Z933" t="s">
        <v>39</v>
      </c>
      <c r="AA933" t="s">
        <v>40</v>
      </c>
      <c r="AB933" t="s">
        <v>35</v>
      </c>
      <c r="AC933" t="s">
        <v>36</v>
      </c>
    </row>
    <row r="934" spans="1:29" x14ac:dyDescent="0.25">
      <c r="A934">
        <v>982</v>
      </c>
      <c r="B934">
        <v>5452</v>
      </c>
      <c r="C934">
        <v>9956</v>
      </c>
      <c r="D934">
        <f t="shared" si="56"/>
        <v>15408</v>
      </c>
      <c r="E934" t="s">
        <v>46</v>
      </c>
      <c r="F934">
        <v>37</v>
      </c>
      <c r="G934" t="str" cm="1">
        <f t="array" ref="G934">_xlfn.IFS(F934&lt;25,"18-24",F934&lt;35,"25-35",F934&lt;45,"35-44",F934&lt;55,"44-54",F934&gt;=55,"55+")</f>
        <v>35-44</v>
      </c>
      <c r="H934" t="s">
        <v>41</v>
      </c>
      <c r="I934">
        <v>2</v>
      </c>
      <c r="J934" t="str" cm="1">
        <f t="array" ref="J934">_xlfn.IFS(I934&lt;=0,"No Dependents",I934&lt;=1,"One",I934&lt;=2,"Two",I934&gt;=3,"Third")</f>
        <v>Two</v>
      </c>
      <c r="K934">
        <v>784</v>
      </c>
      <c r="L934" t="str" cm="1">
        <f t="array" ref="L934">_xlfn.IFS(K934&lt;=580,"Poor",K934&lt;=670,"fair",K934&lt;=740,"Good",K934&lt;=800,"Very Good",K934&gt;=800,"Excellent")</f>
        <v>Very Good</v>
      </c>
      <c r="M934">
        <v>3</v>
      </c>
      <c r="N934" t="str">
        <f t="shared" si="57"/>
        <v>Yes</v>
      </c>
      <c r="O934">
        <v>0.37</v>
      </c>
      <c r="P934" t="str" cm="1">
        <f t="array" ref="P934">_xlfn.IFS(O934&lt;=0.3,"Low Risk",O934&lt;=0.4,"medium Risk",O934&lt;=0.5,"High Risk",O934&gt;0.5,"Very High Risk")</f>
        <v>medium Risk</v>
      </c>
      <c r="Q934">
        <v>16651</v>
      </c>
      <c r="R934">
        <v>4666</v>
      </c>
      <c r="S934" t="str">
        <f t="shared" si="58"/>
        <v>Yes</v>
      </c>
      <c r="T934">
        <v>15662</v>
      </c>
      <c r="U934" t="str" cm="1">
        <f t="array" ref="U934">_xlfn.IFS(T934&lt;5000,"Small",T934&lt;20000,"Medium",T934&lt;35000,"Large",T934&gt;35000,"Very Large")</f>
        <v>Medium</v>
      </c>
      <c r="V934">
        <v>48</v>
      </c>
      <c r="W934">
        <f t="shared" si="59"/>
        <v>4</v>
      </c>
      <c r="X934" t="s">
        <v>50</v>
      </c>
      <c r="Y934" t="s">
        <v>32</v>
      </c>
      <c r="Z934" t="s">
        <v>39</v>
      </c>
      <c r="AA934" t="s">
        <v>40</v>
      </c>
      <c r="AB934" t="s">
        <v>48</v>
      </c>
      <c r="AC934" t="s">
        <v>44</v>
      </c>
    </row>
    <row r="935" spans="1:29" x14ac:dyDescent="0.25">
      <c r="A935">
        <v>983</v>
      </c>
      <c r="B935">
        <v>11106</v>
      </c>
      <c r="C935">
        <v>6140</v>
      </c>
      <c r="D935">
        <f t="shared" si="56"/>
        <v>17246</v>
      </c>
      <c r="E935" t="s">
        <v>46</v>
      </c>
      <c r="F935">
        <v>57</v>
      </c>
      <c r="G935" t="str" cm="1">
        <f t="array" ref="G935">_xlfn.IFS(F935&lt;25,"18-24",F935&lt;35,"25-35",F935&lt;45,"35-44",F935&lt;55,"44-54",F935&gt;=55,"55+")</f>
        <v>55+</v>
      </c>
      <c r="H935" t="s">
        <v>30</v>
      </c>
      <c r="I935">
        <v>3</v>
      </c>
      <c r="J935" t="str" cm="1">
        <f t="array" ref="J935">_xlfn.IFS(I935&lt;=0,"No Dependents",I935&lt;=1,"One",I935&lt;=2,"Two",I935&gt;=3,"Third")</f>
        <v>Third</v>
      </c>
      <c r="K935">
        <v>698</v>
      </c>
      <c r="L935" t="str" cm="1">
        <f t="array" ref="L935">_xlfn.IFS(K935&lt;=580,"Poor",K935&lt;=670,"fair",K935&lt;=740,"Good",K935&lt;=800,"Very Good",K935&gt;=800,"Excellent")</f>
        <v>Good</v>
      </c>
      <c r="M935">
        <v>2</v>
      </c>
      <c r="N935" t="str">
        <f t="shared" si="57"/>
        <v>Yes</v>
      </c>
      <c r="O935">
        <v>0.24</v>
      </c>
      <c r="P935" t="str" cm="1">
        <f t="array" ref="P935">_xlfn.IFS(O935&lt;=0.3,"Low Risk",O935&lt;=0.4,"medium Risk",O935&lt;=0.5,"High Risk",O935&gt;0.5,"Very High Risk")</f>
        <v>Low Risk</v>
      </c>
      <c r="Q935">
        <v>16276</v>
      </c>
      <c r="R935">
        <v>8906</v>
      </c>
      <c r="S935" t="str">
        <f t="shared" si="58"/>
        <v>Yes</v>
      </c>
      <c r="T935">
        <v>39680</v>
      </c>
      <c r="U935" t="str" cm="1">
        <f t="array" ref="U935">_xlfn.IFS(T935&lt;5000,"Small",T935&lt;20000,"Medium",T935&lt;35000,"Large",T935&gt;35000,"Very Large")</f>
        <v>Very Large</v>
      </c>
      <c r="V935">
        <v>48</v>
      </c>
      <c r="W935">
        <f t="shared" si="59"/>
        <v>4</v>
      </c>
      <c r="X935" t="s">
        <v>42</v>
      </c>
      <c r="Y935" t="s">
        <v>32</v>
      </c>
      <c r="Z935" t="s">
        <v>33</v>
      </c>
      <c r="AA935" t="s">
        <v>34</v>
      </c>
      <c r="AB935" t="s">
        <v>43</v>
      </c>
      <c r="AC935" t="s">
        <v>44</v>
      </c>
    </row>
    <row r="936" spans="1:29" x14ac:dyDescent="0.25">
      <c r="A936">
        <v>984</v>
      </c>
      <c r="B936">
        <v>15859</v>
      </c>
      <c r="C936">
        <v>3716</v>
      </c>
      <c r="D936">
        <f t="shared" si="56"/>
        <v>19575</v>
      </c>
      <c r="E936" t="s">
        <v>46</v>
      </c>
      <c r="F936">
        <v>26</v>
      </c>
      <c r="G936" t="str" cm="1">
        <f t="array" ref="G936">_xlfn.IFS(F936&lt;25,"18-24",F936&lt;35,"25-35",F936&lt;45,"35-44",F936&lt;55,"44-54",F936&gt;=55,"55+")</f>
        <v>25-35</v>
      </c>
      <c r="H936" t="s">
        <v>30</v>
      </c>
      <c r="I936">
        <v>0</v>
      </c>
      <c r="J936" t="str" cm="1">
        <f t="array" ref="J936">_xlfn.IFS(I936&lt;=0,"No Dependents",I936&lt;=1,"One",I936&lt;=2,"Two",I936&gt;=3,"Third")</f>
        <v>No Dependents</v>
      </c>
      <c r="K936">
        <v>615</v>
      </c>
      <c r="L936" t="str" cm="1">
        <f t="array" ref="L936">_xlfn.IFS(K936&lt;=580,"Poor",K936&lt;=670,"fair",K936&lt;=740,"Good",K936&lt;=800,"Very Good",K936&gt;=800,"Excellent")</f>
        <v>fair</v>
      </c>
      <c r="M936">
        <v>3</v>
      </c>
      <c r="N936" t="str">
        <f t="shared" si="57"/>
        <v>Yes</v>
      </c>
      <c r="O936">
        <v>0.13</v>
      </c>
      <c r="P936" t="str" cm="1">
        <f t="array" ref="P936">_xlfn.IFS(O936&lt;=0.3,"Low Risk",O936&lt;=0.4,"medium Risk",O936&lt;=0.5,"High Risk",O936&gt;0.5,"Very High Risk")</f>
        <v>Low Risk</v>
      </c>
      <c r="Q936">
        <v>14633</v>
      </c>
      <c r="R936">
        <v>21818</v>
      </c>
      <c r="S936" t="str">
        <f t="shared" si="58"/>
        <v>Yes</v>
      </c>
      <c r="T936">
        <v>1394</v>
      </c>
      <c r="U936" t="str" cm="1">
        <f t="array" ref="U936">_xlfn.IFS(T936&lt;5000,"Small",T936&lt;20000,"Medium",T936&lt;35000,"Large",T936&gt;35000,"Very Large")</f>
        <v>Small</v>
      </c>
      <c r="V936">
        <v>72</v>
      </c>
      <c r="W936">
        <f t="shared" si="59"/>
        <v>6</v>
      </c>
      <c r="X936" t="s">
        <v>37</v>
      </c>
      <c r="Y936" t="s">
        <v>32</v>
      </c>
      <c r="Z936" t="s">
        <v>33</v>
      </c>
      <c r="AA936" t="s">
        <v>40</v>
      </c>
      <c r="AB936" t="s">
        <v>35</v>
      </c>
      <c r="AC936" t="s">
        <v>36</v>
      </c>
    </row>
    <row r="937" spans="1:29" x14ac:dyDescent="0.25">
      <c r="A937">
        <v>985</v>
      </c>
      <c r="B937">
        <v>19692</v>
      </c>
      <c r="C937">
        <v>4481</v>
      </c>
      <c r="D937">
        <f t="shared" si="56"/>
        <v>24173</v>
      </c>
      <c r="E937" t="s">
        <v>49</v>
      </c>
      <c r="F937">
        <v>39</v>
      </c>
      <c r="G937" t="str" cm="1">
        <f t="array" ref="G937">_xlfn.IFS(F937&lt;25,"18-24",F937&lt;35,"25-35",F937&lt;45,"35-44",F937&lt;55,"44-54",F937&gt;=55,"55+")</f>
        <v>35-44</v>
      </c>
      <c r="H937" t="s">
        <v>41</v>
      </c>
      <c r="I937">
        <v>0</v>
      </c>
      <c r="J937" t="str" cm="1">
        <f t="array" ref="J937">_xlfn.IFS(I937&lt;=0,"No Dependents",I937&lt;=1,"One",I937&lt;=2,"Two",I937&gt;=3,"Third")</f>
        <v>No Dependents</v>
      </c>
      <c r="K937">
        <v>731</v>
      </c>
      <c r="L937" t="str" cm="1">
        <f t="array" ref="L937">_xlfn.IFS(K937&lt;=580,"Poor",K937&lt;=670,"fair",K937&lt;=740,"Good",K937&lt;=800,"Very Good",K937&gt;=800,"Excellent")</f>
        <v>Good</v>
      </c>
      <c r="M937">
        <v>1</v>
      </c>
      <c r="N937" t="str">
        <f t="shared" si="57"/>
        <v>Yes</v>
      </c>
      <c r="O937">
        <v>0.18</v>
      </c>
      <c r="P937" t="str" cm="1">
        <f t="array" ref="P937">_xlfn.IFS(O937&lt;=0.3,"Low Risk",O937&lt;=0.4,"medium Risk",O937&lt;=0.5,"High Risk",O937&gt;0.5,"Very High Risk")</f>
        <v>Low Risk</v>
      </c>
      <c r="Q937">
        <v>13628</v>
      </c>
      <c r="R937">
        <v>43246</v>
      </c>
      <c r="S937" t="str">
        <f t="shared" si="58"/>
        <v>Yes</v>
      </c>
      <c r="T937">
        <v>37365</v>
      </c>
      <c r="U937" t="str" cm="1">
        <f t="array" ref="U937">_xlfn.IFS(T937&lt;5000,"Small",T937&lt;20000,"Medium",T937&lt;35000,"Large",T937&gt;35000,"Very Large")</f>
        <v>Very Large</v>
      </c>
      <c r="V937">
        <v>48</v>
      </c>
      <c r="W937">
        <f t="shared" si="59"/>
        <v>4</v>
      </c>
      <c r="X937" t="s">
        <v>37</v>
      </c>
      <c r="Y937" t="s">
        <v>32</v>
      </c>
      <c r="Z937" t="s">
        <v>39</v>
      </c>
      <c r="AA937" t="s">
        <v>40</v>
      </c>
      <c r="AB937" t="s">
        <v>35</v>
      </c>
      <c r="AC937" t="s">
        <v>44</v>
      </c>
    </row>
    <row r="938" spans="1:29" x14ac:dyDescent="0.25">
      <c r="A938">
        <v>986</v>
      </c>
      <c r="B938">
        <v>10705</v>
      </c>
      <c r="C938">
        <v>7898</v>
      </c>
      <c r="D938">
        <f t="shared" si="56"/>
        <v>18603</v>
      </c>
      <c r="E938" t="s">
        <v>29</v>
      </c>
      <c r="F938">
        <v>33</v>
      </c>
      <c r="G938" t="str" cm="1">
        <f t="array" ref="G938">_xlfn.IFS(F938&lt;25,"18-24",F938&lt;35,"25-35",F938&lt;45,"35-44",F938&lt;55,"44-54",F938&gt;=55,"55+")</f>
        <v>25-35</v>
      </c>
      <c r="H938" t="s">
        <v>41</v>
      </c>
      <c r="I938">
        <v>1</v>
      </c>
      <c r="J938" t="str" cm="1">
        <f t="array" ref="J938">_xlfn.IFS(I938&lt;=0,"No Dependents",I938&lt;=1,"One",I938&lt;=2,"Two",I938&gt;=3,"Third")</f>
        <v>One</v>
      </c>
      <c r="K938">
        <v>704</v>
      </c>
      <c r="L938" t="str" cm="1">
        <f t="array" ref="L938">_xlfn.IFS(K938&lt;=580,"Poor",K938&lt;=670,"fair",K938&lt;=740,"Good",K938&lt;=800,"Very Good",K938&gt;=800,"Excellent")</f>
        <v>Good</v>
      </c>
      <c r="M938">
        <v>4</v>
      </c>
      <c r="N938" t="str">
        <f t="shared" si="57"/>
        <v>Yes</v>
      </c>
      <c r="O938">
        <v>0.55000000000000004</v>
      </c>
      <c r="P938" t="str" cm="1">
        <f t="array" ref="P938">_xlfn.IFS(O938&lt;=0.3,"Low Risk",O938&lt;=0.4,"medium Risk",O938&lt;=0.5,"High Risk",O938&gt;0.5,"Very High Risk")</f>
        <v>Very High Risk</v>
      </c>
      <c r="Q938">
        <v>569</v>
      </c>
      <c r="R938">
        <v>2654</v>
      </c>
      <c r="S938" t="str">
        <f t="shared" si="58"/>
        <v>Yes</v>
      </c>
      <c r="T938">
        <v>11524</v>
      </c>
      <c r="U938" t="str" cm="1">
        <f t="array" ref="U938">_xlfn.IFS(T938&lt;5000,"Small",T938&lt;20000,"Medium",T938&lt;35000,"Large",T938&gt;35000,"Very Large")</f>
        <v>Medium</v>
      </c>
      <c r="V938">
        <v>84</v>
      </c>
      <c r="W938">
        <f t="shared" si="59"/>
        <v>7</v>
      </c>
      <c r="X938" t="s">
        <v>47</v>
      </c>
      <c r="Y938" t="s">
        <v>45</v>
      </c>
      <c r="Z938" t="s">
        <v>39</v>
      </c>
      <c r="AA938" t="s">
        <v>34</v>
      </c>
      <c r="AB938" t="s">
        <v>35</v>
      </c>
      <c r="AC938" t="s">
        <v>36</v>
      </c>
    </row>
    <row r="939" spans="1:29" x14ac:dyDescent="0.25">
      <c r="A939">
        <v>987</v>
      </c>
      <c r="B939">
        <v>12112</v>
      </c>
      <c r="C939">
        <v>6548</v>
      </c>
      <c r="D939">
        <f t="shared" si="56"/>
        <v>18660</v>
      </c>
      <c r="E939" t="s">
        <v>49</v>
      </c>
      <c r="F939">
        <v>46</v>
      </c>
      <c r="G939" t="str" cm="1">
        <f t="array" ref="G939">_xlfn.IFS(F939&lt;25,"18-24",F939&lt;35,"25-35",F939&lt;45,"35-44",F939&lt;55,"44-54",F939&gt;=55,"55+")</f>
        <v>44-54</v>
      </c>
      <c r="H939" t="s">
        <v>30</v>
      </c>
      <c r="I939">
        <v>1</v>
      </c>
      <c r="J939" t="str" cm="1">
        <f t="array" ref="J939">_xlfn.IFS(I939&lt;=0,"No Dependents",I939&lt;=1,"One",I939&lt;=2,"Two",I939&gt;=3,"Third")</f>
        <v>One</v>
      </c>
      <c r="K939">
        <v>715</v>
      </c>
      <c r="L939" t="str" cm="1">
        <f t="array" ref="L939">_xlfn.IFS(K939&lt;=580,"Poor",K939&lt;=670,"fair",K939&lt;=740,"Good",K939&lt;=800,"Very Good",K939&gt;=800,"Excellent")</f>
        <v>Good</v>
      </c>
      <c r="M939">
        <v>0</v>
      </c>
      <c r="N939" t="str">
        <f t="shared" si="57"/>
        <v>No</v>
      </c>
      <c r="O939">
        <v>0.44</v>
      </c>
      <c r="P939" t="str" cm="1">
        <f t="array" ref="P939">_xlfn.IFS(O939&lt;=0.3,"Low Risk",O939&lt;=0.4,"medium Risk",O939&lt;=0.5,"High Risk",O939&gt;0.5,"Very High Risk")</f>
        <v>High Risk</v>
      </c>
      <c r="Q939">
        <v>1973</v>
      </c>
      <c r="R939">
        <v>33758</v>
      </c>
      <c r="S939" t="str">
        <f t="shared" si="58"/>
        <v>Yes</v>
      </c>
      <c r="T939">
        <v>34097</v>
      </c>
      <c r="U939" t="str" cm="1">
        <f t="array" ref="U939">_xlfn.IFS(T939&lt;5000,"Small",T939&lt;20000,"Medium",T939&lt;35000,"Large",T939&gt;35000,"Very Large")</f>
        <v>Large</v>
      </c>
      <c r="V939">
        <v>84</v>
      </c>
      <c r="W939">
        <f t="shared" si="59"/>
        <v>7</v>
      </c>
      <c r="X939" t="s">
        <v>50</v>
      </c>
      <c r="Y939" t="s">
        <v>32</v>
      </c>
      <c r="Z939" t="s">
        <v>33</v>
      </c>
      <c r="AA939" t="s">
        <v>40</v>
      </c>
      <c r="AB939" t="s">
        <v>43</v>
      </c>
      <c r="AC939" t="s">
        <v>36</v>
      </c>
    </row>
    <row r="940" spans="1:29" x14ac:dyDescent="0.25">
      <c r="A940">
        <v>988</v>
      </c>
      <c r="B940">
        <v>6841</v>
      </c>
      <c r="C940">
        <v>2293</v>
      </c>
      <c r="D940">
        <f t="shared" si="56"/>
        <v>9134</v>
      </c>
      <c r="E940" t="s">
        <v>46</v>
      </c>
      <c r="F940">
        <v>34</v>
      </c>
      <c r="G940" t="str" cm="1">
        <f t="array" ref="G940">_xlfn.IFS(F940&lt;25,"18-24",F940&lt;35,"25-35",F940&lt;45,"35-44",F940&lt;55,"44-54",F940&gt;=55,"55+")</f>
        <v>25-35</v>
      </c>
      <c r="H940" t="s">
        <v>30</v>
      </c>
      <c r="I940">
        <v>2</v>
      </c>
      <c r="J940" t="str" cm="1">
        <f t="array" ref="J940">_xlfn.IFS(I940&lt;=0,"No Dependents",I940&lt;=1,"One",I940&lt;=2,"Two",I940&gt;=3,"Third")</f>
        <v>Two</v>
      </c>
      <c r="K940">
        <v>639</v>
      </c>
      <c r="L940" t="str" cm="1">
        <f t="array" ref="L940">_xlfn.IFS(K940&lt;=580,"Poor",K940&lt;=670,"fair",K940&lt;=740,"Good",K940&lt;=800,"Very Good",K940&gt;=800,"Excellent")</f>
        <v>fair</v>
      </c>
      <c r="M940">
        <v>2</v>
      </c>
      <c r="N940" t="str">
        <f t="shared" si="57"/>
        <v>Yes</v>
      </c>
      <c r="O940">
        <v>0.22</v>
      </c>
      <c r="P940" t="str" cm="1">
        <f t="array" ref="P940">_xlfn.IFS(O940&lt;=0.3,"Low Risk",O940&lt;=0.4,"medium Risk",O940&lt;=0.5,"High Risk",O940&gt;0.5,"Very High Risk")</f>
        <v>Low Risk</v>
      </c>
      <c r="Q940">
        <v>2822</v>
      </c>
      <c r="R940">
        <v>24204</v>
      </c>
      <c r="S940" t="str">
        <f t="shared" si="58"/>
        <v>Yes</v>
      </c>
      <c r="T940">
        <v>27673</v>
      </c>
      <c r="U940" t="str" cm="1">
        <f t="array" ref="U940">_xlfn.IFS(T940&lt;5000,"Small",T940&lt;20000,"Medium",T940&lt;35000,"Large",T940&gt;35000,"Very Large")</f>
        <v>Large</v>
      </c>
      <c r="V940">
        <v>36</v>
      </c>
      <c r="W940">
        <f t="shared" si="59"/>
        <v>3</v>
      </c>
      <c r="X940" t="s">
        <v>37</v>
      </c>
      <c r="Y940" t="s">
        <v>38</v>
      </c>
      <c r="Z940" t="s">
        <v>39</v>
      </c>
      <c r="AA940" t="s">
        <v>40</v>
      </c>
      <c r="AB940" t="s">
        <v>35</v>
      </c>
      <c r="AC940" t="s">
        <v>36</v>
      </c>
    </row>
    <row r="941" spans="1:29" x14ac:dyDescent="0.25">
      <c r="A941">
        <v>989</v>
      </c>
      <c r="B941">
        <v>17358</v>
      </c>
      <c r="C941">
        <v>4837</v>
      </c>
      <c r="D941">
        <f t="shared" si="56"/>
        <v>22195</v>
      </c>
      <c r="E941" t="s">
        <v>49</v>
      </c>
      <c r="F941">
        <v>51</v>
      </c>
      <c r="G941" t="str" cm="1">
        <f t="array" ref="G941">_xlfn.IFS(F941&lt;25,"18-24",F941&lt;35,"25-35",F941&lt;45,"35-44",F941&lt;55,"44-54",F941&gt;=55,"55+")</f>
        <v>44-54</v>
      </c>
      <c r="H941" t="s">
        <v>30</v>
      </c>
      <c r="I941">
        <v>0</v>
      </c>
      <c r="J941" t="str" cm="1">
        <f t="array" ref="J941">_xlfn.IFS(I941&lt;=0,"No Dependents",I941&lt;=1,"One",I941&lt;=2,"Two",I941&gt;=3,"Third")</f>
        <v>No Dependents</v>
      </c>
      <c r="K941">
        <v>735</v>
      </c>
      <c r="L941" t="str" cm="1">
        <f t="array" ref="L941">_xlfn.IFS(K941&lt;=580,"Poor",K941&lt;=670,"fair",K941&lt;=740,"Good",K941&lt;=800,"Very Good",K941&gt;=800,"Excellent")</f>
        <v>Good</v>
      </c>
      <c r="M941">
        <v>4</v>
      </c>
      <c r="N941" t="str">
        <f t="shared" si="57"/>
        <v>Yes</v>
      </c>
      <c r="O941">
        <v>0.13</v>
      </c>
      <c r="P941" t="str" cm="1">
        <f t="array" ref="P941">_xlfn.IFS(O941&lt;=0.3,"Low Risk",O941&lt;=0.4,"medium Risk",O941&lt;=0.5,"High Risk",O941&gt;0.5,"Very High Risk")</f>
        <v>Low Risk</v>
      </c>
      <c r="Q941">
        <v>270</v>
      </c>
      <c r="R941">
        <v>34928</v>
      </c>
      <c r="S941" t="str">
        <f t="shared" si="58"/>
        <v>Yes</v>
      </c>
      <c r="T941">
        <v>18156</v>
      </c>
      <c r="U941" t="str" cm="1">
        <f t="array" ref="U941">_xlfn.IFS(T941&lt;5000,"Small",T941&lt;20000,"Medium",T941&lt;35000,"Large",T941&gt;35000,"Very Large")</f>
        <v>Medium</v>
      </c>
      <c r="V941">
        <v>84</v>
      </c>
      <c r="W941">
        <f t="shared" si="59"/>
        <v>7</v>
      </c>
      <c r="X941" t="s">
        <v>47</v>
      </c>
      <c r="Y941" t="s">
        <v>32</v>
      </c>
      <c r="Z941" t="s">
        <v>39</v>
      </c>
      <c r="AA941" t="s">
        <v>34</v>
      </c>
      <c r="AB941" t="s">
        <v>43</v>
      </c>
      <c r="AC941" t="s">
        <v>44</v>
      </c>
    </row>
    <row r="942" spans="1:29" x14ac:dyDescent="0.25">
      <c r="A942">
        <v>990</v>
      </c>
      <c r="B942">
        <v>0</v>
      </c>
      <c r="C942">
        <v>7758</v>
      </c>
      <c r="D942">
        <f t="shared" si="56"/>
        <v>7758</v>
      </c>
      <c r="E942" t="s">
        <v>49</v>
      </c>
      <c r="F942">
        <v>24</v>
      </c>
      <c r="G942" t="str" cm="1">
        <f t="array" ref="G942">_xlfn.IFS(F942&lt;25,"18-24",F942&lt;35,"25-35",F942&lt;45,"35-44",F942&lt;55,"44-54",F942&gt;=55,"55+")</f>
        <v>18-24</v>
      </c>
      <c r="H942" t="s">
        <v>30</v>
      </c>
      <c r="I942">
        <v>0</v>
      </c>
      <c r="J942" t="str" cm="1">
        <f t="array" ref="J942">_xlfn.IFS(I942&lt;=0,"No Dependents",I942&lt;=1,"One",I942&lt;=2,"Two",I942&gt;=3,"Third")</f>
        <v>No Dependents</v>
      </c>
      <c r="K942">
        <v>611</v>
      </c>
      <c r="L942" t="str" cm="1">
        <f t="array" ref="L942">_xlfn.IFS(K942&lt;=580,"Poor",K942&lt;=670,"fair",K942&lt;=740,"Good",K942&lt;=800,"Very Good",K942&gt;=800,"Excellent")</f>
        <v>fair</v>
      </c>
      <c r="M942">
        <v>1</v>
      </c>
      <c r="N942" t="str">
        <f t="shared" si="57"/>
        <v>Yes</v>
      </c>
      <c r="O942">
        <v>0.45</v>
      </c>
      <c r="P942" t="str" cm="1">
        <f t="array" ref="P942">_xlfn.IFS(O942&lt;=0.3,"Low Risk",O942&lt;=0.4,"medium Risk",O942&lt;=0.5,"High Risk",O942&gt;0.5,"Very High Risk")</f>
        <v>High Risk</v>
      </c>
      <c r="Q942">
        <v>16320</v>
      </c>
      <c r="R942">
        <v>30552</v>
      </c>
      <c r="S942" t="str">
        <f t="shared" si="58"/>
        <v>Yes</v>
      </c>
      <c r="T942">
        <v>2645</v>
      </c>
      <c r="U942" t="str" cm="1">
        <f t="array" ref="U942">_xlfn.IFS(T942&lt;5000,"Small",T942&lt;20000,"Medium",T942&lt;35000,"Large",T942&gt;35000,"Very Large")</f>
        <v>Small</v>
      </c>
      <c r="V942">
        <v>36</v>
      </c>
      <c r="W942">
        <f t="shared" si="59"/>
        <v>3</v>
      </c>
      <c r="X942" t="s">
        <v>42</v>
      </c>
      <c r="Y942" t="s">
        <v>38</v>
      </c>
      <c r="Z942" t="s">
        <v>33</v>
      </c>
      <c r="AA942" t="s">
        <v>40</v>
      </c>
      <c r="AB942" t="s">
        <v>43</v>
      </c>
      <c r="AC942" t="s">
        <v>36</v>
      </c>
    </row>
    <row r="943" spans="1:29" x14ac:dyDescent="0.25">
      <c r="A943">
        <v>991</v>
      </c>
      <c r="B943">
        <v>6566</v>
      </c>
      <c r="C943">
        <v>6793</v>
      </c>
      <c r="D943">
        <f t="shared" si="56"/>
        <v>13359</v>
      </c>
      <c r="E943" t="s">
        <v>29</v>
      </c>
      <c r="F943">
        <v>59</v>
      </c>
      <c r="G943" t="str" cm="1">
        <f t="array" ref="G943">_xlfn.IFS(F943&lt;25,"18-24",F943&lt;35,"25-35",F943&lt;45,"35-44",F943&lt;55,"44-54",F943&gt;=55,"55+")</f>
        <v>55+</v>
      </c>
      <c r="H943" t="s">
        <v>30</v>
      </c>
      <c r="I943">
        <v>1</v>
      </c>
      <c r="J943" t="str" cm="1">
        <f t="array" ref="J943">_xlfn.IFS(I943&lt;=0,"No Dependents",I943&lt;=1,"One",I943&lt;=2,"Two",I943&gt;=3,"Third")</f>
        <v>One</v>
      </c>
      <c r="K943">
        <v>651</v>
      </c>
      <c r="L943" t="str" cm="1">
        <f t="array" ref="L943">_xlfn.IFS(K943&lt;=580,"Poor",K943&lt;=670,"fair",K943&lt;=740,"Good",K943&lt;=800,"Very Good",K943&gt;=800,"Excellent")</f>
        <v>fair</v>
      </c>
      <c r="M943">
        <v>3</v>
      </c>
      <c r="N943" t="str">
        <f t="shared" si="57"/>
        <v>Yes</v>
      </c>
      <c r="O943">
        <v>0.39</v>
      </c>
      <c r="P943" t="str" cm="1">
        <f t="array" ref="P943">_xlfn.IFS(O943&lt;=0.3,"Low Risk",O943&lt;=0.4,"medium Risk",O943&lt;=0.5,"High Risk",O943&gt;0.5,"Very High Risk")</f>
        <v>medium Risk</v>
      </c>
      <c r="Q943">
        <v>7641</v>
      </c>
      <c r="R943">
        <v>47904</v>
      </c>
      <c r="S943" t="str">
        <f t="shared" si="58"/>
        <v>Yes</v>
      </c>
      <c r="T943">
        <v>30049</v>
      </c>
      <c r="U943" t="str" cm="1">
        <f t="array" ref="U943">_xlfn.IFS(T943&lt;5000,"Small",T943&lt;20000,"Medium",T943&lt;35000,"Large",T943&gt;35000,"Very Large")</f>
        <v>Large</v>
      </c>
      <c r="V943">
        <v>72</v>
      </c>
      <c r="W943">
        <f t="shared" si="59"/>
        <v>6</v>
      </c>
      <c r="X943" t="s">
        <v>42</v>
      </c>
      <c r="Y943" t="s">
        <v>38</v>
      </c>
      <c r="Z943" t="s">
        <v>39</v>
      </c>
      <c r="AA943" t="s">
        <v>40</v>
      </c>
      <c r="AB943" t="s">
        <v>43</v>
      </c>
      <c r="AC943" t="s">
        <v>44</v>
      </c>
    </row>
    <row r="944" spans="1:29" x14ac:dyDescent="0.25">
      <c r="A944">
        <v>992</v>
      </c>
      <c r="B944">
        <v>13382</v>
      </c>
      <c r="C944">
        <v>7638</v>
      </c>
      <c r="D944">
        <f t="shared" si="56"/>
        <v>21020</v>
      </c>
      <c r="E944" t="s">
        <v>29</v>
      </c>
      <c r="F944">
        <v>28</v>
      </c>
      <c r="G944" t="str" cm="1">
        <f t="array" ref="G944">_xlfn.IFS(F944&lt;25,"18-24",F944&lt;35,"25-35",F944&lt;45,"35-44",F944&lt;55,"44-54",F944&gt;=55,"55+")</f>
        <v>25-35</v>
      </c>
      <c r="H944" t="s">
        <v>41</v>
      </c>
      <c r="I944">
        <v>3</v>
      </c>
      <c r="J944" t="str" cm="1">
        <f t="array" ref="J944">_xlfn.IFS(I944&lt;=0,"No Dependents",I944&lt;=1,"One",I944&lt;=2,"Two",I944&gt;=3,"Third")</f>
        <v>Third</v>
      </c>
      <c r="K944">
        <v>723</v>
      </c>
      <c r="L944" t="str" cm="1">
        <f t="array" ref="L944">_xlfn.IFS(K944&lt;=580,"Poor",K944&lt;=670,"fair",K944&lt;=740,"Good",K944&lt;=800,"Very Good",K944&gt;=800,"Excellent")</f>
        <v>Good</v>
      </c>
      <c r="M944">
        <v>0</v>
      </c>
      <c r="N944" t="str">
        <f t="shared" si="57"/>
        <v>No</v>
      </c>
      <c r="O944">
        <v>0.3</v>
      </c>
      <c r="P944" t="str" cm="1">
        <f t="array" ref="P944">_xlfn.IFS(O944&lt;=0.3,"Low Risk",O944&lt;=0.4,"medium Risk",O944&lt;=0.5,"High Risk",O944&gt;0.5,"Very High Risk")</f>
        <v>Low Risk</v>
      </c>
      <c r="Q944">
        <v>8930</v>
      </c>
      <c r="R944">
        <v>10336</v>
      </c>
      <c r="S944" t="str">
        <f t="shared" si="58"/>
        <v>Yes</v>
      </c>
      <c r="T944">
        <v>10815</v>
      </c>
      <c r="U944" t="str" cm="1">
        <f t="array" ref="U944">_xlfn.IFS(T944&lt;5000,"Small",T944&lt;20000,"Medium",T944&lt;35000,"Large",T944&gt;35000,"Very Large")</f>
        <v>Medium</v>
      </c>
      <c r="V944">
        <v>72</v>
      </c>
      <c r="W944">
        <f t="shared" si="59"/>
        <v>6</v>
      </c>
      <c r="X944" t="s">
        <v>31</v>
      </c>
      <c r="Y944" t="s">
        <v>45</v>
      </c>
      <c r="Z944" t="s">
        <v>39</v>
      </c>
      <c r="AA944" t="s">
        <v>40</v>
      </c>
      <c r="AB944" t="s">
        <v>35</v>
      </c>
      <c r="AC944" t="s">
        <v>44</v>
      </c>
    </row>
    <row r="945" spans="1:29" x14ac:dyDescent="0.25">
      <c r="A945">
        <v>993</v>
      </c>
      <c r="B945">
        <v>19939</v>
      </c>
      <c r="C945">
        <v>7993</v>
      </c>
      <c r="D945">
        <f t="shared" si="56"/>
        <v>27932</v>
      </c>
      <c r="E945" t="s">
        <v>48</v>
      </c>
      <c r="F945">
        <v>40</v>
      </c>
      <c r="G945" t="str" cm="1">
        <f t="array" ref="G945">_xlfn.IFS(F945&lt;25,"18-24",F945&lt;35,"25-35",F945&lt;45,"35-44",F945&lt;55,"44-54",F945&gt;=55,"55+")</f>
        <v>35-44</v>
      </c>
      <c r="H945" t="s">
        <v>41</v>
      </c>
      <c r="I945">
        <v>2</v>
      </c>
      <c r="J945" t="str" cm="1">
        <f t="array" ref="J945">_xlfn.IFS(I945&lt;=0,"No Dependents",I945&lt;=1,"One",I945&lt;=2,"Two",I945&gt;=3,"Third")</f>
        <v>Two</v>
      </c>
      <c r="K945">
        <v>766</v>
      </c>
      <c r="L945" t="str" cm="1">
        <f t="array" ref="L945">_xlfn.IFS(K945&lt;=580,"Poor",K945&lt;=670,"fair",K945&lt;=740,"Good",K945&lt;=800,"Very Good",K945&gt;=800,"Excellent")</f>
        <v>Very Good</v>
      </c>
      <c r="M945">
        <v>2</v>
      </c>
      <c r="N945" t="str">
        <f t="shared" si="57"/>
        <v>Yes</v>
      </c>
      <c r="O945">
        <v>0.28000000000000003</v>
      </c>
      <c r="P945" t="str" cm="1">
        <f t="array" ref="P945">_xlfn.IFS(O945&lt;=0.3,"Low Risk",O945&lt;=0.4,"medium Risk",O945&lt;=0.5,"High Risk",O945&gt;0.5,"Very High Risk")</f>
        <v>Low Risk</v>
      </c>
      <c r="Q945">
        <v>6680</v>
      </c>
      <c r="R945">
        <v>47037</v>
      </c>
      <c r="S945" t="str">
        <f t="shared" si="58"/>
        <v>Yes</v>
      </c>
      <c r="T945">
        <v>2848</v>
      </c>
      <c r="U945" t="str" cm="1">
        <f t="array" ref="U945">_xlfn.IFS(T945&lt;5000,"Small",T945&lt;20000,"Medium",T945&lt;35000,"Large",T945&gt;35000,"Very Large")</f>
        <v>Small</v>
      </c>
      <c r="V945">
        <v>24</v>
      </c>
      <c r="W945">
        <f t="shared" si="59"/>
        <v>2</v>
      </c>
      <c r="X945" t="s">
        <v>42</v>
      </c>
      <c r="Y945" t="s">
        <v>38</v>
      </c>
      <c r="Z945" t="s">
        <v>39</v>
      </c>
      <c r="AA945" t="s">
        <v>40</v>
      </c>
      <c r="AB945" t="s">
        <v>43</v>
      </c>
      <c r="AC945" t="s">
        <v>44</v>
      </c>
    </row>
    <row r="946" spans="1:29" x14ac:dyDescent="0.25">
      <c r="A946">
        <v>994</v>
      </c>
      <c r="B946">
        <v>16596</v>
      </c>
      <c r="C946">
        <v>6007</v>
      </c>
      <c r="D946">
        <f t="shared" si="56"/>
        <v>22603</v>
      </c>
      <c r="E946" t="s">
        <v>46</v>
      </c>
      <c r="F946">
        <v>33</v>
      </c>
      <c r="G946" t="str" cm="1">
        <f t="array" ref="G946">_xlfn.IFS(F946&lt;25,"18-24",F946&lt;35,"25-35",F946&lt;45,"35-44",F946&lt;55,"44-54",F946&gt;=55,"55+")</f>
        <v>25-35</v>
      </c>
      <c r="H946" t="s">
        <v>30</v>
      </c>
      <c r="I946">
        <v>2</v>
      </c>
      <c r="J946" t="str" cm="1">
        <f t="array" ref="J946">_xlfn.IFS(I946&lt;=0,"No Dependents",I946&lt;=1,"One",I946&lt;=2,"Two",I946&gt;=3,"Third")</f>
        <v>Two</v>
      </c>
      <c r="K946">
        <v>688</v>
      </c>
      <c r="L946" t="str" cm="1">
        <f t="array" ref="L946">_xlfn.IFS(K946&lt;=580,"Poor",K946&lt;=670,"fair",K946&lt;=740,"Good",K946&lt;=800,"Very Good",K946&gt;=800,"Excellent")</f>
        <v>Good</v>
      </c>
      <c r="M946">
        <v>4</v>
      </c>
      <c r="N946" t="str">
        <f t="shared" si="57"/>
        <v>Yes</v>
      </c>
      <c r="O946">
        <v>0.21</v>
      </c>
      <c r="P946" t="str" cm="1">
        <f t="array" ref="P946">_xlfn.IFS(O946&lt;=0.3,"Low Risk",O946&lt;=0.4,"medium Risk",O946&lt;=0.5,"High Risk",O946&gt;0.5,"Very High Risk")</f>
        <v>Low Risk</v>
      </c>
      <c r="Q946">
        <v>1257</v>
      </c>
      <c r="R946">
        <v>16206</v>
      </c>
      <c r="S946" t="str">
        <f t="shared" si="58"/>
        <v>Yes</v>
      </c>
      <c r="T946">
        <v>35329</v>
      </c>
      <c r="U946" t="str" cm="1">
        <f t="array" ref="U946">_xlfn.IFS(T946&lt;5000,"Small",T946&lt;20000,"Medium",T946&lt;35000,"Large",T946&gt;35000,"Very Large")</f>
        <v>Very Large</v>
      </c>
      <c r="V946">
        <v>24</v>
      </c>
      <c r="W946">
        <f t="shared" si="59"/>
        <v>2</v>
      </c>
      <c r="X946" t="s">
        <v>47</v>
      </c>
      <c r="Y946" t="s">
        <v>45</v>
      </c>
      <c r="Z946" t="s">
        <v>39</v>
      </c>
      <c r="AA946" t="s">
        <v>40</v>
      </c>
      <c r="AB946" t="s">
        <v>43</v>
      </c>
      <c r="AC946" t="s">
        <v>44</v>
      </c>
    </row>
    <row r="947" spans="1:29" x14ac:dyDescent="0.25">
      <c r="A947">
        <v>996</v>
      </c>
      <c r="B947">
        <v>0</v>
      </c>
      <c r="C947">
        <v>9092</v>
      </c>
      <c r="D947">
        <f t="shared" si="56"/>
        <v>9092</v>
      </c>
      <c r="E947" t="s">
        <v>29</v>
      </c>
      <c r="F947">
        <v>58</v>
      </c>
      <c r="G947" t="str" cm="1">
        <f t="array" ref="G947">_xlfn.IFS(F947&lt;25,"18-24",F947&lt;35,"25-35",F947&lt;45,"35-44",F947&lt;55,"44-54",F947&gt;=55,"55+")</f>
        <v>55+</v>
      </c>
      <c r="H947" t="s">
        <v>30</v>
      </c>
      <c r="I947">
        <v>0</v>
      </c>
      <c r="J947" t="str" cm="1">
        <f t="array" ref="J947">_xlfn.IFS(I947&lt;=0,"No Dependents",I947&lt;=1,"One",I947&lt;=2,"Two",I947&gt;=3,"Third")</f>
        <v>No Dependents</v>
      </c>
      <c r="K947">
        <v>557</v>
      </c>
      <c r="L947" t="str" cm="1">
        <f t="array" ref="L947">_xlfn.IFS(K947&lt;=580,"Poor",K947&lt;=670,"fair",K947&lt;=740,"Good",K947&lt;=800,"Very Good",K947&gt;=800,"Excellent")</f>
        <v>Poor</v>
      </c>
      <c r="M947">
        <v>0</v>
      </c>
      <c r="N947" t="str">
        <f t="shared" si="57"/>
        <v>No</v>
      </c>
      <c r="O947">
        <v>0.59</v>
      </c>
      <c r="P947" t="str" cm="1">
        <f t="array" ref="P947">_xlfn.IFS(O947&lt;=0.3,"Low Risk",O947&lt;=0.4,"medium Risk",O947&lt;=0.5,"High Risk",O947&gt;0.5,"Very High Risk")</f>
        <v>Very High Risk</v>
      </c>
      <c r="Q947">
        <v>5370</v>
      </c>
      <c r="R947">
        <v>43563</v>
      </c>
      <c r="S947" t="str">
        <f t="shared" si="58"/>
        <v>Yes</v>
      </c>
      <c r="T947">
        <v>8311</v>
      </c>
      <c r="U947" t="str" cm="1">
        <f t="array" ref="U947">_xlfn.IFS(T947&lt;5000,"Small",T947&lt;20000,"Medium",T947&lt;35000,"Large",T947&gt;35000,"Very Large")</f>
        <v>Medium</v>
      </c>
      <c r="V947">
        <v>72</v>
      </c>
      <c r="W947">
        <f t="shared" si="59"/>
        <v>6</v>
      </c>
      <c r="X947" t="s">
        <v>31</v>
      </c>
      <c r="Y947" t="s">
        <v>32</v>
      </c>
      <c r="Z947" t="s">
        <v>33</v>
      </c>
      <c r="AA947" t="s">
        <v>40</v>
      </c>
      <c r="AB947" t="s">
        <v>48</v>
      </c>
      <c r="AC947" t="s">
        <v>36</v>
      </c>
    </row>
    <row r="948" spans="1:29" x14ac:dyDescent="0.25">
      <c r="A948">
        <v>997</v>
      </c>
      <c r="B948">
        <v>3279</v>
      </c>
      <c r="C948">
        <v>6356</v>
      </c>
      <c r="D948">
        <f t="shared" si="56"/>
        <v>9635</v>
      </c>
      <c r="E948" t="s">
        <v>46</v>
      </c>
      <c r="F948">
        <v>58</v>
      </c>
      <c r="G948" t="str" cm="1">
        <f t="array" ref="G948">_xlfn.IFS(F948&lt;25,"18-24",F948&lt;35,"25-35",F948&lt;45,"35-44",F948&lt;55,"44-54",F948&gt;=55,"55+")</f>
        <v>55+</v>
      </c>
      <c r="H948" t="s">
        <v>30</v>
      </c>
      <c r="I948">
        <v>1</v>
      </c>
      <c r="J948" t="str" cm="1">
        <f t="array" ref="J948">_xlfn.IFS(I948&lt;=0,"No Dependents",I948&lt;=1,"One",I948&lt;=2,"Two",I948&gt;=3,"Third")</f>
        <v>One</v>
      </c>
      <c r="K948">
        <v>646</v>
      </c>
      <c r="L948" t="str" cm="1">
        <f t="array" ref="L948">_xlfn.IFS(K948&lt;=580,"Poor",K948&lt;=670,"fair",K948&lt;=740,"Good",K948&lt;=800,"Very Good",K948&gt;=800,"Excellent")</f>
        <v>fair</v>
      </c>
      <c r="M948">
        <v>3</v>
      </c>
      <c r="N948" t="str">
        <f t="shared" si="57"/>
        <v>Yes</v>
      </c>
      <c r="O948">
        <v>0.19</v>
      </c>
      <c r="P948" t="str" cm="1">
        <f t="array" ref="P948">_xlfn.IFS(O948&lt;=0.3,"Low Risk",O948&lt;=0.4,"medium Risk",O948&lt;=0.5,"High Risk",O948&gt;0.5,"Very High Risk")</f>
        <v>Low Risk</v>
      </c>
      <c r="Q948">
        <v>0</v>
      </c>
      <c r="R948">
        <v>18361</v>
      </c>
      <c r="S948" t="str">
        <f t="shared" si="58"/>
        <v>Yes</v>
      </c>
      <c r="T948">
        <v>22563</v>
      </c>
      <c r="U948" t="str" cm="1">
        <f t="array" ref="U948">_xlfn.IFS(T948&lt;5000,"Small",T948&lt;20000,"Medium",T948&lt;35000,"Large",T948&gt;35000,"Very Large")</f>
        <v>Large</v>
      </c>
      <c r="V948">
        <v>12</v>
      </c>
      <c r="W948">
        <f t="shared" si="59"/>
        <v>1</v>
      </c>
      <c r="X948" t="s">
        <v>42</v>
      </c>
      <c r="Y948" t="s">
        <v>32</v>
      </c>
      <c r="Z948" t="s">
        <v>39</v>
      </c>
      <c r="AA948" t="s">
        <v>34</v>
      </c>
      <c r="AB948" t="s">
        <v>43</v>
      </c>
      <c r="AC948" t="s">
        <v>36</v>
      </c>
    </row>
    <row r="949" spans="1:29" x14ac:dyDescent="0.25">
      <c r="A949">
        <v>998</v>
      </c>
      <c r="B949">
        <v>15192</v>
      </c>
      <c r="C949">
        <v>8433</v>
      </c>
      <c r="D949">
        <f t="shared" si="56"/>
        <v>23625</v>
      </c>
      <c r="E949" t="s">
        <v>49</v>
      </c>
      <c r="F949">
        <v>48</v>
      </c>
      <c r="G949" t="str" cm="1">
        <f t="array" ref="G949">_xlfn.IFS(F949&lt;25,"18-24",F949&lt;35,"25-35",F949&lt;45,"35-44",F949&lt;55,"44-54",F949&gt;=55,"55+")</f>
        <v>44-54</v>
      </c>
      <c r="H949" t="s">
        <v>41</v>
      </c>
      <c r="I949">
        <v>1</v>
      </c>
      <c r="J949" t="str" cm="1">
        <f t="array" ref="J949">_xlfn.IFS(I949&lt;=0,"No Dependents",I949&lt;=1,"One",I949&lt;=2,"Two",I949&gt;=3,"Third")</f>
        <v>One</v>
      </c>
      <c r="K949">
        <v>666</v>
      </c>
      <c r="L949" t="str" cm="1">
        <f t="array" ref="L949">_xlfn.IFS(K949&lt;=580,"Poor",K949&lt;=670,"fair",K949&lt;=740,"Good",K949&lt;=800,"Very Good",K949&gt;=800,"Excellent")</f>
        <v>fair</v>
      </c>
      <c r="M949">
        <v>1</v>
      </c>
      <c r="N949" t="str">
        <f t="shared" si="57"/>
        <v>Yes</v>
      </c>
      <c r="O949">
        <v>0.4</v>
      </c>
      <c r="P949" t="str" cm="1">
        <f t="array" ref="P949">_xlfn.IFS(O949&lt;=0.3,"Low Risk",O949&lt;=0.4,"medium Risk",O949&lt;=0.5,"High Risk",O949&gt;0.5,"Very High Risk")</f>
        <v>medium Risk</v>
      </c>
      <c r="Q949">
        <v>8581</v>
      </c>
      <c r="R949">
        <v>41335</v>
      </c>
      <c r="S949" t="str">
        <f t="shared" si="58"/>
        <v>Yes</v>
      </c>
      <c r="T949">
        <v>16203</v>
      </c>
      <c r="U949" t="str" cm="1">
        <f t="array" ref="U949">_xlfn.IFS(T949&lt;5000,"Small",T949&lt;20000,"Medium",T949&lt;35000,"Large",T949&gt;35000,"Very Large")</f>
        <v>Medium</v>
      </c>
      <c r="V949">
        <v>24</v>
      </c>
      <c r="W949">
        <f t="shared" si="59"/>
        <v>2</v>
      </c>
      <c r="X949" t="s">
        <v>47</v>
      </c>
      <c r="Y949" t="s">
        <v>45</v>
      </c>
      <c r="Z949" t="s">
        <v>39</v>
      </c>
      <c r="AA949" t="s">
        <v>40</v>
      </c>
      <c r="AB949" t="s">
        <v>51</v>
      </c>
      <c r="AC949" t="s">
        <v>36</v>
      </c>
    </row>
    <row r="950" spans="1:29" x14ac:dyDescent="0.25">
      <c r="A950">
        <v>999</v>
      </c>
      <c r="B950">
        <v>9083</v>
      </c>
      <c r="C950">
        <v>7380</v>
      </c>
      <c r="D950">
        <f t="shared" si="56"/>
        <v>16463</v>
      </c>
      <c r="E950" t="s">
        <v>48</v>
      </c>
      <c r="F950">
        <v>50</v>
      </c>
      <c r="G950" t="str" cm="1">
        <f t="array" ref="G950">_xlfn.IFS(F950&lt;25,"18-24",F950&lt;35,"25-35",F950&lt;45,"35-44",F950&lt;55,"44-54",F950&gt;=55,"55+")</f>
        <v>44-54</v>
      </c>
      <c r="H950" t="s">
        <v>41</v>
      </c>
      <c r="I950">
        <v>1</v>
      </c>
      <c r="J950" t="str" cm="1">
        <f t="array" ref="J950">_xlfn.IFS(I950&lt;=0,"No Dependents",I950&lt;=1,"One",I950&lt;=2,"Two",I950&gt;=3,"Third")</f>
        <v>One</v>
      </c>
      <c r="K950">
        <v>748</v>
      </c>
      <c r="L950" t="str" cm="1">
        <f t="array" ref="L950">_xlfn.IFS(K950&lt;=580,"Poor",K950&lt;=670,"fair",K950&lt;=740,"Good",K950&lt;=800,"Very Good",K950&gt;=800,"Excellent")</f>
        <v>Very Good</v>
      </c>
      <c r="M950">
        <v>3</v>
      </c>
      <c r="N950" t="str">
        <f t="shared" si="57"/>
        <v>Yes</v>
      </c>
      <c r="O950">
        <v>0.31</v>
      </c>
      <c r="P950" t="str" cm="1">
        <f t="array" ref="P950">_xlfn.IFS(O950&lt;=0.3,"Low Risk",O950&lt;=0.4,"medium Risk",O950&lt;=0.5,"High Risk",O950&gt;0.5,"Very High Risk")</f>
        <v>medium Risk</v>
      </c>
      <c r="Q950">
        <v>13491</v>
      </c>
      <c r="R950">
        <v>8933</v>
      </c>
      <c r="S950" t="str">
        <f t="shared" si="58"/>
        <v>Yes</v>
      </c>
      <c r="T950">
        <v>10290</v>
      </c>
      <c r="U950" t="str" cm="1">
        <f t="array" ref="U950">_xlfn.IFS(T950&lt;5000,"Small",T950&lt;20000,"Medium",T950&lt;35000,"Large",T950&gt;35000,"Very Large")</f>
        <v>Medium</v>
      </c>
      <c r="V950">
        <v>36</v>
      </c>
      <c r="W950">
        <f t="shared" si="59"/>
        <v>3</v>
      </c>
      <c r="X950" t="s">
        <v>31</v>
      </c>
      <c r="Y950" t="s">
        <v>32</v>
      </c>
      <c r="Z950" t="s">
        <v>39</v>
      </c>
      <c r="AA950" t="s">
        <v>40</v>
      </c>
      <c r="AB950" t="s">
        <v>35</v>
      </c>
      <c r="AC950" t="s">
        <v>44</v>
      </c>
    </row>
    <row r="951" spans="1:29" x14ac:dyDescent="0.25">
      <c r="A951">
        <v>1000</v>
      </c>
      <c r="B951">
        <v>13093</v>
      </c>
      <c r="C951">
        <v>2385</v>
      </c>
      <c r="D951">
        <f t="shared" si="56"/>
        <v>15478</v>
      </c>
      <c r="E951" t="s">
        <v>29</v>
      </c>
      <c r="F951">
        <v>23</v>
      </c>
      <c r="G951" t="str" cm="1">
        <f t="array" ref="G951">_xlfn.IFS(F951&lt;25,"18-24",F951&lt;35,"25-35",F951&lt;45,"35-44",F951&lt;55,"44-54",F951&gt;=55,"55+")</f>
        <v>18-24</v>
      </c>
      <c r="H951" t="s">
        <v>30</v>
      </c>
      <c r="I951">
        <v>1</v>
      </c>
      <c r="J951" t="str" cm="1">
        <f t="array" ref="J951">_xlfn.IFS(I951&lt;=0,"No Dependents",I951&lt;=1,"One",I951&lt;=2,"Two",I951&gt;=3,"Third")</f>
        <v>One</v>
      </c>
      <c r="K951">
        <v>613</v>
      </c>
      <c r="L951" t="str" cm="1">
        <f t="array" ref="L951">_xlfn.IFS(K951&lt;=580,"Poor",K951&lt;=670,"fair",K951&lt;=740,"Good",K951&lt;=800,"Very Good",K951&gt;=800,"Excellent")</f>
        <v>fair</v>
      </c>
      <c r="M951">
        <v>3</v>
      </c>
      <c r="N951" t="str">
        <f t="shared" si="57"/>
        <v>Yes</v>
      </c>
      <c r="O951">
        <v>0.32</v>
      </c>
      <c r="P951" t="str" cm="1">
        <f t="array" ref="P951">_xlfn.IFS(O951&lt;=0.3,"Low Risk",O951&lt;=0.4,"medium Risk",O951&lt;=0.5,"High Risk",O951&gt;0.5,"Very High Risk")</f>
        <v>medium Risk</v>
      </c>
      <c r="Q951">
        <v>12436</v>
      </c>
      <c r="R951">
        <v>25816</v>
      </c>
      <c r="S951" t="str">
        <f t="shared" si="58"/>
        <v>Yes</v>
      </c>
      <c r="T951">
        <v>35818</v>
      </c>
      <c r="U951" t="str" cm="1">
        <f t="array" ref="U951">_xlfn.IFS(T951&lt;5000,"Small",T951&lt;20000,"Medium",T951&lt;35000,"Large",T951&gt;35000,"Very Large")</f>
        <v>Very Large</v>
      </c>
      <c r="V951">
        <v>48</v>
      </c>
      <c r="W951">
        <f t="shared" si="59"/>
        <v>4</v>
      </c>
      <c r="X951" t="s">
        <v>31</v>
      </c>
      <c r="Y951" t="s">
        <v>38</v>
      </c>
      <c r="Z951" t="s">
        <v>39</v>
      </c>
      <c r="AA951" t="s">
        <v>40</v>
      </c>
      <c r="AB951" t="s">
        <v>35</v>
      </c>
      <c r="AC951" t="s">
        <v>36</v>
      </c>
    </row>
  </sheetData>
  <autoFilter ref="A1:AC1" xr:uid="{0A7E0713-9534-42E6-8E58-449D8DF51BF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25F3D-3C98-4875-A307-6171B1B3F9AE}">
  <dimension ref="A1:AC951"/>
  <sheetViews>
    <sheetView topLeftCell="E1" workbookViewId="0">
      <selection activeCell="H2" sqref="H2"/>
    </sheetView>
  </sheetViews>
  <sheetFormatPr defaultRowHeight="15" x14ac:dyDescent="0.25"/>
  <cols>
    <col min="1" max="1" width="13.7109375" customWidth="1"/>
    <col min="2" max="2" width="18.28515625" customWidth="1"/>
    <col min="3" max="3" width="20.28515625" customWidth="1"/>
    <col min="4" max="4" width="14.42578125" customWidth="1"/>
    <col min="5" max="5" width="19.85546875" customWidth="1"/>
    <col min="7" max="7" width="12.28515625" customWidth="1"/>
    <col min="8" max="8" width="15.140625" customWidth="1"/>
    <col min="9" max="9" width="13" customWidth="1"/>
    <col min="10" max="10" width="18.7109375" customWidth="1"/>
    <col min="11" max="11" width="13.5703125" customWidth="1"/>
    <col min="12" max="12" width="17.7109375" customWidth="1"/>
    <col min="13" max="13" width="15.140625" customWidth="1"/>
    <col min="14" max="14" width="18.28515625" customWidth="1"/>
    <col min="15" max="15" width="11" customWidth="1"/>
    <col min="16" max="16" width="15.28515625" customWidth="1"/>
    <col min="17" max="17" width="9.28515625" customWidth="1"/>
    <col min="18" max="18" width="16.5703125" customWidth="1"/>
    <col min="19" max="19" width="14.28515625" customWidth="1"/>
    <col min="20" max="20" width="14.85546875" customWidth="1"/>
    <col min="21" max="21" width="10.7109375" customWidth="1"/>
    <col min="22" max="22" width="12.28515625" customWidth="1"/>
    <col min="23" max="23" width="17" customWidth="1"/>
    <col min="24" max="24" width="14.85546875" customWidth="1"/>
    <col min="25" max="25" width="15.140625" customWidth="1"/>
    <col min="26" max="26" width="16.7109375" customWidth="1"/>
    <col min="27" max="27" width="9" customWidth="1"/>
    <col min="28" max="28" width="19.42578125" customWidth="1"/>
    <col min="29" max="29" width="16.28515625"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v>1</v>
      </c>
      <c r="B2">
        <v>17795</v>
      </c>
      <c r="C2">
        <v>1387</v>
      </c>
      <c r="D2">
        <v>19182</v>
      </c>
      <c r="E2" t="s">
        <v>29</v>
      </c>
      <c r="F2">
        <v>51</v>
      </c>
      <c r="G2" t="s">
        <v>53</v>
      </c>
      <c r="H2" t="s">
        <v>30</v>
      </c>
      <c r="I2">
        <v>0</v>
      </c>
      <c r="J2" t="s">
        <v>54</v>
      </c>
      <c r="K2">
        <v>637</v>
      </c>
      <c r="L2" t="s">
        <v>55</v>
      </c>
      <c r="M2">
        <v>4</v>
      </c>
      <c r="N2" t="s">
        <v>44</v>
      </c>
      <c r="O2">
        <v>0.53</v>
      </c>
      <c r="P2" t="s">
        <v>56</v>
      </c>
      <c r="Q2">
        <v>19403</v>
      </c>
      <c r="R2">
        <v>45638</v>
      </c>
      <c r="S2" t="s">
        <v>44</v>
      </c>
      <c r="T2">
        <v>16619</v>
      </c>
      <c r="U2" t="s">
        <v>57</v>
      </c>
      <c r="V2">
        <v>84</v>
      </c>
      <c r="W2">
        <v>7</v>
      </c>
      <c r="X2" t="s">
        <v>31</v>
      </c>
      <c r="Y2" t="s">
        <v>32</v>
      </c>
      <c r="Z2" t="s">
        <v>33</v>
      </c>
      <c r="AA2" t="s">
        <v>34</v>
      </c>
      <c r="AB2" t="s">
        <v>35</v>
      </c>
      <c r="AC2" t="s">
        <v>36</v>
      </c>
    </row>
    <row r="3" spans="1:29" x14ac:dyDescent="0.25">
      <c r="A3">
        <v>2</v>
      </c>
      <c r="B3">
        <v>2860</v>
      </c>
      <c r="C3">
        <v>2679</v>
      </c>
      <c r="D3">
        <v>5539</v>
      </c>
      <c r="E3" t="s">
        <v>29</v>
      </c>
      <c r="F3">
        <v>46</v>
      </c>
      <c r="G3" t="s">
        <v>53</v>
      </c>
      <c r="H3" t="s">
        <v>30</v>
      </c>
      <c r="I3">
        <v>3</v>
      </c>
      <c r="J3" t="s">
        <v>58</v>
      </c>
      <c r="K3">
        <v>621</v>
      </c>
      <c r="L3" t="s">
        <v>55</v>
      </c>
      <c r="M3">
        <v>2</v>
      </c>
      <c r="N3" t="s">
        <v>44</v>
      </c>
      <c r="O3">
        <v>0.3</v>
      </c>
      <c r="P3" t="s">
        <v>59</v>
      </c>
      <c r="Q3">
        <v>2580</v>
      </c>
      <c r="R3">
        <v>49272</v>
      </c>
      <c r="S3" t="s">
        <v>44</v>
      </c>
      <c r="T3">
        <v>38687</v>
      </c>
      <c r="U3" t="s">
        <v>60</v>
      </c>
      <c r="V3">
        <v>48</v>
      </c>
      <c r="W3">
        <v>4</v>
      </c>
      <c r="X3" t="s">
        <v>37</v>
      </c>
      <c r="Y3" t="s">
        <v>38</v>
      </c>
      <c r="Z3" t="s">
        <v>39</v>
      </c>
      <c r="AA3" t="s">
        <v>40</v>
      </c>
      <c r="AB3" t="s">
        <v>35</v>
      </c>
      <c r="AC3" t="s">
        <v>36</v>
      </c>
    </row>
    <row r="4" spans="1:29" x14ac:dyDescent="0.25">
      <c r="A4">
        <v>3</v>
      </c>
      <c r="B4">
        <v>7390</v>
      </c>
      <c r="C4">
        <v>2106</v>
      </c>
      <c r="D4">
        <v>9496</v>
      </c>
      <c r="E4" t="s">
        <v>29</v>
      </c>
      <c r="F4">
        <v>25</v>
      </c>
      <c r="G4" t="s">
        <v>61</v>
      </c>
      <c r="H4" t="s">
        <v>41</v>
      </c>
      <c r="I4">
        <v>2</v>
      </c>
      <c r="J4" t="s">
        <v>62</v>
      </c>
      <c r="K4">
        <v>674</v>
      </c>
      <c r="L4" t="s">
        <v>63</v>
      </c>
      <c r="M4">
        <v>4</v>
      </c>
      <c r="N4" t="s">
        <v>44</v>
      </c>
      <c r="O4">
        <v>0.2</v>
      </c>
      <c r="P4" t="s">
        <v>59</v>
      </c>
      <c r="Q4">
        <v>13844</v>
      </c>
      <c r="R4">
        <v>6908</v>
      </c>
      <c r="S4" t="s">
        <v>44</v>
      </c>
      <c r="T4">
        <v>27943</v>
      </c>
      <c r="U4" t="s">
        <v>64</v>
      </c>
      <c r="V4">
        <v>72</v>
      </c>
      <c r="W4">
        <v>6</v>
      </c>
      <c r="X4" t="s">
        <v>42</v>
      </c>
      <c r="Y4" t="s">
        <v>32</v>
      </c>
      <c r="Z4" t="s">
        <v>39</v>
      </c>
      <c r="AA4" t="s">
        <v>34</v>
      </c>
      <c r="AB4" t="s">
        <v>43</v>
      </c>
      <c r="AC4" t="s">
        <v>44</v>
      </c>
    </row>
    <row r="5" spans="1:29" x14ac:dyDescent="0.25">
      <c r="A5">
        <v>4</v>
      </c>
      <c r="B5">
        <v>13964</v>
      </c>
      <c r="C5">
        <v>8173</v>
      </c>
      <c r="D5">
        <v>22137</v>
      </c>
      <c r="E5" t="s">
        <v>29</v>
      </c>
      <c r="F5">
        <v>40</v>
      </c>
      <c r="G5" t="s">
        <v>65</v>
      </c>
      <c r="H5" t="s">
        <v>30</v>
      </c>
      <c r="I5">
        <v>2</v>
      </c>
      <c r="J5" t="s">
        <v>62</v>
      </c>
      <c r="K5">
        <v>579</v>
      </c>
      <c r="L5" t="s">
        <v>66</v>
      </c>
      <c r="M5">
        <v>3</v>
      </c>
      <c r="N5" t="s">
        <v>44</v>
      </c>
      <c r="O5">
        <v>0.31</v>
      </c>
      <c r="P5" t="s">
        <v>67</v>
      </c>
      <c r="Q5">
        <v>9553</v>
      </c>
      <c r="R5">
        <v>10844</v>
      </c>
      <c r="S5" t="s">
        <v>44</v>
      </c>
      <c r="T5">
        <v>27819</v>
      </c>
      <c r="U5" t="s">
        <v>64</v>
      </c>
      <c r="V5">
        <v>60</v>
      </c>
      <c r="W5">
        <v>5</v>
      </c>
      <c r="X5" t="s">
        <v>42</v>
      </c>
      <c r="Y5" t="s">
        <v>45</v>
      </c>
      <c r="Z5" t="s">
        <v>39</v>
      </c>
      <c r="AA5" t="s">
        <v>34</v>
      </c>
      <c r="AB5" t="s">
        <v>43</v>
      </c>
      <c r="AC5" t="s">
        <v>36</v>
      </c>
    </row>
    <row r="6" spans="1:29" x14ac:dyDescent="0.25">
      <c r="A6">
        <v>5</v>
      </c>
      <c r="B6">
        <v>13284</v>
      </c>
      <c r="C6">
        <v>4223</v>
      </c>
      <c r="D6">
        <v>17507</v>
      </c>
      <c r="E6" t="s">
        <v>46</v>
      </c>
      <c r="F6">
        <v>31</v>
      </c>
      <c r="G6" t="s">
        <v>61</v>
      </c>
      <c r="H6" t="s">
        <v>41</v>
      </c>
      <c r="I6">
        <v>2</v>
      </c>
      <c r="J6" t="s">
        <v>62</v>
      </c>
      <c r="K6">
        <v>721</v>
      </c>
      <c r="L6" t="s">
        <v>63</v>
      </c>
      <c r="M6">
        <v>1</v>
      </c>
      <c r="N6" t="s">
        <v>44</v>
      </c>
      <c r="O6">
        <v>0.28999999999999998</v>
      </c>
      <c r="P6" t="s">
        <v>59</v>
      </c>
      <c r="Q6">
        <v>9386</v>
      </c>
      <c r="R6">
        <v>37629</v>
      </c>
      <c r="S6" t="s">
        <v>44</v>
      </c>
      <c r="T6">
        <v>12741</v>
      </c>
      <c r="U6" t="s">
        <v>57</v>
      </c>
      <c r="V6">
        <v>72</v>
      </c>
      <c r="W6">
        <v>6</v>
      </c>
      <c r="X6" t="s">
        <v>37</v>
      </c>
      <c r="Y6" t="s">
        <v>32</v>
      </c>
      <c r="Z6" t="s">
        <v>39</v>
      </c>
      <c r="AA6" t="s">
        <v>40</v>
      </c>
      <c r="AB6" t="s">
        <v>35</v>
      </c>
      <c r="AC6" t="s">
        <v>44</v>
      </c>
    </row>
    <row r="7" spans="1:29" x14ac:dyDescent="0.25">
      <c r="A7">
        <v>6</v>
      </c>
      <c r="B7">
        <v>8265</v>
      </c>
      <c r="C7">
        <v>4831</v>
      </c>
      <c r="D7">
        <v>13096</v>
      </c>
      <c r="E7" t="s">
        <v>29</v>
      </c>
      <c r="F7">
        <v>53</v>
      </c>
      <c r="G7" t="s">
        <v>53</v>
      </c>
      <c r="H7" t="s">
        <v>41</v>
      </c>
      <c r="I7">
        <v>1</v>
      </c>
      <c r="J7" t="s">
        <v>68</v>
      </c>
      <c r="K7">
        <v>602</v>
      </c>
      <c r="L7" t="s">
        <v>55</v>
      </c>
      <c r="M7">
        <v>1</v>
      </c>
      <c r="N7" t="s">
        <v>44</v>
      </c>
      <c r="O7">
        <v>0.56000000000000005</v>
      </c>
      <c r="P7" t="s">
        <v>56</v>
      </c>
      <c r="Q7">
        <v>19522</v>
      </c>
      <c r="R7">
        <v>2911</v>
      </c>
      <c r="S7" t="s">
        <v>44</v>
      </c>
      <c r="T7">
        <v>9798</v>
      </c>
      <c r="U7" t="s">
        <v>57</v>
      </c>
      <c r="V7">
        <v>36</v>
      </c>
      <c r="W7">
        <v>3</v>
      </c>
      <c r="X7" t="s">
        <v>47</v>
      </c>
      <c r="Y7" t="s">
        <v>38</v>
      </c>
      <c r="Z7" t="s">
        <v>39</v>
      </c>
      <c r="AA7" t="s">
        <v>40</v>
      </c>
      <c r="AB7" t="s">
        <v>48</v>
      </c>
      <c r="AC7" t="s">
        <v>36</v>
      </c>
    </row>
    <row r="8" spans="1:29" x14ac:dyDescent="0.25">
      <c r="A8">
        <v>7</v>
      </c>
      <c r="B8">
        <v>18850</v>
      </c>
      <c r="C8">
        <v>2768</v>
      </c>
      <c r="D8">
        <v>21618</v>
      </c>
      <c r="E8" t="s">
        <v>29</v>
      </c>
      <c r="F8">
        <v>58</v>
      </c>
      <c r="G8" t="s">
        <v>69</v>
      </c>
      <c r="H8" t="s">
        <v>30</v>
      </c>
      <c r="I8">
        <v>0</v>
      </c>
      <c r="J8" t="s">
        <v>54</v>
      </c>
      <c r="K8">
        <v>687</v>
      </c>
      <c r="L8" t="s">
        <v>63</v>
      </c>
      <c r="M8">
        <v>0</v>
      </c>
      <c r="N8" t="s">
        <v>36</v>
      </c>
      <c r="O8">
        <v>0.48</v>
      </c>
      <c r="P8" t="s">
        <v>70</v>
      </c>
      <c r="Q8">
        <v>14635</v>
      </c>
      <c r="R8">
        <v>8991</v>
      </c>
      <c r="S8" t="s">
        <v>44</v>
      </c>
      <c r="T8">
        <v>26143</v>
      </c>
      <c r="U8" t="s">
        <v>64</v>
      </c>
      <c r="V8">
        <v>24</v>
      </c>
      <c r="W8">
        <v>2</v>
      </c>
      <c r="X8" t="s">
        <v>47</v>
      </c>
      <c r="Y8" t="s">
        <v>45</v>
      </c>
      <c r="Z8" t="s">
        <v>39</v>
      </c>
      <c r="AA8" t="s">
        <v>40</v>
      </c>
      <c r="AB8" t="s">
        <v>35</v>
      </c>
      <c r="AC8" t="s">
        <v>36</v>
      </c>
    </row>
    <row r="9" spans="1:29" x14ac:dyDescent="0.25">
      <c r="A9">
        <v>8</v>
      </c>
      <c r="B9">
        <v>6426</v>
      </c>
      <c r="C9">
        <v>3186</v>
      </c>
      <c r="D9">
        <v>9612</v>
      </c>
      <c r="E9" t="s">
        <v>29</v>
      </c>
      <c r="F9">
        <v>47</v>
      </c>
      <c r="G9" t="s">
        <v>53</v>
      </c>
      <c r="H9" t="s">
        <v>30</v>
      </c>
      <c r="I9">
        <v>2</v>
      </c>
      <c r="J9" t="s">
        <v>62</v>
      </c>
      <c r="K9">
        <v>636</v>
      </c>
      <c r="L9" t="s">
        <v>55</v>
      </c>
      <c r="M9">
        <v>4</v>
      </c>
      <c r="N9" t="s">
        <v>44</v>
      </c>
      <c r="O9">
        <v>0.35</v>
      </c>
      <c r="P9" t="s">
        <v>67</v>
      </c>
      <c r="Q9">
        <v>671</v>
      </c>
      <c r="R9">
        <v>11572</v>
      </c>
      <c r="S9" t="s">
        <v>44</v>
      </c>
      <c r="T9">
        <v>33747</v>
      </c>
      <c r="U9" t="s">
        <v>64</v>
      </c>
      <c r="V9">
        <v>84</v>
      </c>
      <c r="W9">
        <v>7</v>
      </c>
      <c r="X9" t="s">
        <v>31</v>
      </c>
      <c r="Y9" t="s">
        <v>45</v>
      </c>
      <c r="Z9" t="s">
        <v>39</v>
      </c>
      <c r="AA9" t="s">
        <v>34</v>
      </c>
      <c r="AB9" t="s">
        <v>35</v>
      </c>
      <c r="AC9" t="s">
        <v>36</v>
      </c>
    </row>
    <row r="10" spans="1:29" x14ac:dyDescent="0.25">
      <c r="A10">
        <v>9</v>
      </c>
      <c r="B10">
        <v>16423</v>
      </c>
      <c r="C10">
        <v>0</v>
      </c>
      <c r="D10">
        <v>16423</v>
      </c>
      <c r="E10" t="s">
        <v>29</v>
      </c>
      <c r="F10">
        <v>54</v>
      </c>
      <c r="G10" t="s">
        <v>53</v>
      </c>
      <c r="H10" t="s">
        <v>30</v>
      </c>
      <c r="I10">
        <v>1</v>
      </c>
      <c r="J10" t="s">
        <v>68</v>
      </c>
      <c r="K10">
        <v>729</v>
      </c>
      <c r="L10" t="s">
        <v>63</v>
      </c>
      <c r="M10">
        <v>0</v>
      </c>
      <c r="N10" t="s">
        <v>36</v>
      </c>
      <c r="O10">
        <v>0.59</v>
      </c>
      <c r="P10" t="s">
        <v>56</v>
      </c>
      <c r="Q10">
        <v>777</v>
      </c>
      <c r="R10">
        <v>43066</v>
      </c>
      <c r="S10" t="s">
        <v>44</v>
      </c>
      <c r="T10">
        <v>34651</v>
      </c>
      <c r="U10" t="s">
        <v>64</v>
      </c>
      <c r="V10">
        <v>36</v>
      </c>
      <c r="W10">
        <v>3</v>
      </c>
      <c r="X10" t="s">
        <v>47</v>
      </c>
      <c r="Y10" t="s">
        <v>38</v>
      </c>
      <c r="Z10" t="s">
        <v>39</v>
      </c>
      <c r="AA10" t="s">
        <v>40</v>
      </c>
      <c r="AB10" t="s">
        <v>35</v>
      </c>
      <c r="AC10" t="s">
        <v>36</v>
      </c>
    </row>
    <row r="11" spans="1:29" x14ac:dyDescent="0.25">
      <c r="A11">
        <v>10</v>
      </c>
      <c r="B11">
        <v>13363</v>
      </c>
      <c r="C11">
        <v>2599</v>
      </c>
      <c r="D11">
        <v>15962</v>
      </c>
      <c r="E11" t="s">
        <v>49</v>
      </c>
      <c r="F11">
        <v>35</v>
      </c>
      <c r="G11" t="s">
        <v>65</v>
      </c>
      <c r="H11" t="s">
        <v>41</v>
      </c>
      <c r="I11">
        <v>3</v>
      </c>
      <c r="J11" t="s">
        <v>58</v>
      </c>
      <c r="K11">
        <v>726</v>
      </c>
      <c r="L11" t="s">
        <v>63</v>
      </c>
      <c r="M11">
        <v>1</v>
      </c>
      <c r="N11" t="s">
        <v>44</v>
      </c>
      <c r="O11">
        <v>0.35</v>
      </c>
      <c r="P11" t="s">
        <v>67</v>
      </c>
      <c r="Q11">
        <v>3022</v>
      </c>
      <c r="R11">
        <v>29693</v>
      </c>
      <c r="S11" t="s">
        <v>44</v>
      </c>
      <c r="T11">
        <v>22182</v>
      </c>
      <c r="U11" t="s">
        <v>64</v>
      </c>
      <c r="V11">
        <v>60</v>
      </c>
      <c r="W11">
        <v>5</v>
      </c>
      <c r="X11" t="s">
        <v>31</v>
      </c>
      <c r="Y11" t="s">
        <v>45</v>
      </c>
      <c r="Z11" t="s">
        <v>39</v>
      </c>
      <c r="AA11" t="s">
        <v>34</v>
      </c>
      <c r="AB11" t="s">
        <v>43</v>
      </c>
      <c r="AC11" t="s">
        <v>44</v>
      </c>
    </row>
    <row r="12" spans="1:29" x14ac:dyDescent="0.25">
      <c r="A12">
        <v>11</v>
      </c>
      <c r="B12">
        <v>18023</v>
      </c>
      <c r="C12">
        <v>4033</v>
      </c>
      <c r="D12">
        <v>22056</v>
      </c>
      <c r="E12" t="s">
        <v>29</v>
      </c>
      <c r="F12">
        <v>52</v>
      </c>
      <c r="G12" t="s">
        <v>53</v>
      </c>
      <c r="H12" t="s">
        <v>30</v>
      </c>
      <c r="I12">
        <v>2</v>
      </c>
      <c r="J12" t="s">
        <v>62</v>
      </c>
      <c r="K12">
        <v>688</v>
      </c>
      <c r="L12" t="s">
        <v>63</v>
      </c>
      <c r="M12">
        <v>1</v>
      </c>
      <c r="N12" t="s">
        <v>44</v>
      </c>
      <c r="O12">
        <v>0.13</v>
      </c>
      <c r="P12" t="s">
        <v>59</v>
      </c>
      <c r="Q12">
        <v>18244</v>
      </c>
      <c r="R12">
        <v>40004</v>
      </c>
      <c r="S12" t="s">
        <v>44</v>
      </c>
      <c r="T12">
        <v>10415</v>
      </c>
      <c r="U12" t="s">
        <v>57</v>
      </c>
      <c r="V12">
        <v>12</v>
      </c>
      <c r="W12">
        <v>1</v>
      </c>
      <c r="X12" t="s">
        <v>50</v>
      </c>
      <c r="Y12" t="s">
        <v>32</v>
      </c>
      <c r="Z12" t="s">
        <v>33</v>
      </c>
      <c r="AA12" t="s">
        <v>34</v>
      </c>
      <c r="AB12" t="s">
        <v>51</v>
      </c>
      <c r="AC12" t="s">
        <v>44</v>
      </c>
    </row>
    <row r="13" spans="1:29" x14ac:dyDescent="0.25">
      <c r="A13">
        <v>12</v>
      </c>
      <c r="B13">
        <v>10322</v>
      </c>
      <c r="C13">
        <v>8428</v>
      </c>
      <c r="D13">
        <v>18750</v>
      </c>
      <c r="E13" t="s">
        <v>46</v>
      </c>
      <c r="F13">
        <v>41</v>
      </c>
      <c r="G13" t="s">
        <v>65</v>
      </c>
      <c r="H13" t="s">
        <v>30</v>
      </c>
      <c r="I13">
        <v>1</v>
      </c>
      <c r="J13" t="s">
        <v>68</v>
      </c>
      <c r="K13">
        <v>743</v>
      </c>
      <c r="L13" t="s">
        <v>71</v>
      </c>
      <c r="M13">
        <v>4</v>
      </c>
      <c r="N13" t="s">
        <v>44</v>
      </c>
      <c r="O13">
        <v>0.23</v>
      </c>
      <c r="P13" t="s">
        <v>59</v>
      </c>
      <c r="Q13">
        <v>0</v>
      </c>
      <c r="R13">
        <v>38333</v>
      </c>
      <c r="S13" t="s">
        <v>44</v>
      </c>
      <c r="T13">
        <v>12085</v>
      </c>
      <c r="U13" t="s">
        <v>57</v>
      </c>
      <c r="V13">
        <v>84</v>
      </c>
      <c r="W13">
        <v>7</v>
      </c>
      <c r="X13" t="s">
        <v>37</v>
      </c>
      <c r="Y13" t="s">
        <v>38</v>
      </c>
      <c r="Z13" t="s">
        <v>39</v>
      </c>
      <c r="AA13" t="s">
        <v>40</v>
      </c>
      <c r="AB13" t="s">
        <v>43</v>
      </c>
      <c r="AC13" t="s">
        <v>44</v>
      </c>
    </row>
    <row r="14" spans="1:29" x14ac:dyDescent="0.25">
      <c r="A14">
        <v>13</v>
      </c>
      <c r="B14">
        <v>3685</v>
      </c>
      <c r="C14">
        <v>1304</v>
      </c>
      <c r="D14">
        <v>4989</v>
      </c>
      <c r="E14" t="s">
        <v>49</v>
      </c>
      <c r="F14">
        <v>25</v>
      </c>
      <c r="G14" t="s">
        <v>61</v>
      </c>
      <c r="H14" t="s">
        <v>30</v>
      </c>
      <c r="I14">
        <v>2</v>
      </c>
      <c r="J14" t="s">
        <v>62</v>
      </c>
      <c r="K14">
        <v>735</v>
      </c>
      <c r="L14" t="s">
        <v>63</v>
      </c>
      <c r="M14">
        <v>3</v>
      </c>
      <c r="N14" t="s">
        <v>44</v>
      </c>
      <c r="O14">
        <v>0.32</v>
      </c>
      <c r="P14" t="s">
        <v>67</v>
      </c>
      <c r="Q14">
        <v>13817</v>
      </c>
      <c r="R14">
        <v>17493</v>
      </c>
      <c r="S14" t="s">
        <v>44</v>
      </c>
      <c r="T14">
        <v>16008</v>
      </c>
      <c r="U14" t="s">
        <v>57</v>
      </c>
      <c r="V14">
        <v>36</v>
      </c>
      <c r="W14">
        <v>3</v>
      </c>
      <c r="X14" t="s">
        <v>42</v>
      </c>
      <c r="Y14" t="s">
        <v>45</v>
      </c>
      <c r="Z14" t="s">
        <v>39</v>
      </c>
      <c r="AA14" t="s">
        <v>40</v>
      </c>
      <c r="AB14" t="s">
        <v>35</v>
      </c>
      <c r="AC14" t="s">
        <v>36</v>
      </c>
    </row>
    <row r="15" spans="1:29" x14ac:dyDescent="0.25">
      <c r="A15">
        <v>14</v>
      </c>
      <c r="B15">
        <v>2769</v>
      </c>
      <c r="C15">
        <v>7368</v>
      </c>
      <c r="D15">
        <v>10137</v>
      </c>
      <c r="E15" t="s">
        <v>46</v>
      </c>
      <c r="F15">
        <v>26</v>
      </c>
      <c r="G15" t="s">
        <v>61</v>
      </c>
      <c r="H15" t="s">
        <v>41</v>
      </c>
      <c r="I15">
        <v>0</v>
      </c>
      <c r="J15" t="s">
        <v>54</v>
      </c>
      <c r="K15">
        <v>767</v>
      </c>
      <c r="L15" t="s">
        <v>71</v>
      </c>
      <c r="M15">
        <v>3</v>
      </c>
      <c r="N15" t="s">
        <v>44</v>
      </c>
      <c r="O15">
        <v>0.18</v>
      </c>
      <c r="P15" t="s">
        <v>59</v>
      </c>
      <c r="Q15">
        <v>14260</v>
      </c>
      <c r="R15">
        <v>39697</v>
      </c>
      <c r="S15" t="s">
        <v>44</v>
      </c>
      <c r="T15">
        <v>23102</v>
      </c>
      <c r="U15" t="s">
        <v>64</v>
      </c>
      <c r="V15">
        <v>72</v>
      </c>
      <c r="W15">
        <v>6</v>
      </c>
      <c r="X15" t="s">
        <v>31</v>
      </c>
      <c r="Y15" t="s">
        <v>38</v>
      </c>
      <c r="Z15" t="s">
        <v>39</v>
      </c>
      <c r="AA15" t="s">
        <v>40</v>
      </c>
      <c r="AB15" t="s">
        <v>35</v>
      </c>
      <c r="AC15" t="s">
        <v>36</v>
      </c>
    </row>
    <row r="16" spans="1:29" x14ac:dyDescent="0.25">
      <c r="A16">
        <v>15</v>
      </c>
      <c r="B16">
        <v>4433</v>
      </c>
      <c r="C16">
        <v>5877</v>
      </c>
      <c r="D16">
        <v>10310</v>
      </c>
      <c r="E16" t="s">
        <v>49</v>
      </c>
      <c r="F16">
        <v>58</v>
      </c>
      <c r="G16" t="s">
        <v>69</v>
      </c>
      <c r="H16" t="s">
        <v>41</v>
      </c>
      <c r="I16">
        <v>0</v>
      </c>
      <c r="J16" t="s">
        <v>54</v>
      </c>
      <c r="K16">
        <v>713</v>
      </c>
      <c r="L16" t="s">
        <v>63</v>
      </c>
      <c r="M16">
        <v>4</v>
      </c>
      <c r="N16" t="s">
        <v>44</v>
      </c>
      <c r="O16">
        <v>0.56999999999999995</v>
      </c>
      <c r="P16" t="s">
        <v>56</v>
      </c>
      <c r="Q16">
        <v>1074</v>
      </c>
      <c r="R16">
        <v>0</v>
      </c>
      <c r="S16" t="s">
        <v>36</v>
      </c>
      <c r="T16">
        <v>19452</v>
      </c>
      <c r="U16" t="s">
        <v>57</v>
      </c>
      <c r="V16">
        <v>84</v>
      </c>
      <c r="W16">
        <v>7</v>
      </c>
      <c r="X16" t="s">
        <v>42</v>
      </c>
      <c r="Y16" t="s">
        <v>38</v>
      </c>
      <c r="Z16" t="s">
        <v>39</v>
      </c>
      <c r="AA16" t="s">
        <v>40</v>
      </c>
      <c r="AB16" t="s">
        <v>51</v>
      </c>
      <c r="AC16" t="s">
        <v>36</v>
      </c>
    </row>
    <row r="17" spans="1:29" x14ac:dyDescent="0.25">
      <c r="A17">
        <v>16</v>
      </c>
      <c r="B17">
        <v>7311</v>
      </c>
      <c r="C17">
        <v>1301</v>
      </c>
      <c r="D17">
        <v>8612</v>
      </c>
      <c r="E17" t="s">
        <v>29</v>
      </c>
      <c r="F17">
        <v>42</v>
      </c>
      <c r="G17" t="s">
        <v>65</v>
      </c>
      <c r="H17" t="s">
        <v>30</v>
      </c>
      <c r="I17">
        <v>3</v>
      </c>
      <c r="J17" t="s">
        <v>58</v>
      </c>
      <c r="K17">
        <v>710</v>
      </c>
      <c r="L17" t="s">
        <v>63</v>
      </c>
      <c r="M17">
        <v>4</v>
      </c>
      <c r="N17" t="s">
        <v>44</v>
      </c>
      <c r="O17">
        <v>0.48</v>
      </c>
      <c r="P17" t="s">
        <v>70</v>
      </c>
      <c r="Q17">
        <v>9908</v>
      </c>
      <c r="R17">
        <v>24561</v>
      </c>
      <c r="S17" t="s">
        <v>44</v>
      </c>
      <c r="T17">
        <v>9120</v>
      </c>
      <c r="U17" t="s">
        <v>57</v>
      </c>
      <c r="V17">
        <v>72</v>
      </c>
      <c r="W17">
        <v>6</v>
      </c>
      <c r="X17" t="s">
        <v>31</v>
      </c>
      <c r="Y17" t="s">
        <v>32</v>
      </c>
      <c r="Z17" t="s">
        <v>33</v>
      </c>
      <c r="AA17" t="s">
        <v>34</v>
      </c>
      <c r="AB17" t="s">
        <v>35</v>
      </c>
      <c r="AC17" t="s">
        <v>36</v>
      </c>
    </row>
    <row r="18" spans="1:29" x14ac:dyDescent="0.25">
      <c r="A18">
        <v>17</v>
      </c>
      <c r="B18">
        <v>7051</v>
      </c>
      <c r="C18">
        <v>2541</v>
      </c>
      <c r="D18">
        <v>9592</v>
      </c>
      <c r="E18" t="s">
        <v>48</v>
      </c>
      <c r="F18">
        <v>38</v>
      </c>
      <c r="G18" t="s">
        <v>65</v>
      </c>
      <c r="H18" t="s">
        <v>30</v>
      </c>
      <c r="I18">
        <v>2</v>
      </c>
      <c r="J18" t="s">
        <v>62</v>
      </c>
      <c r="K18">
        <v>724</v>
      </c>
      <c r="L18" t="s">
        <v>63</v>
      </c>
      <c r="M18">
        <v>0</v>
      </c>
      <c r="N18" t="s">
        <v>36</v>
      </c>
      <c r="O18">
        <v>0.23</v>
      </c>
      <c r="P18" t="s">
        <v>59</v>
      </c>
      <c r="Q18">
        <v>9475</v>
      </c>
      <c r="R18">
        <v>18033</v>
      </c>
      <c r="S18" t="s">
        <v>44</v>
      </c>
      <c r="T18">
        <v>8820</v>
      </c>
      <c r="U18" t="s">
        <v>57</v>
      </c>
      <c r="V18">
        <v>48</v>
      </c>
      <c r="W18">
        <v>4</v>
      </c>
      <c r="X18" t="s">
        <v>31</v>
      </c>
      <c r="Y18" t="s">
        <v>32</v>
      </c>
      <c r="Z18" t="s">
        <v>39</v>
      </c>
      <c r="AA18" t="s">
        <v>34</v>
      </c>
      <c r="AB18" t="s">
        <v>35</v>
      </c>
      <c r="AC18" t="s">
        <v>44</v>
      </c>
    </row>
    <row r="19" spans="1:29" x14ac:dyDescent="0.25">
      <c r="A19">
        <v>18</v>
      </c>
      <c r="B19">
        <v>8420</v>
      </c>
      <c r="C19">
        <v>2051</v>
      </c>
      <c r="D19">
        <v>10471</v>
      </c>
      <c r="E19" t="s">
        <v>29</v>
      </c>
      <c r="F19">
        <v>34</v>
      </c>
      <c r="G19" t="s">
        <v>61</v>
      </c>
      <c r="H19" t="s">
        <v>30</v>
      </c>
      <c r="I19">
        <v>1</v>
      </c>
      <c r="J19" t="s">
        <v>68</v>
      </c>
      <c r="K19">
        <v>562</v>
      </c>
      <c r="L19" t="s">
        <v>66</v>
      </c>
      <c r="M19">
        <v>4</v>
      </c>
      <c r="N19" t="s">
        <v>44</v>
      </c>
      <c r="O19">
        <v>0.4</v>
      </c>
      <c r="P19" t="s">
        <v>67</v>
      </c>
      <c r="Q19">
        <v>12878</v>
      </c>
      <c r="R19">
        <v>7351</v>
      </c>
      <c r="S19" t="s">
        <v>44</v>
      </c>
      <c r="T19">
        <v>19170</v>
      </c>
      <c r="U19" t="s">
        <v>57</v>
      </c>
      <c r="V19">
        <v>48</v>
      </c>
      <c r="W19">
        <v>4</v>
      </c>
      <c r="X19" t="s">
        <v>47</v>
      </c>
      <c r="Y19" t="s">
        <v>32</v>
      </c>
      <c r="Z19" t="s">
        <v>39</v>
      </c>
      <c r="AA19" t="s">
        <v>40</v>
      </c>
      <c r="AB19" t="s">
        <v>35</v>
      </c>
      <c r="AC19" t="s">
        <v>36</v>
      </c>
    </row>
    <row r="20" spans="1:29" x14ac:dyDescent="0.25">
      <c r="A20">
        <v>19</v>
      </c>
      <c r="B20">
        <v>19568</v>
      </c>
      <c r="C20">
        <v>6809</v>
      </c>
      <c r="D20">
        <v>26377</v>
      </c>
      <c r="E20" t="s">
        <v>29</v>
      </c>
      <c r="F20">
        <v>30</v>
      </c>
      <c r="G20" t="s">
        <v>61</v>
      </c>
      <c r="H20" t="s">
        <v>30</v>
      </c>
      <c r="I20">
        <v>3</v>
      </c>
      <c r="J20" t="s">
        <v>58</v>
      </c>
      <c r="K20">
        <v>589</v>
      </c>
      <c r="L20" t="s">
        <v>55</v>
      </c>
      <c r="M20">
        <v>3</v>
      </c>
      <c r="N20" t="s">
        <v>44</v>
      </c>
      <c r="O20">
        <v>0.46</v>
      </c>
      <c r="P20" t="s">
        <v>70</v>
      </c>
      <c r="Q20">
        <v>15120</v>
      </c>
      <c r="R20">
        <v>25921</v>
      </c>
      <c r="S20" t="s">
        <v>44</v>
      </c>
      <c r="T20">
        <v>17259</v>
      </c>
      <c r="U20" t="s">
        <v>57</v>
      </c>
      <c r="V20">
        <v>48</v>
      </c>
      <c r="W20">
        <v>4</v>
      </c>
      <c r="X20" t="s">
        <v>47</v>
      </c>
      <c r="Y20" t="s">
        <v>45</v>
      </c>
      <c r="Z20" t="s">
        <v>33</v>
      </c>
      <c r="AA20" t="s">
        <v>34</v>
      </c>
      <c r="AB20" t="s">
        <v>35</v>
      </c>
      <c r="AC20" t="s">
        <v>36</v>
      </c>
    </row>
    <row r="21" spans="1:29" x14ac:dyDescent="0.25">
      <c r="A21">
        <v>20</v>
      </c>
      <c r="B21">
        <v>8396</v>
      </c>
      <c r="C21">
        <v>8633</v>
      </c>
      <c r="D21">
        <v>17029</v>
      </c>
      <c r="E21" t="s">
        <v>52</v>
      </c>
      <c r="F21">
        <v>33</v>
      </c>
      <c r="G21" t="s">
        <v>61</v>
      </c>
      <c r="H21" t="s">
        <v>41</v>
      </c>
      <c r="I21">
        <v>2</v>
      </c>
      <c r="J21" t="s">
        <v>62</v>
      </c>
      <c r="K21">
        <v>638</v>
      </c>
      <c r="L21" t="s">
        <v>55</v>
      </c>
      <c r="M21">
        <v>0</v>
      </c>
      <c r="N21" t="s">
        <v>36</v>
      </c>
      <c r="O21">
        <v>0.56999999999999995</v>
      </c>
      <c r="P21" t="s">
        <v>56</v>
      </c>
      <c r="Q21">
        <v>1986</v>
      </c>
      <c r="R21">
        <v>19340</v>
      </c>
      <c r="S21" t="s">
        <v>44</v>
      </c>
      <c r="T21">
        <v>23099</v>
      </c>
      <c r="U21" t="s">
        <v>64</v>
      </c>
      <c r="V21">
        <v>84</v>
      </c>
      <c r="W21">
        <v>7</v>
      </c>
      <c r="X21" t="s">
        <v>37</v>
      </c>
      <c r="Y21" t="s">
        <v>32</v>
      </c>
      <c r="Z21" t="s">
        <v>39</v>
      </c>
      <c r="AA21" t="s">
        <v>40</v>
      </c>
      <c r="AB21" t="s">
        <v>35</v>
      </c>
      <c r="AC21" t="s">
        <v>36</v>
      </c>
    </row>
    <row r="22" spans="1:29" x14ac:dyDescent="0.25">
      <c r="A22">
        <v>21</v>
      </c>
      <c r="B22">
        <v>10666</v>
      </c>
      <c r="C22">
        <v>8996</v>
      </c>
      <c r="D22">
        <v>19662</v>
      </c>
      <c r="E22" t="s">
        <v>48</v>
      </c>
      <c r="F22">
        <v>51</v>
      </c>
      <c r="G22" t="s">
        <v>53</v>
      </c>
      <c r="H22" t="s">
        <v>30</v>
      </c>
      <c r="I22">
        <v>3</v>
      </c>
      <c r="J22" t="s">
        <v>58</v>
      </c>
      <c r="K22">
        <v>617</v>
      </c>
      <c r="L22" t="s">
        <v>55</v>
      </c>
      <c r="M22">
        <v>0</v>
      </c>
      <c r="N22" t="s">
        <v>36</v>
      </c>
      <c r="O22">
        <v>0.54</v>
      </c>
      <c r="P22" t="s">
        <v>56</v>
      </c>
      <c r="Q22">
        <v>10825</v>
      </c>
      <c r="R22">
        <v>14901</v>
      </c>
      <c r="S22" t="s">
        <v>44</v>
      </c>
      <c r="T22">
        <v>10649</v>
      </c>
      <c r="U22" t="s">
        <v>57</v>
      </c>
      <c r="V22">
        <v>12</v>
      </c>
      <c r="W22">
        <v>1</v>
      </c>
      <c r="X22" t="s">
        <v>42</v>
      </c>
      <c r="Y22" t="s">
        <v>45</v>
      </c>
      <c r="Z22" t="s">
        <v>39</v>
      </c>
      <c r="AA22" t="s">
        <v>40</v>
      </c>
      <c r="AB22" t="s">
        <v>51</v>
      </c>
      <c r="AC22" t="s">
        <v>36</v>
      </c>
    </row>
    <row r="23" spans="1:29" x14ac:dyDescent="0.25">
      <c r="A23">
        <v>22</v>
      </c>
      <c r="B23">
        <v>4747</v>
      </c>
      <c r="C23">
        <v>74</v>
      </c>
      <c r="D23">
        <v>4821</v>
      </c>
      <c r="E23" t="s">
        <v>49</v>
      </c>
      <c r="F23">
        <v>50</v>
      </c>
      <c r="G23" t="s">
        <v>53</v>
      </c>
      <c r="H23" t="s">
        <v>30</v>
      </c>
      <c r="I23">
        <v>1</v>
      </c>
      <c r="J23" t="s">
        <v>68</v>
      </c>
      <c r="K23">
        <v>591</v>
      </c>
      <c r="L23" t="s">
        <v>55</v>
      </c>
      <c r="M23">
        <v>0</v>
      </c>
      <c r="N23" t="s">
        <v>36</v>
      </c>
      <c r="O23">
        <v>0.36</v>
      </c>
      <c r="P23" t="s">
        <v>67</v>
      </c>
      <c r="Q23">
        <v>9193</v>
      </c>
      <c r="R23">
        <v>0</v>
      </c>
      <c r="S23" t="s">
        <v>36</v>
      </c>
      <c r="T23">
        <v>31255</v>
      </c>
      <c r="U23" t="s">
        <v>64</v>
      </c>
      <c r="V23">
        <v>60</v>
      </c>
      <c r="W23">
        <v>5</v>
      </c>
      <c r="X23" t="s">
        <v>37</v>
      </c>
      <c r="Y23" t="s">
        <v>32</v>
      </c>
      <c r="Z23" t="s">
        <v>39</v>
      </c>
      <c r="AA23" t="s">
        <v>40</v>
      </c>
      <c r="AB23" t="s">
        <v>42</v>
      </c>
      <c r="AC23" t="s">
        <v>36</v>
      </c>
    </row>
    <row r="24" spans="1:29" x14ac:dyDescent="0.25">
      <c r="A24">
        <v>23</v>
      </c>
      <c r="B24">
        <v>2189</v>
      </c>
      <c r="C24">
        <v>6981</v>
      </c>
      <c r="D24">
        <v>9170</v>
      </c>
      <c r="E24" t="s">
        <v>29</v>
      </c>
      <c r="F24">
        <v>23</v>
      </c>
      <c r="G24" t="s">
        <v>72</v>
      </c>
      <c r="H24" t="s">
        <v>30</v>
      </c>
      <c r="I24">
        <v>3</v>
      </c>
      <c r="J24" t="s">
        <v>58</v>
      </c>
      <c r="K24">
        <v>696</v>
      </c>
      <c r="L24" t="s">
        <v>63</v>
      </c>
      <c r="M24">
        <v>0</v>
      </c>
      <c r="N24" t="s">
        <v>36</v>
      </c>
      <c r="O24">
        <v>0.49</v>
      </c>
      <c r="P24" t="s">
        <v>70</v>
      </c>
      <c r="Q24">
        <v>17430</v>
      </c>
      <c r="R24">
        <v>38596</v>
      </c>
      <c r="S24" t="s">
        <v>44</v>
      </c>
      <c r="T24">
        <v>12805</v>
      </c>
      <c r="U24" t="s">
        <v>57</v>
      </c>
      <c r="V24">
        <v>84</v>
      </c>
      <c r="W24">
        <v>7</v>
      </c>
      <c r="X24" t="s">
        <v>42</v>
      </c>
      <c r="Y24" t="s">
        <v>32</v>
      </c>
      <c r="Z24" t="s">
        <v>39</v>
      </c>
      <c r="AA24" t="s">
        <v>40</v>
      </c>
      <c r="AB24" t="s">
        <v>43</v>
      </c>
      <c r="AC24" t="s">
        <v>36</v>
      </c>
    </row>
    <row r="25" spans="1:29" x14ac:dyDescent="0.25">
      <c r="A25">
        <v>24</v>
      </c>
      <c r="B25">
        <v>5005</v>
      </c>
      <c r="C25">
        <v>5475</v>
      </c>
      <c r="D25">
        <v>10480</v>
      </c>
      <c r="E25" t="s">
        <v>29</v>
      </c>
      <c r="F25">
        <v>50</v>
      </c>
      <c r="G25" t="s">
        <v>53</v>
      </c>
      <c r="H25" t="s">
        <v>41</v>
      </c>
      <c r="I25">
        <v>3</v>
      </c>
      <c r="J25" t="s">
        <v>58</v>
      </c>
      <c r="K25">
        <v>759</v>
      </c>
      <c r="L25" t="s">
        <v>71</v>
      </c>
      <c r="M25">
        <v>0</v>
      </c>
      <c r="N25" t="s">
        <v>36</v>
      </c>
      <c r="O25">
        <v>0.38</v>
      </c>
      <c r="P25" t="s">
        <v>67</v>
      </c>
      <c r="Q25">
        <v>2176</v>
      </c>
      <c r="R25">
        <v>21378</v>
      </c>
      <c r="S25" t="s">
        <v>44</v>
      </c>
      <c r="T25">
        <v>9744</v>
      </c>
      <c r="U25" t="s">
        <v>57</v>
      </c>
      <c r="V25">
        <v>24</v>
      </c>
      <c r="W25">
        <v>2</v>
      </c>
      <c r="X25" t="s">
        <v>47</v>
      </c>
      <c r="Y25" t="s">
        <v>32</v>
      </c>
      <c r="Z25" t="s">
        <v>39</v>
      </c>
      <c r="AA25" t="s">
        <v>34</v>
      </c>
      <c r="AB25" t="s">
        <v>35</v>
      </c>
      <c r="AC25" t="s">
        <v>44</v>
      </c>
    </row>
    <row r="26" spans="1:29" x14ac:dyDescent="0.25">
      <c r="A26">
        <v>26</v>
      </c>
      <c r="B26">
        <v>3267</v>
      </c>
      <c r="C26">
        <v>0</v>
      </c>
      <c r="D26">
        <v>3267</v>
      </c>
      <c r="E26" t="s">
        <v>29</v>
      </c>
      <c r="F26">
        <v>49</v>
      </c>
      <c r="G26" t="s">
        <v>53</v>
      </c>
      <c r="H26" t="s">
        <v>30</v>
      </c>
      <c r="I26">
        <v>2</v>
      </c>
      <c r="J26" t="s">
        <v>62</v>
      </c>
      <c r="K26">
        <v>643</v>
      </c>
      <c r="L26" t="s">
        <v>55</v>
      </c>
      <c r="M26">
        <v>4</v>
      </c>
      <c r="N26" t="s">
        <v>44</v>
      </c>
      <c r="O26">
        <v>0.16</v>
      </c>
      <c r="P26" t="s">
        <v>59</v>
      </c>
      <c r="Q26">
        <v>10047</v>
      </c>
      <c r="R26">
        <v>22820</v>
      </c>
      <c r="S26" t="s">
        <v>44</v>
      </c>
      <c r="T26">
        <v>26857</v>
      </c>
      <c r="U26" t="s">
        <v>64</v>
      </c>
      <c r="V26">
        <v>72</v>
      </c>
      <c r="W26">
        <v>6</v>
      </c>
      <c r="X26" t="s">
        <v>42</v>
      </c>
      <c r="Y26" t="s">
        <v>45</v>
      </c>
      <c r="Z26" t="s">
        <v>39</v>
      </c>
      <c r="AA26" t="s">
        <v>40</v>
      </c>
      <c r="AB26" t="s">
        <v>43</v>
      </c>
      <c r="AC26" t="s">
        <v>36</v>
      </c>
    </row>
    <row r="27" spans="1:29" x14ac:dyDescent="0.25">
      <c r="A27">
        <v>27</v>
      </c>
      <c r="B27">
        <v>19912</v>
      </c>
      <c r="C27">
        <v>5796</v>
      </c>
      <c r="D27">
        <v>25708</v>
      </c>
      <c r="E27" t="s">
        <v>49</v>
      </c>
      <c r="F27">
        <v>28</v>
      </c>
      <c r="G27" t="s">
        <v>61</v>
      </c>
      <c r="H27" t="s">
        <v>41</v>
      </c>
      <c r="I27">
        <v>1</v>
      </c>
      <c r="J27" t="s">
        <v>68</v>
      </c>
      <c r="K27">
        <v>568</v>
      </c>
      <c r="L27" t="s">
        <v>66</v>
      </c>
      <c r="M27">
        <v>1</v>
      </c>
      <c r="N27" t="s">
        <v>44</v>
      </c>
      <c r="O27">
        <v>0.16</v>
      </c>
      <c r="P27" t="s">
        <v>59</v>
      </c>
      <c r="Q27">
        <v>16884</v>
      </c>
      <c r="R27">
        <v>25060</v>
      </c>
      <c r="S27" t="s">
        <v>44</v>
      </c>
      <c r="T27">
        <v>11679</v>
      </c>
      <c r="U27" t="s">
        <v>57</v>
      </c>
      <c r="V27">
        <v>84</v>
      </c>
      <c r="W27">
        <v>7</v>
      </c>
      <c r="X27" t="s">
        <v>31</v>
      </c>
      <c r="Y27" t="s">
        <v>32</v>
      </c>
      <c r="Z27" t="s">
        <v>39</v>
      </c>
      <c r="AA27" t="s">
        <v>40</v>
      </c>
      <c r="AB27" t="s">
        <v>43</v>
      </c>
      <c r="AC27" t="s">
        <v>36</v>
      </c>
    </row>
    <row r="28" spans="1:29" x14ac:dyDescent="0.25">
      <c r="A28">
        <v>28</v>
      </c>
      <c r="B28">
        <v>13394</v>
      </c>
      <c r="C28">
        <v>7141</v>
      </c>
      <c r="D28">
        <v>20535</v>
      </c>
      <c r="E28" t="s">
        <v>52</v>
      </c>
      <c r="F28">
        <v>53</v>
      </c>
      <c r="G28" t="s">
        <v>53</v>
      </c>
      <c r="H28" t="s">
        <v>30</v>
      </c>
      <c r="I28">
        <v>0</v>
      </c>
      <c r="J28" t="s">
        <v>54</v>
      </c>
      <c r="K28">
        <v>735</v>
      </c>
      <c r="L28" t="s">
        <v>63</v>
      </c>
      <c r="M28">
        <v>4</v>
      </c>
      <c r="N28" t="s">
        <v>44</v>
      </c>
      <c r="O28">
        <v>0.36</v>
      </c>
      <c r="P28" t="s">
        <v>67</v>
      </c>
      <c r="Q28">
        <v>18617</v>
      </c>
      <c r="R28">
        <v>32642</v>
      </c>
      <c r="S28" t="s">
        <v>44</v>
      </c>
      <c r="T28">
        <v>30829</v>
      </c>
      <c r="U28" t="s">
        <v>64</v>
      </c>
      <c r="V28">
        <v>84</v>
      </c>
      <c r="W28">
        <v>7</v>
      </c>
      <c r="X28" t="s">
        <v>37</v>
      </c>
      <c r="Y28" t="s">
        <v>32</v>
      </c>
      <c r="Z28" t="s">
        <v>33</v>
      </c>
      <c r="AA28" t="s">
        <v>40</v>
      </c>
      <c r="AB28" t="s">
        <v>35</v>
      </c>
      <c r="AC28" t="s">
        <v>44</v>
      </c>
    </row>
    <row r="29" spans="1:29" x14ac:dyDescent="0.25">
      <c r="A29">
        <v>29</v>
      </c>
      <c r="B29">
        <v>5556</v>
      </c>
      <c r="C29">
        <v>1622</v>
      </c>
      <c r="D29">
        <v>7178</v>
      </c>
      <c r="E29" t="s">
        <v>29</v>
      </c>
      <c r="F29">
        <v>37</v>
      </c>
      <c r="G29" t="s">
        <v>65</v>
      </c>
      <c r="H29" t="s">
        <v>30</v>
      </c>
      <c r="I29">
        <v>0</v>
      </c>
      <c r="J29" t="s">
        <v>54</v>
      </c>
      <c r="K29">
        <v>572</v>
      </c>
      <c r="L29" t="s">
        <v>66</v>
      </c>
      <c r="M29">
        <v>2</v>
      </c>
      <c r="N29" t="s">
        <v>44</v>
      </c>
      <c r="O29">
        <v>0.23</v>
      </c>
      <c r="P29" t="s">
        <v>59</v>
      </c>
      <c r="Q29">
        <v>4608</v>
      </c>
      <c r="R29">
        <v>25378</v>
      </c>
      <c r="S29" t="s">
        <v>44</v>
      </c>
      <c r="T29">
        <v>11985</v>
      </c>
      <c r="U29" t="s">
        <v>57</v>
      </c>
      <c r="V29">
        <v>60</v>
      </c>
      <c r="W29">
        <v>5</v>
      </c>
      <c r="X29" t="s">
        <v>42</v>
      </c>
      <c r="Y29" t="s">
        <v>32</v>
      </c>
      <c r="Z29" t="s">
        <v>33</v>
      </c>
      <c r="AA29" t="s">
        <v>40</v>
      </c>
      <c r="AB29" t="s">
        <v>48</v>
      </c>
      <c r="AC29" t="s">
        <v>36</v>
      </c>
    </row>
    <row r="30" spans="1:29" x14ac:dyDescent="0.25">
      <c r="A30">
        <v>30</v>
      </c>
      <c r="B30">
        <v>5890</v>
      </c>
      <c r="C30">
        <v>8041</v>
      </c>
      <c r="D30">
        <v>13931</v>
      </c>
      <c r="E30" t="s">
        <v>29</v>
      </c>
      <c r="F30">
        <v>31</v>
      </c>
      <c r="G30" t="s">
        <v>61</v>
      </c>
      <c r="H30" t="s">
        <v>30</v>
      </c>
      <c r="I30">
        <v>0</v>
      </c>
      <c r="J30" t="s">
        <v>54</v>
      </c>
      <c r="K30">
        <v>603</v>
      </c>
      <c r="L30" t="s">
        <v>55</v>
      </c>
      <c r="M30">
        <v>0</v>
      </c>
      <c r="N30" t="s">
        <v>36</v>
      </c>
      <c r="O30">
        <v>0.11</v>
      </c>
      <c r="P30" t="s">
        <v>59</v>
      </c>
      <c r="Q30">
        <v>11906</v>
      </c>
      <c r="R30">
        <v>8150</v>
      </c>
      <c r="S30" t="s">
        <v>44</v>
      </c>
      <c r="T30">
        <v>29287</v>
      </c>
      <c r="U30" t="s">
        <v>64</v>
      </c>
      <c r="V30">
        <v>12</v>
      </c>
      <c r="W30">
        <v>1</v>
      </c>
      <c r="X30" t="s">
        <v>37</v>
      </c>
      <c r="Y30" t="s">
        <v>45</v>
      </c>
      <c r="Z30" t="s">
        <v>33</v>
      </c>
      <c r="AA30" t="s">
        <v>34</v>
      </c>
      <c r="AB30" t="s">
        <v>43</v>
      </c>
      <c r="AC30" t="s">
        <v>36</v>
      </c>
    </row>
    <row r="31" spans="1:29" x14ac:dyDescent="0.25">
      <c r="A31">
        <v>31</v>
      </c>
      <c r="B31">
        <v>10838</v>
      </c>
      <c r="C31">
        <v>341</v>
      </c>
      <c r="D31">
        <v>11179</v>
      </c>
      <c r="E31" t="s">
        <v>29</v>
      </c>
      <c r="F31">
        <v>33</v>
      </c>
      <c r="G31" t="s">
        <v>61</v>
      </c>
      <c r="H31" t="s">
        <v>30</v>
      </c>
      <c r="I31">
        <v>0</v>
      </c>
      <c r="J31" t="s">
        <v>54</v>
      </c>
      <c r="K31">
        <v>757</v>
      </c>
      <c r="L31" t="s">
        <v>71</v>
      </c>
      <c r="M31">
        <v>2</v>
      </c>
      <c r="N31" t="s">
        <v>44</v>
      </c>
      <c r="O31">
        <v>0.46</v>
      </c>
      <c r="P31" t="s">
        <v>70</v>
      </c>
      <c r="Q31">
        <v>7234</v>
      </c>
      <c r="R31">
        <v>0</v>
      </c>
      <c r="S31" t="s">
        <v>36</v>
      </c>
      <c r="T31">
        <v>13391</v>
      </c>
      <c r="U31" t="s">
        <v>57</v>
      </c>
      <c r="V31">
        <v>84</v>
      </c>
      <c r="W31">
        <v>7</v>
      </c>
      <c r="X31" t="s">
        <v>31</v>
      </c>
      <c r="Y31" t="s">
        <v>38</v>
      </c>
      <c r="Z31" t="s">
        <v>39</v>
      </c>
      <c r="AA31" t="s">
        <v>34</v>
      </c>
      <c r="AB31" t="s">
        <v>48</v>
      </c>
      <c r="AC31" t="s">
        <v>36</v>
      </c>
    </row>
    <row r="32" spans="1:29" x14ac:dyDescent="0.25">
      <c r="A32">
        <v>33</v>
      </c>
      <c r="B32">
        <v>12627</v>
      </c>
      <c r="C32">
        <v>0</v>
      </c>
      <c r="D32">
        <v>12627</v>
      </c>
      <c r="E32" t="s">
        <v>49</v>
      </c>
      <c r="F32">
        <v>51</v>
      </c>
      <c r="G32" t="s">
        <v>53</v>
      </c>
      <c r="H32" t="s">
        <v>41</v>
      </c>
      <c r="I32">
        <v>2</v>
      </c>
      <c r="J32" t="s">
        <v>62</v>
      </c>
      <c r="K32">
        <v>689</v>
      </c>
      <c r="L32" t="s">
        <v>63</v>
      </c>
      <c r="M32">
        <v>3</v>
      </c>
      <c r="N32" t="s">
        <v>44</v>
      </c>
      <c r="O32">
        <v>0.4</v>
      </c>
      <c r="P32" t="s">
        <v>67</v>
      </c>
      <c r="Q32">
        <v>10524</v>
      </c>
      <c r="R32">
        <v>34525</v>
      </c>
      <c r="S32" t="s">
        <v>44</v>
      </c>
      <c r="T32">
        <v>35364</v>
      </c>
      <c r="U32" t="s">
        <v>60</v>
      </c>
      <c r="V32">
        <v>60</v>
      </c>
      <c r="W32">
        <v>5</v>
      </c>
      <c r="X32" t="s">
        <v>50</v>
      </c>
      <c r="Y32" t="s">
        <v>45</v>
      </c>
      <c r="Z32" t="s">
        <v>33</v>
      </c>
      <c r="AA32" t="s">
        <v>40</v>
      </c>
      <c r="AB32" t="s">
        <v>35</v>
      </c>
      <c r="AC32" t="s">
        <v>36</v>
      </c>
    </row>
    <row r="33" spans="1:29" x14ac:dyDescent="0.25">
      <c r="A33">
        <v>34</v>
      </c>
      <c r="B33">
        <v>10792</v>
      </c>
      <c r="C33">
        <v>645</v>
      </c>
      <c r="D33">
        <v>11437</v>
      </c>
      <c r="E33" t="s">
        <v>29</v>
      </c>
      <c r="F33">
        <v>48</v>
      </c>
      <c r="G33" t="s">
        <v>53</v>
      </c>
      <c r="H33" t="s">
        <v>30</v>
      </c>
      <c r="I33">
        <v>1</v>
      </c>
      <c r="J33" t="s">
        <v>68</v>
      </c>
      <c r="K33">
        <v>573</v>
      </c>
      <c r="L33" t="s">
        <v>66</v>
      </c>
      <c r="M33">
        <v>4</v>
      </c>
      <c r="N33" t="s">
        <v>44</v>
      </c>
      <c r="O33">
        <v>0.37</v>
      </c>
      <c r="P33" t="s">
        <v>67</v>
      </c>
      <c r="Q33">
        <v>16984</v>
      </c>
      <c r="R33">
        <v>18193</v>
      </c>
      <c r="S33" t="s">
        <v>44</v>
      </c>
      <c r="T33">
        <v>17863</v>
      </c>
      <c r="U33" t="s">
        <v>57</v>
      </c>
      <c r="V33">
        <v>24</v>
      </c>
      <c r="W33">
        <v>2</v>
      </c>
      <c r="X33" t="s">
        <v>42</v>
      </c>
      <c r="Y33" t="s">
        <v>32</v>
      </c>
      <c r="Z33" t="s">
        <v>39</v>
      </c>
      <c r="AA33" t="s">
        <v>40</v>
      </c>
      <c r="AB33" t="s">
        <v>35</v>
      </c>
      <c r="AC33" t="s">
        <v>36</v>
      </c>
    </row>
    <row r="34" spans="1:29" x14ac:dyDescent="0.25">
      <c r="A34">
        <v>35</v>
      </c>
      <c r="B34">
        <v>12555</v>
      </c>
      <c r="C34">
        <v>4263</v>
      </c>
      <c r="D34">
        <v>16818</v>
      </c>
      <c r="E34" t="s">
        <v>49</v>
      </c>
      <c r="F34">
        <v>26</v>
      </c>
      <c r="G34" t="s">
        <v>61</v>
      </c>
      <c r="H34" t="s">
        <v>30</v>
      </c>
      <c r="I34">
        <v>1</v>
      </c>
      <c r="J34" t="s">
        <v>68</v>
      </c>
      <c r="K34">
        <v>583</v>
      </c>
      <c r="L34" t="s">
        <v>55</v>
      </c>
      <c r="M34">
        <v>4</v>
      </c>
      <c r="N34" t="s">
        <v>44</v>
      </c>
      <c r="O34">
        <v>0.57999999999999996</v>
      </c>
      <c r="P34" t="s">
        <v>56</v>
      </c>
      <c r="Q34">
        <v>13411</v>
      </c>
      <c r="R34">
        <v>43967</v>
      </c>
      <c r="S34" t="s">
        <v>44</v>
      </c>
      <c r="T34">
        <v>32499</v>
      </c>
      <c r="U34" t="s">
        <v>64</v>
      </c>
      <c r="V34">
        <v>48</v>
      </c>
      <c r="W34">
        <v>4</v>
      </c>
      <c r="X34" t="s">
        <v>47</v>
      </c>
      <c r="Y34" t="s">
        <v>32</v>
      </c>
      <c r="Z34" t="s">
        <v>33</v>
      </c>
      <c r="AA34" t="s">
        <v>40</v>
      </c>
      <c r="AB34" t="s">
        <v>51</v>
      </c>
      <c r="AC34" t="s">
        <v>36</v>
      </c>
    </row>
    <row r="35" spans="1:29" x14ac:dyDescent="0.25">
      <c r="A35">
        <v>36</v>
      </c>
      <c r="B35">
        <v>12253</v>
      </c>
      <c r="C35">
        <v>8801</v>
      </c>
      <c r="D35">
        <v>21054</v>
      </c>
      <c r="E35" t="s">
        <v>29</v>
      </c>
      <c r="F35">
        <v>36</v>
      </c>
      <c r="G35" t="s">
        <v>65</v>
      </c>
      <c r="H35" t="s">
        <v>30</v>
      </c>
      <c r="I35">
        <v>3</v>
      </c>
      <c r="J35" t="s">
        <v>58</v>
      </c>
      <c r="K35">
        <v>602</v>
      </c>
      <c r="L35" t="s">
        <v>55</v>
      </c>
      <c r="M35">
        <v>1</v>
      </c>
      <c r="N35" t="s">
        <v>44</v>
      </c>
      <c r="O35">
        <v>0.34</v>
      </c>
      <c r="P35" t="s">
        <v>67</v>
      </c>
      <c r="Q35">
        <v>9180</v>
      </c>
      <c r="R35">
        <v>27801</v>
      </c>
      <c r="S35" t="s">
        <v>44</v>
      </c>
      <c r="T35">
        <v>28794</v>
      </c>
      <c r="U35" t="s">
        <v>64</v>
      </c>
      <c r="V35">
        <v>24</v>
      </c>
      <c r="W35">
        <v>2</v>
      </c>
      <c r="X35" t="s">
        <v>37</v>
      </c>
      <c r="Y35" t="s">
        <v>45</v>
      </c>
      <c r="Z35" t="s">
        <v>39</v>
      </c>
      <c r="AA35" t="s">
        <v>40</v>
      </c>
      <c r="AB35" t="s">
        <v>35</v>
      </c>
      <c r="AC35" t="s">
        <v>36</v>
      </c>
    </row>
    <row r="36" spans="1:29" x14ac:dyDescent="0.25">
      <c r="A36">
        <v>37</v>
      </c>
      <c r="B36">
        <v>10433</v>
      </c>
      <c r="C36">
        <v>6136</v>
      </c>
      <c r="D36">
        <v>16569</v>
      </c>
      <c r="E36" t="s">
        <v>48</v>
      </c>
      <c r="F36">
        <v>24</v>
      </c>
      <c r="G36" t="s">
        <v>72</v>
      </c>
      <c r="H36" t="s">
        <v>30</v>
      </c>
      <c r="I36">
        <v>0</v>
      </c>
      <c r="J36" t="s">
        <v>54</v>
      </c>
      <c r="K36">
        <v>798</v>
      </c>
      <c r="L36" t="s">
        <v>71</v>
      </c>
      <c r="M36">
        <v>1</v>
      </c>
      <c r="N36" t="s">
        <v>44</v>
      </c>
      <c r="O36">
        <v>0.13</v>
      </c>
      <c r="P36" t="s">
        <v>59</v>
      </c>
      <c r="Q36">
        <v>15225</v>
      </c>
      <c r="R36">
        <v>49063</v>
      </c>
      <c r="S36" t="s">
        <v>44</v>
      </c>
      <c r="T36">
        <v>8919</v>
      </c>
      <c r="U36" t="s">
        <v>57</v>
      </c>
      <c r="V36">
        <v>36</v>
      </c>
      <c r="W36">
        <v>3</v>
      </c>
      <c r="X36" t="s">
        <v>42</v>
      </c>
      <c r="Y36" t="s">
        <v>32</v>
      </c>
      <c r="Z36" t="s">
        <v>39</v>
      </c>
      <c r="AA36" t="s">
        <v>40</v>
      </c>
      <c r="AB36" t="s">
        <v>51</v>
      </c>
      <c r="AC36" t="s">
        <v>44</v>
      </c>
    </row>
    <row r="37" spans="1:29" x14ac:dyDescent="0.25">
      <c r="A37">
        <v>38</v>
      </c>
      <c r="B37">
        <v>12233</v>
      </c>
      <c r="C37">
        <v>8646</v>
      </c>
      <c r="D37">
        <v>20879</v>
      </c>
      <c r="E37" t="s">
        <v>29</v>
      </c>
      <c r="F37">
        <v>55</v>
      </c>
      <c r="G37" t="s">
        <v>69</v>
      </c>
      <c r="H37" t="s">
        <v>41</v>
      </c>
      <c r="I37">
        <v>1</v>
      </c>
      <c r="J37" t="s">
        <v>68</v>
      </c>
      <c r="K37">
        <v>685</v>
      </c>
      <c r="L37" t="s">
        <v>63</v>
      </c>
      <c r="M37">
        <v>3</v>
      </c>
      <c r="N37" t="s">
        <v>44</v>
      </c>
      <c r="O37">
        <v>0.38</v>
      </c>
      <c r="P37" t="s">
        <v>67</v>
      </c>
      <c r="Q37">
        <v>10073</v>
      </c>
      <c r="R37">
        <v>26246</v>
      </c>
      <c r="S37" t="s">
        <v>44</v>
      </c>
      <c r="T37">
        <v>21282</v>
      </c>
      <c r="U37" t="s">
        <v>64</v>
      </c>
      <c r="V37">
        <v>24</v>
      </c>
      <c r="W37">
        <v>2</v>
      </c>
      <c r="X37" t="s">
        <v>42</v>
      </c>
      <c r="Y37" t="s">
        <v>45</v>
      </c>
      <c r="Z37" t="s">
        <v>39</v>
      </c>
      <c r="AA37" t="s">
        <v>40</v>
      </c>
      <c r="AB37" t="s">
        <v>51</v>
      </c>
      <c r="AC37" t="s">
        <v>44</v>
      </c>
    </row>
    <row r="38" spans="1:29" x14ac:dyDescent="0.25">
      <c r="A38">
        <v>39</v>
      </c>
      <c r="B38">
        <v>13016</v>
      </c>
      <c r="C38">
        <v>9900</v>
      </c>
      <c r="D38">
        <v>22916</v>
      </c>
      <c r="E38" t="s">
        <v>29</v>
      </c>
      <c r="F38">
        <v>46</v>
      </c>
      <c r="G38" t="s">
        <v>53</v>
      </c>
      <c r="H38" t="s">
        <v>30</v>
      </c>
      <c r="I38">
        <v>3</v>
      </c>
      <c r="J38" t="s">
        <v>58</v>
      </c>
      <c r="K38">
        <v>567</v>
      </c>
      <c r="L38" t="s">
        <v>66</v>
      </c>
      <c r="M38">
        <v>0</v>
      </c>
      <c r="N38" t="s">
        <v>36</v>
      </c>
      <c r="O38">
        <v>0.52</v>
      </c>
      <c r="P38" t="s">
        <v>56</v>
      </c>
      <c r="Q38">
        <v>4483</v>
      </c>
      <c r="R38">
        <v>12807</v>
      </c>
      <c r="S38" t="s">
        <v>44</v>
      </c>
      <c r="T38">
        <v>0</v>
      </c>
      <c r="U38" t="s">
        <v>73</v>
      </c>
      <c r="V38">
        <v>48</v>
      </c>
      <c r="W38">
        <v>4</v>
      </c>
      <c r="X38" t="s">
        <v>37</v>
      </c>
      <c r="Y38" t="s">
        <v>32</v>
      </c>
      <c r="Z38" t="s">
        <v>33</v>
      </c>
      <c r="AA38" t="s">
        <v>40</v>
      </c>
      <c r="AB38" t="s">
        <v>42</v>
      </c>
      <c r="AC38" t="s">
        <v>36</v>
      </c>
    </row>
    <row r="39" spans="1:29" x14ac:dyDescent="0.25">
      <c r="A39">
        <v>41</v>
      </c>
      <c r="B39">
        <v>17787</v>
      </c>
      <c r="C39">
        <v>3028</v>
      </c>
      <c r="D39">
        <v>20815</v>
      </c>
      <c r="E39" t="s">
        <v>49</v>
      </c>
      <c r="F39">
        <v>31</v>
      </c>
      <c r="G39" t="s">
        <v>61</v>
      </c>
      <c r="H39" t="s">
        <v>41</v>
      </c>
      <c r="I39">
        <v>2</v>
      </c>
      <c r="J39" t="s">
        <v>62</v>
      </c>
      <c r="K39">
        <v>661</v>
      </c>
      <c r="L39" t="s">
        <v>55</v>
      </c>
      <c r="M39">
        <v>1</v>
      </c>
      <c r="N39" t="s">
        <v>44</v>
      </c>
      <c r="O39">
        <v>0.32</v>
      </c>
      <c r="P39" t="s">
        <v>67</v>
      </c>
      <c r="Q39">
        <v>0</v>
      </c>
      <c r="R39">
        <v>5492</v>
      </c>
      <c r="S39" t="s">
        <v>44</v>
      </c>
      <c r="T39">
        <v>34706</v>
      </c>
      <c r="U39" t="s">
        <v>64</v>
      </c>
      <c r="V39">
        <v>48</v>
      </c>
      <c r="W39">
        <v>4</v>
      </c>
      <c r="X39" t="s">
        <v>47</v>
      </c>
      <c r="Y39" t="s">
        <v>32</v>
      </c>
      <c r="Z39" t="s">
        <v>39</v>
      </c>
      <c r="AA39" t="s">
        <v>34</v>
      </c>
      <c r="AB39" t="s">
        <v>42</v>
      </c>
      <c r="AC39" t="s">
        <v>44</v>
      </c>
    </row>
    <row r="40" spans="1:29" x14ac:dyDescent="0.25">
      <c r="A40">
        <v>42</v>
      </c>
      <c r="B40">
        <v>19159</v>
      </c>
      <c r="C40">
        <v>7643</v>
      </c>
      <c r="D40">
        <v>26802</v>
      </c>
      <c r="E40" t="s">
        <v>46</v>
      </c>
      <c r="F40">
        <v>57</v>
      </c>
      <c r="G40" t="s">
        <v>69</v>
      </c>
      <c r="H40" t="s">
        <v>30</v>
      </c>
      <c r="I40">
        <v>1</v>
      </c>
      <c r="J40" t="s">
        <v>68</v>
      </c>
      <c r="K40">
        <v>554</v>
      </c>
      <c r="L40" t="s">
        <v>66</v>
      </c>
      <c r="M40">
        <v>1</v>
      </c>
      <c r="N40" t="s">
        <v>44</v>
      </c>
      <c r="O40">
        <v>0.26</v>
      </c>
      <c r="P40" t="s">
        <v>59</v>
      </c>
      <c r="Q40">
        <v>18138</v>
      </c>
      <c r="R40">
        <v>31357</v>
      </c>
      <c r="S40" t="s">
        <v>44</v>
      </c>
      <c r="T40">
        <v>9176</v>
      </c>
      <c r="U40" t="s">
        <v>57</v>
      </c>
      <c r="V40">
        <v>72</v>
      </c>
      <c r="W40">
        <v>6</v>
      </c>
      <c r="X40" t="s">
        <v>37</v>
      </c>
      <c r="Y40" t="s">
        <v>45</v>
      </c>
      <c r="Z40" t="s">
        <v>39</v>
      </c>
      <c r="AA40" t="s">
        <v>40</v>
      </c>
      <c r="AB40" t="s">
        <v>42</v>
      </c>
      <c r="AC40" t="s">
        <v>36</v>
      </c>
    </row>
    <row r="41" spans="1:29" x14ac:dyDescent="0.25">
      <c r="A41">
        <v>43</v>
      </c>
      <c r="B41">
        <v>14206</v>
      </c>
      <c r="C41">
        <v>2681</v>
      </c>
      <c r="D41">
        <v>16887</v>
      </c>
      <c r="E41" t="s">
        <v>49</v>
      </c>
      <c r="F41">
        <v>45</v>
      </c>
      <c r="G41" t="s">
        <v>53</v>
      </c>
      <c r="H41" t="s">
        <v>30</v>
      </c>
      <c r="I41">
        <v>0</v>
      </c>
      <c r="J41" t="s">
        <v>54</v>
      </c>
      <c r="K41">
        <v>703</v>
      </c>
      <c r="L41" t="s">
        <v>63</v>
      </c>
      <c r="M41">
        <v>0</v>
      </c>
      <c r="N41" t="s">
        <v>36</v>
      </c>
      <c r="O41">
        <v>0.55000000000000004</v>
      </c>
      <c r="P41" t="s">
        <v>56</v>
      </c>
      <c r="Q41">
        <v>18848</v>
      </c>
      <c r="R41">
        <v>6302</v>
      </c>
      <c r="S41" t="s">
        <v>44</v>
      </c>
      <c r="T41">
        <v>34529</v>
      </c>
      <c r="U41" t="s">
        <v>64</v>
      </c>
      <c r="V41">
        <v>48</v>
      </c>
      <c r="W41">
        <v>4</v>
      </c>
      <c r="X41" t="s">
        <v>42</v>
      </c>
      <c r="Y41" t="s">
        <v>38</v>
      </c>
      <c r="Z41" t="s">
        <v>33</v>
      </c>
      <c r="AA41" t="s">
        <v>34</v>
      </c>
      <c r="AB41" t="s">
        <v>35</v>
      </c>
      <c r="AC41" t="s">
        <v>36</v>
      </c>
    </row>
    <row r="42" spans="1:29" x14ac:dyDescent="0.25">
      <c r="A42">
        <v>44</v>
      </c>
      <c r="B42">
        <v>0</v>
      </c>
      <c r="C42">
        <v>3629</v>
      </c>
      <c r="D42">
        <v>3629</v>
      </c>
      <c r="E42" t="s">
        <v>29</v>
      </c>
      <c r="F42">
        <v>38</v>
      </c>
      <c r="G42" t="s">
        <v>65</v>
      </c>
      <c r="H42" t="s">
        <v>30</v>
      </c>
      <c r="I42">
        <v>1</v>
      </c>
      <c r="J42" t="s">
        <v>68</v>
      </c>
      <c r="K42">
        <v>707</v>
      </c>
      <c r="L42" t="s">
        <v>63</v>
      </c>
      <c r="M42">
        <v>0</v>
      </c>
      <c r="N42" t="s">
        <v>36</v>
      </c>
      <c r="O42">
        <v>0.2</v>
      </c>
      <c r="P42" t="s">
        <v>59</v>
      </c>
      <c r="Q42">
        <v>10415</v>
      </c>
      <c r="R42">
        <v>32314</v>
      </c>
      <c r="S42" t="s">
        <v>44</v>
      </c>
      <c r="T42">
        <v>13941</v>
      </c>
      <c r="U42" t="s">
        <v>57</v>
      </c>
      <c r="V42">
        <v>36</v>
      </c>
      <c r="W42">
        <v>3</v>
      </c>
      <c r="X42" t="s">
        <v>47</v>
      </c>
      <c r="Y42" t="s">
        <v>32</v>
      </c>
      <c r="Z42" t="s">
        <v>39</v>
      </c>
      <c r="AA42" t="s">
        <v>40</v>
      </c>
      <c r="AB42" t="s">
        <v>42</v>
      </c>
      <c r="AC42" t="s">
        <v>44</v>
      </c>
    </row>
    <row r="43" spans="1:29" x14ac:dyDescent="0.25">
      <c r="A43">
        <v>45</v>
      </c>
      <c r="B43">
        <v>16541</v>
      </c>
      <c r="C43">
        <v>4225</v>
      </c>
      <c r="D43">
        <v>20766</v>
      </c>
      <c r="E43" t="s">
        <v>29</v>
      </c>
      <c r="F43">
        <v>39</v>
      </c>
      <c r="G43" t="s">
        <v>65</v>
      </c>
      <c r="H43" t="s">
        <v>30</v>
      </c>
      <c r="I43">
        <v>0</v>
      </c>
      <c r="J43" t="s">
        <v>54</v>
      </c>
      <c r="K43">
        <v>731</v>
      </c>
      <c r="L43" t="s">
        <v>63</v>
      </c>
      <c r="M43">
        <v>4</v>
      </c>
      <c r="N43" t="s">
        <v>44</v>
      </c>
      <c r="O43">
        <v>0.35</v>
      </c>
      <c r="P43" t="s">
        <v>67</v>
      </c>
      <c r="Q43">
        <v>4482</v>
      </c>
      <c r="R43">
        <v>0</v>
      </c>
      <c r="S43" t="s">
        <v>36</v>
      </c>
      <c r="T43">
        <v>2669</v>
      </c>
      <c r="U43" t="s">
        <v>73</v>
      </c>
      <c r="V43">
        <v>48</v>
      </c>
      <c r="W43">
        <v>4</v>
      </c>
      <c r="X43" t="s">
        <v>37</v>
      </c>
      <c r="Y43" t="s">
        <v>32</v>
      </c>
      <c r="Z43" t="s">
        <v>33</v>
      </c>
      <c r="AA43" t="s">
        <v>40</v>
      </c>
      <c r="AB43" t="s">
        <v>51</v>
      </c>
      <c r="AC43" t="s">
        <v>36</v>
      </c>
    </row>
    <row r="44" spans="1:29" x14ac:dyDescent="0.25">
      <c r="A44">
        <v>46</v>
      </c>
      <c r="B44">
        <v>5152</v>
      </c>
      <c r="C44">
        <v>3067</v>
      </c>
      <c r="D44">
        <v>8219</v>
      </c>
      <c r="E44" t="s">
        <v>46</v>
      </c>
      <c r="F44">
        <v>43</v>
      </c>
      <c r="G44" t="s">
        <v>65</v>
      </c>
      <c r="H44" t="s">
        <v>41</v>
      </c>
      <c r="I44">
        <v>2</v>
      </c>
      <c r="J44" t="s">
        <v>62</v>
      </c>
      <c r="K44">
        <v>562</v>
      </c>
      <c r="L44" t="s">
        <v>66</v>
      </c>
      <c r="M44">
        <v>2</v>
      </c>
      <c r="N44" t="s">
        <v>44</v>
      </c>
      <c r="O44">
        <v>0.35</v>
      </c>
      <c r="P44" t="s">
        <v>67</v>
      </c>
      <c r="Q44">
        <v>9686</v>
      </c>
      <c r="R44">
        <v>4747</v>
      </c>
      <c r="S44" t="s">
        <v>44</v>
      </c>
      <c r="T44">
        <v>21246</v>
      </c>
      <c r="U44" t="s">
        <v>64</v>
      </c>
      <c r="V44">
        <v>48</v>
      </c>
      <c r="W44">
        <v>4</v>
      </c>
      <c r="X44" t="s">
        <v>37</v>
      </c>
      <c r="Y44" t="s">
        <v>32</v>
      </c>
      <c r="Z44" t="s">
        <v>39</v>
      </c>
      <c r="AA44" t="s">
        <v>34</v>
      </c>
      <c r="AB44" t="s">
        <v>35</v>
      </c>
      <c r="AC44" t="s">
        <v>36</v>
      </c>
    </row>
    <row r="45" spans="1:29" x14ac:dyDescent="0.25">
      <c r="A45">
        <v>47</v>
      </c>
      <c r="B45">
        <v>3585</v>
      </c>
      <c r="C45">
        <v>5941</v>
      </c>
      <c r="D45">
        <v>9526</v>
      </c>
      <c r="E45" t="s">
        <v>29</v>
      </c>
      <c r="F45">
        <v>58</v>
      </c>
      <c r="G45" t="s">
        <v>69</v>
      </c>
      <c r="H45" t="s">
        <v>41</v>
      </c>
      <c r="I45">
        <v>0</v>
      </c>
      <c r="J45" t="s">
        <v>54</v>
      </c>
      <c r="K45">
        <v>632</v>
      </c>
      <c r="L45" t="s">
        <v>55</v>
      </c>
      <c r="M45">
        <v>0</v>
      </c>
      <c r="N45" t="s">
        <v>36</v>
      </c>
      <c r="O45">
        <v>0.12</v>
      </c>
      <c r="P45" t="s">
        <v>59</v>
      </c>
      <c r="Q45">
        <v>7400</v>
      </c>
      <c r="R45">
        <v>47006</v>
      </c>
      <c r="S45" t="s">
        <v>44</v>
      </c>
      <c r="T45">
        <v>21323</v>
      </c>
      <c r="U45" t="s">
        <v>64</v>
      </c>
      <c r="V45">
        <v>12</v>
      </c>
      <c r="W45">
        <v>1</v>
      </c>
      <c r="X45" t="s">
        <v>37</v>
      </c>
      <c r="Y45" t="s">
        <v>45</v>
      </c>
      <c r="Z45" t="s">
        <v>39</v>
      </c>
      <c r="AA45" t="s">
        <v>40</v>
      </c>
      <c r="AB45" t="s">
        <v>48</v>
      </c>
      <c r="AC45" t="s">
        <v>36</v>
      </c>
    </row>
    <row r="46" spans="1:29" x14ac:dyDescent="0.25">
      <c r="A46">
        <v>48</v>
      </c>
      <c r="B46">
        <v>5943</v>
      </c>
      <c r="C46">
        <v>1386</v>
      </c>
      <c r="D46">
        <v>7329</v>
      </c>
      <c r="E46" t="s">
        <v>29</v>
      </c>
      <c r="F46">
        <v>38</v>
      </c>
      <c r="G46" t="s">
        <v>65</v>
      </c>
      <c r="H46" t="s">
        <v>30</v>
      </c>
      <c r="I46">
        <v>1</v>
      </c>
      <c r="J46" t="s">
        <v>68</v>
      </c>
      <c r="K46">
        <v>578</v>
      </c>
      <c r="L46" t="s">
        <v>66</v>
      </c>
      <c r="M46">
        <v>1</v>
      </c>
      <c r="N46" t="s">
        <v>44</v>
      </c>
      <c r="O46">
        <v>0.27</v>
      </c>
      <c r="P46" t="s">
        <v>59</v>
      </c>
      <c r="Q46">
        <v>6806</v>
      </c>
      <c r="R46">
        <v>41170</v>
      </c>
      <c r="S46" t="s">
        <v>44</v>
      </c>
      <c r="T46">
        <v>34894</v>
      </c>
      <c r="U46" t="s">
        <v>64</v>
      </c>
      <c r="V46">
        <v>12</v>
      </c>
      <c r="W46">
        <v>1</v>
      </c>
      <c r="X46" t="s">
        <v>42</v>
      </c>
      <c r="Y46" t="s">
        <v>32</v>
      </c>
      <c r="Z46" t="s">
        <v>39</v>
      </c>
      <c r="AA46" t="s">
        <v>34</v>
      </c>
      <c r="AB46" t="s">
        <v>35</v>
      </c>
      <c r="AC46" t="s">
        <v>36</v>
      </c>
    </row>
    <row r="47" spans="1:29" x14ac:dyDescent="0.25">
      <c r="A47">
        <v>49</v>
      </c>
      <c r="B47">
        <v>3021</v>
      </c>
      <c r="C47">
        <v>2866</v>
      </c>
      <c r="D47">
        <v>5887</v>
      </c>
      <c r="E47" t="s">
        <v>48</v>
      </c>
      <c r="F47">
        <v>46</v>
      </c>
      <c r="G47" t="s">
        <v>53</v>
      </c>
      <c r="H47" t="s">
        <v>41</v>
      </c>
      <c r="I47">
        <v>3</v>
      </c>
      <c r="J47" t="s">
        <v>58</v>
      </c>
      <c r="K47">
        <v>552</v>
      </c>
      <c r="L47" t="s">
        <v>66</v>
      </c>
      <c r="M47">
        <v>1</v>
      </c>
      <c r="N47" t="s">
        <v>44</v>
      </c>
      <c r="O47">
        <v>0.23</v>
      </c>
      <c r="P47" t="s">
        <v>59</v>
      </c>
      <c r="Q47">
        <v>10516</v>
      </c>
      <c r="R47">
        <v>10686</v>
      </c>
      <c r="S47" t="s">
        <v>44</v>
      </c>
      <c r="T47">
        <v>7021</v>
      </c>
      <c r="U47" t="s">
        <v>57</v>
      </c>
      <c r="V47">
        <v>12</v>
      </c>
      <c r="W47">
        <v>1</v>
      </c>
      <c r="X47" t="s">
        <v>47</v>
      </c>
      <c r="Y47" t="s">
        <v>32</v>
      </c>
      <c r="Z47" t="s">
        <v>39</v>
      </c>
      <c r="AA47" t="s">
        <v>40</v>
      </c>
      <c r="AB47" t="s">
        <v>35</v>
      </c>
      <c r="AC47" t="s">
        <v>36</v>
      </c>
    </row>
    <row r="48" spans="1:29" x14ac:dyDescent="0.25">
      <c r="A48">
        <v>50</v>
      </c>
      <c r="B48">
        <v>13653</v>
      </c>
      <c r="C48">
        <v>4788</v>
      </c>
      <c r="D48">
        <v>18441</v>
      </c>
      <c r="E48" t="s">
        <v>48</v>
      </c>
      <c r="F48">
        <v>26</v>
      </c>
      <c r="G48" t="s">
        <v>61</v>
      </c>
      <c r="H48" t="s">
        <v>30</v>
      </c>
      <c r="I48">
        <v>2</v>
      </c>
      <c r="J48" t="s">
        <v>62</v>
      </c>
      <c r="K48">
        <v>639</v>
      </c>
      <c r="L48" t="s">
        <v>55</v>
      </c>
      <c r="M48">
        <v>0</v>
      </c>
      <c r="N48" t="s">
        <v>36</v>
      </c>
      <c r="O48">
        <v>0.44</v>
      </c>
      <c r="P48" t="s">
        <v>70</v>
      </c>
      <c r="Q48">
        <v>7396</v>
      </c>
      <c r="R48">
        <v>37449</v>
      </c>
      <c r="S48" t="s">
        <v>44</v>
      </c>
      <c r="T48">
        <v>37903</v>
      </c>
      <c r="U48" t="s">
        <v>60</v>
      </c>
      <c r="V48">
        <v>12</v>
      </c>
      <c r="W48">
        <v>1</v>
      </c>
      <c r="X48" t="s">
        <v>42</v>
      </c>
      <c r="Y48" t="s">
        <v>45</v>
      </c>
      <c r="Z48" t="s">
        <v>39</v>
      </c>
      <c r="AA48" t="s">
        <v>40</v>
      </c>
      <c r="AB48" t="s">
        <v>35</v>
      </c>
      <c r="AC48" t="s">
        <v>36</v>
      </c>
    </row>
    <row r="49" spans="1:29" x14ac:dyDescent="0.25">
      <c r="A49">
        <v>51</v>
      </c>
      <c r="B49">
        <v>12805</v>
      </c>
      <c r="C49">
        <v>5490</v>
      </c>
      <c r="D49">
        <v>18295</v>
      </c>
      <c r="E49" t="s">
        <v>48</v>
      </c>
      <c r="F49">
        <v>24</v>
      </c>
      <c r="G49" t="s">
        <v>72</v>
      </c>
      <c r="H49" t="s">
        <v>30</v>
      </c>
      <c r="I49">
        <v>1</v>
      </c>
      <c r="J49" t="s">
        <v>68</v>
      </c>
      <c r="K49">
        <v>653</v>
      </c>
      <c r="L49" t="s">
        <v>55</v>
      </c>
      <c r="M49">
        <v>0</v>
      </c>
      <c r="N49" t="s">
        <v>36</v>
      </c>
      <c r="O49">
        <v>0.56999999999999995</v>
      </c>
      <c r="P49" t="s">
        <v>56</v>
      </c>
      <c r="Q49">
        <v>7338</v>
      </c>
      <c r="R49">
        <v>18891</v>
      </c>
      <c r="S49" t="s">
        <v>44</v>
      </c>
      <c r="T49">
        <v>9711</v>
      </c>
      <c r="U49" t="s">
        <v>57</v>
      </c>
      <c r="V49">
        <v>60</v>
      </c>
      <c r="W49">
        <v>5</v>
      </c>
      <c r="X49" t="s">
        <v>50</v>
      </c>
      <c r="Y49" t="s">
        <v>32</v>
      </c>
      <c r="Z49" t="s">
        <v>39</v>
      </c>
      <c r="AA49" t="s">
        <v>40</v>
      </c>
      <c r="AB49" t="s">
        <v>35</v>
      </c>
      <c r="AC49" t="s">
        <v>36</v>
      </c>
    </row>
    <row r="50" spans="1:29" x14ac:dyDescent="0.25">
      <c r="A50">
        <v>52</v>
      </c>
      <c r="B50">
        <v>15417</v>
      </c>
      <c r="C50">
        <v>4124</v>
      </c>
      <c r="D50">
        <v>19541</v>
      </c>
      <c r="E50" t="s">
        <v>49</v>
      </c>
      <c r="F50">
        <v>49</v>
      </c>
      <c r="G50" t="s">
        <v>53</v>
      </c>
      <c r="H50" t="s">
        <v>30</v>
      </c>
      <c r="I50">
        <v>2</v>
      </c>
      <c r="J50" t="s">
        <v>62</v>
      </c>
      <c r="K50">
        <v>672</v>
      </c>
      <c r="L50" t="s">
        <v>63</v>
      </c>
      <c r="M50">
        <v>4</v>
      </c>
      <c r="N50" t="s">
        <v>44</v>
      </c>
      <c r="O50">
        <v>0.23</v>
      </c>
      <c r="P50" t="s">
        <v>59</v>
      </c>
      <c r="Q50">
        <v>9950</v>
      </c>
      <c r="R50">
        <v>36196</v>
      </c>
      <c r="S50" t="s">
        <v>44</v>
      </c>
      <c r="T50">
        <v>8904</v>
      </c>
      <c r="U50" t="s">
        <v>57</v>
      </c>
      <c r="V50">
        <v>12</v>
      </c>
      <c r="W50">
        <v>1</v>
      </c>
      <c r="X50" t="s">
        <v>47</v>
      </c>
      <c r="Y50" t="s">
        <v>45</v>
      </c>
      <c r="Z50" t="s">
        <v>39</v>
      </c>
      <c r="AA50" t="s">
        <v>34</v>
      </c>
      <c r="AB50" t="s">
        <v>51</v>
      </c>
      <c r="AC50" t="s">
        <v>44</v>
      </c>
    </row>
    <row r="51" spans="1:29" x14ac:dyDescent="0.25">
      <c r="A51">
        <v>53</v>
      </c>
      <c r="B51">
        <v>9989</v>
      </c>
      <c r="C51">
        <v>8340</v>
      </c>
      <c r="D51">
        <v>18329</v>
      </c>
      <c r="E51" t="s">
        <v>29</v>
      </c>
      <c r="F51">
        <v>54</v>
      </c>
      <c r="G51" t="s">
        <v>53</v>
      </c>
      <c r="H51" t="s">
        <v>30</v>
      </c>
      <c r="I51">
        <v>2</v>
      </c>
      <c r="J51" t="s">
        <v>62</v>
      </c>
      <c r="K51">
        <v>735</v>
      </c>
      <c r="L51" t="s">
        <v>63</v>
      </c>
      <c r="M51">
        <v>2</v>
      </c>
      <c r="N51" t="s">
        <v>44</v>
      </c>
      <c r="O51">
        <v>0.51</v>
      </c>
      <c r="P51" t="s">
        <v>56</v>
      </c>
      <c r="Q51">
        <v>12500</v>
      </c>
      <c r="R51">
        <v>29928</v>
      </c>
      <c r="S51" t="s">
        <v>44</v>
      </c>
      <c r="T51">
        <v>36051</v>
      </c>
      <c r="U51" t="s">
        <v>60</v>
      </c>
      <c r="V51">
        <v>36</v>
      </c>
      <c r="W51">
        <v>3</v>
      </c>
      <c r="X51" t="s">
        <v>42</v>
      </c>
      <c r="Y51" t="s">
        <v>32</v>
      </c>
      <c r="Z51" t="s">
        <v>39</v>
      </c>
      <c r="AA51" t="s">
        <v>34</v>
      </c>
      <c r="AB51" t="s">
        <v>48</v>
      </c>
      <c r="AC51" t="s">
        <v>36</v>
      </c>
    </row>
    <row r="52" spans="1:29" x14ac:dyDescent="0.25">
      <c r="A52">
        <v>54</v>
      </c>
      <c r="B52">
        <v>11692</v>
      </c>
      <c r="C52">
        <v>3850</v>
      </c>
      <c r="D52">
        <v>15542</v>
      </c>
      <c r="E52" t="s">
        <v>29</v>
      </c>
      <c r="F52">
        <v>37</v>
      </c>
      <c r="G52" t="s">
        <v>65</v>
      </c>
      <c r="H52" t="s">
        <v>30</v>
      </c>
      <c r="I52">
        <v>1</v>
      </c>
      <c r="J52" t="s">
        <v>68</v>
      </c>
      <c r="K52">
        <v>799</v>
      </c>
      <c r="L52" t="s">
        <v>71</v>
      </c>
      <c r="M52">
        <v>4</v>
      </c>
      <c r="N52" t="s">
        <v>44</v>
      </c>
      <c r="O52">
        <v>0.35</v>
      </c>
      <c r="P52" t="s">
        <v>67</v>
      </c>
      <c r="Q52">
        <v>11545</v>
      </c>
      <c r="R52">
        <v>7494</v>
      </c>
      <c r="S52" t="s">
        <v>44</v>
      </c>
      <c r="T52">
        <v>21942</v>
      </c>
      <c r="U52" t="s">
        <v>64</v>
      </c>
      <c r="V52">
        <v>84</v>
      </c>
      <c r="W52">
        <v>7</v>
      </c>
      <c r="X52" t="s">
        <v>47</v>
      </c>
      <c r="Y52" t="s">
        <v>32</v>
      </c>
      <c r="Z52" t="s">
        <v>39</v>
      </c>
      <c r="AA52" t="s">
        <v>34</v>
      </c>
      <c r="AB52" t="s">
        <v>51</v>
      </c>
      <c r="AC52" t="s">
        <v>44</v>
      </c>
    </row>
    <row r="53" spans="1:29" x14ac:dyDescent="0.25">
      <c r="A53">
        <v>55</v>
      </c>
      <c r="B53">
        <v>14990</v>
      </c>
      <c r="C53">
        <v>5415</v>
      </c>
      <c r="D53">
        <v>20405</v>
      </c>
      <c r="E53" t="s">
        <v>46</v>
      </c>
      <c r="F53">
        <v>36</v>
      </c>
      <c r="G53" t="s">
        <v>65</v>
      </c>
      <c r="H53" t="s">
        <v>41</v>
      </c>
      <c r="I53">
        <v>1</v>
      </c>
      <c r="J53" t="s">
        <v>68</v>
      </c>
      <c r="K53">
        <v>625</v>
      </c>
      <c r="L53" t="s">
        <v>55</v>
      </c>
      <c r="M53">
        <v>1</v>
      </c>
      <c r="N53" t="s">
        <v>44</v>
      </c>
      <c r="O53">
        <v>0.37</v>
      </c>
      <c r="P53" t="s">
        <v>67</v>
      </c>
      <c r="Q53">
        <v>5241</v>
      </c>
      <c r="R53">
        <v>36723</v>
      </c>
      <c r="S53" t="s">
        <v>44</v>
      </c>
      <c r="T53">
        <v>25251</v>
      </c>
      <c r="U53" t="s">
        <v>64</v>
      </c>
      <c r="V53">
        <v>12</v>
      </c>
      <c r="W53">
        <v>1</v>
      </c>
      <c r="X53" t="s">
        <v>50</v>
      </c>
      <c r="Y53" t="s">
        <v>45</v>
      </c>
      <c r="Z53" t="s">
        <v>33</v>
      </c>
      <c r="AA53" t="s">
        <v>34</v>
      </c>
      <c r="AB53" t="s">
        <v>48</v>
      </c>
      <c r="AC53" t="s">
        <v>36</v>
      </c>
    </row>
    <row r="54" spans="1:29" x14ac:dyDescent="0.25">
      <c r="A54">
        <v>56</v>
      </c>
      <c r="B54">
        <v>0</v>
      </c>
      <c r="C54">
        <v>7679</v>
      </c>
      <c r="D54">
        <v>7679</v>
      </c>
      <c r="E54" t="s">
        <v>49</v>
      </c>
      <c r="F54">
        <v>22</v>
      </c>
      <c r="G54" t="s">
        <v>72</v>
      </c>
      <c r="H54" t="s">
        <v>41</v>
      </c>
      <c r="I54">
        <v>3</v>
      </c>
      <c r="J54" t="s">
        <v>58</v>
      </c>
      <c r="K54">
        <v>679</v>
      </c>
      <c r="L54" t="s">
        <v>63</v>
      </c>
      <c r="M54">
        <v>4</v>
      </c>
      <c r="N54" t="s">
        <v>44</v>
      </c>
      <c r="O54">
        <v>0.14000000000000001</v>
      </c>
      <c r="P54" t="s">
        <v>59</v>
      </c>
      <c r="Q54">
        <v>4695</v>
      </c>
      <c r="R54">
        <v>29877</v>
      </c>
      <c r="S54" t="s">
        <v>44</v>
      </c>
      <c r="T54">
        <v>26058</v>
      </c>
      <c r="U54" t="s">
        <v>64</v>
      </c>
      <c r="V54">
        <v>48</v>
      </c>
      <c r="W54">
        <v>4</v>
      </c>
      <c r="X54" t="s">
        <v>31</v>
      </c>
      <c r="Y54" t="s">
        <v>45</v>
      </c>
      <c r="Z54" t="s">
        <v>39</v>
      </c>
      <c r="AA54" t="s">
        <v>40</v>
      </c>
      <c r="AB54" t="s">
        <v>35</v>
      </c>
      <c r="AC54" t="s">
        <v>44</v>
      </c>
    </row>
    <row r="55" spans="1:29" x14ac:dyDescent="0.25">
      <c r="A55">
        <v>57</v>
      </c>
      <c r="B55">
        <v>7675</v>
      </c>
      <c r="C55">
        <v>6819</v>
      </c>
      <c r="D55">
        <v>14494</v>
      </c>
      <c r="E55" t="s">
        <v>29</v>
      </c>
      <c r="F55">
        <v>54</v>
      </c>
      <c r="G55" t="s">
        <v>53</v>
      </c>
      <c r="H55" t="s">
        <v>30</v>
      </c>
      <c r="I55">
        <v>0</v>
      </c>
      <c r="J55" t="s">
        <v>54</v>
      </c>
      <c r="K55">
        <v>752</v>
      </c>
      <c r="L55" t="s">
        <v>71</v>
      </c>
      <c r="M55">
        <v>1</v>
      </c>
      <c r="N55" t="s">
        <v>44</v>
      </c>
      <c r="O55">
        <v>0.56999999999999995</v>
      </c>
      <c r="P55" t="s">
        <v>56</v>
      </c>
      <c r="Q55">
        <v>11530</v>
      </c>
      <c r="R55">
        <v>27981</v>
      </c>
      <c r="S55" t="s">
        <v>44</v>
      </c>
      <c r="T55">
        <v>36245</v>
      </c>
      <c r="U55" t="s">
        <v>60</v>
      </c>
      <c r="V55">
        <v>84</v>
      </c>
      <c r="W55">
        <v>7</v>
      </c>
      <c r="X55" t="s">
        <v>37</v>
      </c>
      <c r="Y55" t="s">
        <v>32</v>
      </c>
      <c r="Z55" t="s">
        <v>39</v>
      </c>
      <c r="AA55" t="s">
        <v>40</v>
      </c>
      <c r="AB55" t="s">
        <v>35</v>
      </c>
      <c r="AC55" t="s">
        <v>36</v>
      </c>
    </row>
    <row r="56" spans="1:29" x14ac:dyDescent="0.25">
      <c r="A56">
        <v>58</v>
      </c>
      <c r="B56">
        <v>2161</v>
      </c>
      <c r="C56">
        <v>9328</v>
      </c>
      <c r="D56">
        <v>11489</v>
      </c>
      <c r="E56" t="s">
        <v>29</v>
      </c>
      <c r="F56">
        <v>40</v>
      </c>
      <c r="G56" t="s">
        <v>65</v>
      </c>
      <c r="H56" t="s">
        <v>30</v>
      </c>
      <c r="I56">
        <v>2</v>
      </c>
      <c r="J56" t="s">
        <v>62</v>
      </c>
      <c r="K56">
        <v>657</v>
      </c>
      <c r="L56" t="s">
        <v>55</v>
      </c>
      <c r="M56">
        <v>1</v>
      </c>
      <c r="N56" t="s">
        <v>44</v>
      </c>
      <c r="O56">
        <v>0.48</v>
      </c>
      <c r="P56" t="s">
        <v>70</v>
      </c>
      <c r="Q56">
        <v>14312</v>
      </c>
      <c r="R56">
        <v>14026</v>
      </c>
      <c r="S56" t="s">
        <v>44</v>
      </c>
      <c r="T56">
        <v>4093</v>
      </c>
      <c r="U56" t="s">
        <v>73</v>
      </c>
      <c r="V56">
        <v>12</v>
      </c>
      <c r="W56">
        <v>1</v>
      </c>
      <c r="X56" t="s">
        <v>42</v>
      </c>
      <c r="Y56" t="s">
        <v>32</v>
      </c>
      <c r="Z56" t="s">
        <v>39</v>
      </c>
      <c r="AA56" t="s">
        <v>34</v>
      </c>
      <c r="AB56" t="s">
        <v>43</v>
      </c>
      <c r="AC56" t="s">
        <v>36</v>
      </c>
    </row>
    <row r="57" spans="1:29" x14ac:dyDescent="0.25">
      <c r="A57">
        <v>59</v>
      </c>
      <c r="B57">
        <v>6297</v>
      </c>
      <c r="C57">
        <v>8378</v>
      </c>
      <c r="D57">
        <v>14675</v>
      </c>
      <c r="E57" t="s">
        <v>29</v>
      </c>
      <c r="F57">
        <v>33</v>
      </c>
      <c r="G57" t="s">
        <v>61</v>
      </c>
      <c r="H57" t="s">
        <v>30</v>
      </c>
      <c r="I57">
        <v>1</v>
      </c>
      <c r="J57" t="s">
        <v>68</v>
      </c>
      <c r="K57">
        <v>705</v>
      </c>
      <c r="L57" t="s">
        <v>63</v>
      </c>
      <c r="M57">
        <v>1</v>
      </c>
      <c r="N57" t="s">
        <v>44</v>
      </c>
      <c r="O57">
        <v>0.43</v>
      </c>
      <c r="P57" t="s">
        <v>70</v>
      </c>
      <c r="Q57">
        <v>18972</v>
      </c>
      <c r="R57">
        <v>20422</v>
      </c>
      <c r="S57" t="s">
        <v>44</v>
      </c>
      <c r="T57">
        <v>25918</v>
      </c>
      <c r="U57" t="s">
        <v>64</v>
      </c>
      <c r="V57">
        <v>84</v>
      </c>
      <c r="W57">
        <v>7</v>
      </c>
      <c r="X57" t="s">
        <v>50</v>
      </c>
      <c r="Y57" t="s">
        <v>32</v>
      </c>
      <c r="Z57" t="s">
        <v>39</v>
      </c>
      <c r="AA57" t="s">
        <v>40</v>
      </c>
      <c r="AB57" t="s">
        <v>51</v>
      </c>
      <c r="AC57" t="s">
        <v>36</v>
      </c>
    </row>
    <row r="58" spans="1:29" x14ac:dyDescent="0.25">
      <c r="A58">
        <v>60</v>
      </c>
      <c r="B58">
        <v>2995</v>
      </c>
      <c r="C58">
        <v>9442</v>
      </c>
      <c r="D58">
        <v>12437</v>
      </c>
      <c r="E58" t="s">
        <v>46</v>
      </c>
      <c r="F58">
        <v>28</v>
      </c>
      <c r="G58" t="s">
        <v>61</v>
      </c>
      <c r="H58" t="s">
        <v>30</v>
      </c>
      <c r="I58">
        <v>0</v>
      </c>
      <c r="J58" t="s">
        <v>54</v>
      </c>
      <c r="K58">
        <v>631</v>
      </c>
      <c r="L58" t="s">
        <v>55</v>
      </c>
      <c r="M58">
        <v>1</v>
      </c>
      <c r="N58" t="s">
        <v>44</v>
      </c>
      <c r="O58">
        <v>0.51</v>
      </c>
      <c r="P58" t="s">
        <v>56</v>
      </c>
      <c r="Q58">
        <v>14318</v>
      </c>
      <c r="R58">
        <v>9244</v>
      </c>
      <c r="S58" t="s">
        <v>44</v>
      </c>
      <c r="T58">
        <v>8207</v>
      </c>
      <c r="U58" t="s">
        <v>57</v>
      </c>
      <c r="V58">
        <v>24</v>
      </c>
      <c r="W58">
        <v>2</v>
      </c>
      <c r="X58" t="s">
        <v>50</v>
      </c>
      <c r="Y58" t="s">
        <v>32</v>
      </c>
      <c r="Z58" t="s">
        <v>33</v>
      </c>
      <c r="AA58" t="s">
        <v>34</v>
      </c>
      <c r="AB58" t="s">
        <v>35</v>
      </c>
      <c r="AC58" t="s">
        <v>36</v>
      </c>
    </row>
    <row r="59" spans="1:29" x14ac:dyDescent="0.25">
      <c r="A59">
        <v>61</v>
      </c>
      <c r="B59">
        <v>13534</v>
      </c>
      <c r="C59">
        <v>1333</v>
      </c>
      <c r="D59">
        <v>14867</v>
      </c>
      <c r="E59" t="s">
        <v>49</v>
      </c>
      <c r="F59">
        <v>50</v>
      </c>
      <c r="G59" t="s">
        <v>53</v>
      </c>
      <c r="H59" t="s">
        <v>30</v>
      </c>
      <c r="I59">
        <v>1</v>
      </c>
      <c r="J59" t="s">
        <v>68</v>
      </c>
      <c r="K59">
        <v>550</v>
      </c>
      <c r="L59" t="s">
        <v>66</v>
      </c>
      <c r="M59">
        <v>1</v>
      </c>
      <c r="N59" t="s">
        <v>44</v>
      </c>
      <c r="O59">
        <v>0.42</v>
      </c>
      <c r="P59" t="s">
        <v>70</v>
      </c>
      <c r="Q59">
        <v>18166</v>
      </c>
      <c r="R59">
        <v>33481</v>
      </c>
      <c r="S59" t="s">
        <v>44</v>
      </c>
      <c r="T59">
        <v>0</v>
      </c>
      <c r="U59" t="s">
        <v>73</v>
      </c>
      <c r="V59">
        <v>48</v>
      </c>
      <c r="W59">
        <v>4</v>
      </c>
      <c r="X59" t="s">
        <v>47</v>
      </c>
      <c r="Y59" t="s">
        <v>32</v>
      </c>
      <c r="Z59" t="s">
        <v>39</v>
      </c>
      <c r="AA59" t="s">
        <v>40</v>
      </c>
      <c r="AB59" t="s">
        <v>48</v>
      </c>
      <c r="AC59" t="s">
        <v>36</v>
      </c>
    </row>
    <row r="60" spans="1:29" x14ac:dyDescent="0.25">
      <c r="A60">
        <v>62</v>
      </c>
      <c r="B60">
        <v>9629</v>
      </c>
      <c r="C60">
        <v>4150</v>
      </c>
      <c r="D60">
        <v>13779</v>
      </c>
      <c r="E60" t="s">
        <v>49</v>
      </c>
      <c r="F60">
        <v>52</v>
      </c>
      <c r="G60" t="s">
        <v>53</v>
      </c>
      <c r="H60" t="s">
        <v>30</v>
      </c>
      <c r="I60">
        <v>2</v>
      </c>
      <c r="J60" t="s">
        <v>62</v>
      </c>
      <c r="K60">
        <v>778</v>
      </c>
      <c r="L60" t="s">
        <v>71</v>
      </c>
      <c r="M60">
        <v>3</v>
      </c>
      <c r="N60" t="s">
        <v>44</v>
      </c>
      <c r="O60">
        <v>0.57999999999999996</v>
      </c>
      <c r="P60" t="s">
        <v>56</v>
      </c>
      <c r="Q60">
        <v>19904</v>
      </c>
      <c r="R60">
        <v>23644</v>
      </c>
      <c r="S60" t="s">
        <v>44</v>
      </c>
      <c r="T60">
        <v>27974</v>
      </c>
      <c r="U60" t="s">
        <v>64</v>
      </c>
      <c r="V60">
        <v>36</v>
      </c>
      <c r="W60">
        <v>3</v>
      </c>
      <c r="X60" t="s">
        <v>47</v>
      </c>
      <c r="Y60" t="s">
        <v>32</v>
      </c>
      <c r="Z60" t="s">
        <v>33</v>
      </c>
      <c r="AA60" t="s">
        <v>40</v>
      </c>
      <c r="AB60" t="s">
        <v>42</v>
      </c>
      <c r="AC60" t="s">
        <v>36</v>
      </c>
    </row>
    <row r="61" spans="1:29" x14ac:dyDescent="0.25">
      <c r="A61">
        <v>63</v>
      </c>
      <c r="B61">
        <v>3016</v>
      </c>
      <c r="C61">
        <v>6766</v>
      </c>
      <c r="D61">
        <v>9782</v>
      </c>
      <c r="E61" t="s">
        <v>29</v>
      </c>
      <c r="F61">
        <v>56</v>
      </c>
      <c r="G61" t="s">
        <v>69</v>
      </c>
      <c r="H61" t="s">
        <v>41</v>
      </c>
      <c r="I61">
        <v>1</v>
      </c>
      <c r="J61" t="s">
        <v>68</v>
      </c>
      <c r="K61">
        <v>763</v>
      </c>
      <c r="L61" t="s">
        <v>71</v>
      </c>
      <c r="M61">
        <v>4</v>
      </c>
      <c r="N61" t="s">
        <v>44</v>
      </c>
      <c r="O61">
        <v>0.46</v>
      </c>
      <c r="P61" t="s">
        <v>70</v>
      </c>
      <c r="Q61">
        <v>11324</v>
      </c>
      <c r="R61">
        <v>43848</v>
      </c>
      <c r="S61" t="s">
        <v>44</v>
      </c>
      <c r="T61">
        <v>29172</v>
      </c>
      <c r="U61" t="s">
        <v>64</v>
      </c>
      <c r="V61">
        <v>84</v>
      </c>
      <c r="W61">
        <v>7</v>
      </c>
      <c r="X61" t="s">
        <v>37</v>
      </c>
      <c r="Y61" t="s">
        <v>45</v>
      </c>
      <c r="Z61" t="s">
        <v>39</v>
      </c>
      <c r="AA61" t="s">
        <v>40</v>
      </c>
      <c r="AB61" t="s">
        <v>35</v>
      </c>
      <c r="AC61" t="s">
        <v>36</v>
      </c>
    </row>
    <row r="62" spans="1:29" x14ac:dyDescent="0.25">
      <c r="A62">
        <v>64</v>
      </c>
      <c r="B62">
        <v>10529</v>
      </c>
      <c r="C62">
        <v>2711</v>
      </c>
      <c r="D62">
        <v>13240</v>
      </c>
      <c r="E62" t="s">
        <v>48</v>
      </c>
      <c r="F62">
        <v>50</v>
      </c>
      <c r="G62" t="s">
        <v>53</v>
      </c>
      <c r="H62" t="s">
        <v>30</v>
      </c>
      <c r="I62">
        <v>3</v>
      </c>
      <c r="J62" t="s">
        <v>58</v>
      </c>
      <c r="K62">
        <v>753</v>
      </c>
      <c r="L62" t="s">
        <v>71</v>
      </c>
      <c r="M62">
        <v>3</v>
      </c>
      <c r="N62" t="s">
        <v>44</v>
      </c>
      <c r="O62">
        <v>0.56000000000000005</v>
      </c>
      <c r="P62" t="s">
        <v>56</v>
      </c>
      <c r="Q62">
        <v>3218</v>
      </c>
      <c r="R62">
        <v>8521</v>
      </c>
      <c r="S62" t="s">
        <v>44</v>
      </c>
      <c r="T62">
        <v>33283</v>
      </c>
      <c r="U62" t="s">
        <v>64</v>
      </c>
      <c r="V62">
        <v>72</v>
      </c>
      <c r="W62">
        <v>6</v>
      </c>
      <c r="X62" t="s">
        <v>47</v>
      </c>
      <c r="Y62" t="s">
        <v>45</v>
      </c>
      <c r="Z62" t="s">
        <v>39</v>
      </c>
      <c r="AA62" t="s">
        <v>34</v>
      </c>
      <c r="AB62" t="s">
        <v>35</v>
      </c>
      <c r="AC62" t="s">
        <v>36</v>
      </c>
    </row>
    <row r="63" spans="1:29" x14ac:dyDescent="0.25">
      <c r="A63">
        <v>65</v>
      </c>
      <c r="B63">
        <v>19262</v>
      </c>
      <c r="C63">
        <v>4853</v>
      </c>
      <c r="D63">
        <v>24115</v>
      </c>
      <c r="E63" t="s">
        <v>52</v>
      </c>
      <c r="F63">
        <v>21</v>
      </c>
      <c r="G63" t="s">
        <v>72</v>
      </c>
      <c r="H63" t="s">
        <v>30</v>
      </c>
      <c r="I63">
        <v>0</v>
      </c>
      <c r="J63" t="s">
        <v>54</v>
      </c>
      <c r="K63">
        <v>551</v>
      </c>
      <c r="L63" t="s">
        <v>66</v>
      </c>
      <c r="M63">
        <v>3</v>
      </c>
      <c r="N63" t="s">
        <v>44</v>
      </c>
      <c r="O63">
        <v>0.36</v>
      </c>
      <c r="P63" t="s">
        <v>67</v>
      </c>
      <c r="Q63">
        <v>4016</v>
      </c>
      <c r="R63">
        <v>1746</v>
      </c>
      <c r="S63" t="s">
        <v>44</v>
      </c>
      <c r="T63">
        <v>39995</v>
      </c>
      <c r="U63" t="s">
        <v>60</v>
      </c>
      <c r="V63">
        <v>60</v>
      </c>
      <c r="W63">
        <v>5</v>
      </c>
      <c r="X63" t="s">
        <v>42</v>
      </c>
      <c r="Y63" t="s">
        <v>32</v>
      </c>
      <c r="Z63" t="s">
        <v>39</v>
      </c>
      <c r="AA63" t="s">
        <v>34</v>
      </c>
      <c r="AB63" t="s">
        <v>43</v>
      </c>
      <c r="AC63" t="s">
        <v>36</v>
      </c>
    </row>
    <row r="64" spans="1:29" x14ac:dyDescent="0.25">
      <c r="A64">
        <v>66</v>
      </c>
      <c r="B64">
        <v>11268</v>
      </c>
      <c r="C64">
        <v>6212</v>
      </c>
      <c r="D64">
        <v>17480</v>
      </c>
      <c r="E64" t="s">
        <v>29</v>
      </c>
      <c r="F64">
        <v>59</v>
      </c>
      <c r="G64" t="s">
        <v>69</v>
      </c>
      <c r="H64" t="s">
        <v>30</v>
      </c>
      <c r="I64">
        <v>1</v>
      </c>
      <c r="J64" t="s">
        <v>68</v>
      </c>
      <c r="K64">
        <v>676</v>
      </c>
      <c r="L64" t="s">
        <v>63</v>
      </c>
      <c r="M64">
        <v>0</v>
      </c>
      <c r="N64" t="s">
        <v>36</v>
      </c>
      <c r="O64">
        <v>0.16</v>
      </c>
      <c r="P64" t="s">
        <v>59</v>
      </c>
      <c r="Q64">
        <v>2837</v>
      </c>
      <c r="R64">
        <v>17591</v>
      </c>
      <c r="S64" t="s">
        <v>44</v>
      </c>
      <c r="T64">
        <v>14280</v>
      </c>
      <c r="U64" t="s">
        <v>57</v>
      </c>
      <c r="V64">
        <v>48</v>
      </c>
      <c r="W64">
        <v>4</v>
      </c>
      <c r="X64" t="s">
        <v>42</v>
      </c>
      <c r="Y64" t="s">
        <v>32</v>
      </c>
      <c r="Z64" t="s">
        <v>33</v>
      </c>
      <c r="AA64" t="s">
        <v>40</v>
      </c>
      <c r="AB64" t="s">
        <v>51</v>
      </c>
      <c r="AC64" t="s">
        <v>44</v>
      </c>
    </row>
    <row r="65" spans="1:29" x14ac:dyDescent="0.25">
      <c r="A65">
        <v>67</v>
      </c>
      <c r="B65">
        <v>14185</v>
      </c>
      <c r="C65">
        <v>7479</v>
      </c>
      <c r="D65">
        <v>21664</v>
      </c>
      <c r="E65" t="s">
        <v>29</v>
      </c>
      <c r="F65">
        <v>37</v>
      </c>
      <c r="G65" t="s">
        <v>65</v>
      </c>
      <c r="H65" t="s">
        <v>30</v>
      </c>
      <c r="I65">
        <v>3</v>
      </c>
      <c r="J65" t="s">
        <v>58</v>
      </c>
      <c r="K65">
        <v>778</v>
      </c>
      <c r="L65" t="s">
        <v>71</v>
      </c>
      <c r="M65">
        <v>0</v>
      </c>
      <c r="N65" t="s">
        <v>36</v>
      </c>
      <c r="O65">
        <v>0.36</v>
      </c>
      <c r="P65" t="s">
        <v>67</v>
      </c>
      <c r="Q65">
        <v>16312</v>
      </c>
      <c r="R65">
        <v>26718</v>
      </c>
      <c r="S65" t="s">
        <v>44</v>
      </c>
      <c r="T65">
        <v>37303</v>
      </c>
      <c r="U65" t="s">
        <v>60</v>
      </c>
      <c r="V65">
        <v>48</v>
      </c>
      <c r="W65">
        <v>4</v>
      </c>
      <c r="X65" t="s">
        <v>42</v>
      </c>
      <c r="Y65" t="s">
        <v>32</v>
      </c>
      <c r="Z65" t="s">
        <v>33</v>
      </c>
      <c r="AA65" t="s">
        <v>40</v>
      </c>
      <c r="AB65" t="s">
        <v>51</v>
      </c>
      <c r="AC65" t="s">
        <v>44</v>
      </c>
    </row>
    <row r="66" spans="1:29" x14ac:dyDescent="0.25">
      <c r="A66">
        <v>68</v>
      </c>
      <c r="B66">
        <v>8331</v>
      </c>
      <c r="C66">
        <v>5408</v>
      </c>
      <c r="D66">
        <v>13739</v>
      </c>
      <c r="E66" t="s">
        <v>29</v>
      </c>
      <c r="F66">
        <v>40</v>
      </c>
      <c r="G66" t="s">
        <v>65</v>
      </c>
      <c r="H66" t="s">
        <v>30</v>
      </c>
      <c r="I66">
        <v>2</v>
      </c>
      <c r="J66" t="s">
        <v>62</v>
      </c>
      <c r="K66">
        <v>684</v>
      </c>
      <c r="L66" t="s">
        <v>63</v>
      </c>
      <c r="M66">
        <v>0</v>
      </c>
      <c r="N66" t="s">
        <v>36</v>
      </c>
      <c r="O66">
        <v>0.16</v>
      </c>
      <c r="P66" t="s">
        <v>59</v>
      </c>
      <c r="Q66">
        <v>7034</v>
      </c>
      <c r="R66">
        <v>49936</v>
      </c>
      <c r="S66" t="s">
        <v>44</v>
      </c>
      <c r="T66">
        <v>28453</v>
      </c>
      <c r="U66" t="s">
        <v>64</v>
      </c>
      <c r="V66">
        <v>36</v>
      </c>
      <c r="W66">
        <v>3</v>
      </c>
      <c r="X66" t="s">
        <v>31</v>
      </c>
      <c r="Y66" t="s">
        <v>32</v>
      </c>
      <c r="Z66" t="s">
        <v>39</v>
      </c>
      <c r="AA66" t="s">
        <v>40</v>
      </c>
      <c r="AB66" t="s">
        <v>35</v>
      </c>
      <c r="AC66" t="s">
        <v>44</v>
      </c>
    </row>
    <row r="67" spans="1:29" x14ac:dyDescent="0.25">
      <c r="A67">
        <v>69</v>
      </c>
      <c r="B67">
        <v>10571</v>
      </c>
      <c r="C67">
        <v>9977</v>
      </c>
      <c r="D67">
        <v>20548</v>
      </c>
      <c r="E67" t="s">
        <v>29</v>
      </c>
      <c r="F67">
        <v>44</v>
      </c>
      <c r="G67" t="s">
        <v>65</v>
      </c>
      <c r="H67" t="s">
        <v>41</v>
      </c>
      <c r="I67">
        <v>1</v>
      </c>
      <c r="J67" t="s">
        <v>68</v>
      </c>
      <c r="K67">
        <v>575</v>
      </c>
      <c r="L67" t="s">
        <v>66</v>
      </c>
      <c r="M67">
        <v>2</v>
      </c>
      <c r="N67" t="s">
        <v>44</v>
      </c>
      <c r="O67">
        <v>0.4</v>
      </c>
      <c r="P67" t="s">
        <v>67</v>
      </c>
      <c r="Q67">
        <v>0</v>
      </c>
      <c r="R67">
        <v>2696</v>
      </c>
      <c r="S67" t="s">
        <v>44</v>
      </c>
      <c r="T67">
        <v>3913</v>
      </c>
      <c r="U67" t="s">
        <v>73</v>
      </c>
      <c r="V67">
        <v>24</v>
      </c>
      <c r="W67">
        <v>2</v>
      </c>
      <c r="X67" t="s">
        <v>42</v>
      </c>
      <c r="Y67" t="s">
        <v>38</v>
      </c>
      <c r="Z67" t="s">
        <v>33</v>
      </c>
      <c r="AA67" t="s">
        <v>40</v>
      </c>
      <c r="AB67" t="s">
        <v>48</v>
      </c>
      <c r="AC67" t="s">
        <v>36</v>
      </c>
    </row>
    <row r="68" spans="1:29" x14ac:dyDescent="0.25">
      <c r="A68">
        <v>70</v>
      </c>
      <c r="B68">
        <v>9208</v>
      </c>
      <c r="C68">
        <v>7715</v>
      </c>
      <c r="D68">
        <v>16923</v>
      </c>
      <c r="E68" t="s">
        <v>48</v>
      </c>
      <c r="F68">
        <v>42</v>
      </c>
      <c r="G68" t="s">
        <v>65</v>
      </c>
      <c r="H68" t="s">
        <v>30</v>
      </c>
      <c r="I68">
        <v>2</v>
      </c>
      <c r="J68" t="s">
        <v>62</v>
      </c>
      <c r="K68">
        <v>767</v>
      </c>
      <c r="L68" t="s">
        <v>71</v>
      </c>
      <c r="M68">
        <v>0</v>
      </c>
      <c r="N68" t="s">
        <v>36</v>
      </c>
      <c r="O68">
        <v>0.34</v>
      </c>
      <c r="P68" t="s">
        <v>67</v>
      </c>
      <c r="Q68">
        <v>14379</v>
      </c>
      <c r="R68">
        <v>12012</v>
      </c>
      <c r="S68" t="s">
        <v>44</v>
      </c>
      <c r="T68">
        <v>26765</v>
      </c>
      <c r="U68" t="s">
        <v>64</v>
      </c>
      <c r="V68">
        <v>12</v>
      </c>
      <c r="W68">
        <v>1</v>
      </c>
      <c r="X68" t="s">
        <v>47</v>
      </c>
      <c r="Y68" t="s">
        <v>45</v>
      </c>
      <c r="Z68" t="s">
        <v>39</v>
      </c>
      <c r="AA68" t="s">
        <v>34</v>
      </c>
      <c r="AB68" t="s">
        <v>51</v>
      </c>
      <c r="AC68" t="s">
        <v>44</v>
      </c>
    </row>
    <row r="69" spans="1:29" x14ac:dyDescent="0.25">
      <c r="A69">
        <v>71</v>
      </c>
      <c r="B69">
        <v>7276</v>
      </c>
      <c r="C69">
        <v>8942</v>
      </c>
      <c r="D69">
        <v>16218</v>
      </c>
      <c r="E69" t="s">
        <v>29</v>
      </c>
      <c r="F69">
        <v>49</v>
      </c>
      <c r="G69" t="s">
        <v>53</v>
      </c>
      <c r="H69" t="s">
        <v>41</v>
      </c>
      <c r="I69">
        <v>3</v>
      </c>
      <c r="J69" t="s">
        <v>58</v>
      </c>
      <c r="K69">
        <v>637</v>
      </c>
      <c r="L69" t="s">
        <v>55</v>
      </c>
      <c r="M69">
        <v>4</v>
      </c>
      <c r="N69" t="s">
        <v>44</v>
      </c>
      <c r="O69">
        <v>0.41</v>
      </c>
      <c r="P69" t="s">
        <v>70</v>
      </c>
      <c r="Q69">
        <v>4239</v>
      </c>
      <c r="R69">
        <v>14688</v>
      </c>
      <c r="S69" t="s">
        <v>44</v>
      </c>
      <c r="T69">
        <v>3340</v>
      </c>
      <c r="U69" t="s">
        <v>73</v>
      </c>
      <c r="V69">
        <v>48</v>
      </c>
      <c r="W69">
        <v>4</v>
      </c>
      <c r="X69" t="s">
        <v>47</v>
      </c>
      <c r="Y69" t="s">
        <v>45</v>
      </c>
      <c r="Z69" t="s">
        <v>33</v>
      </c>
      <c r="AA69" t="s">
        <v>40</v>
      </c>
      <c r="AB69" t="s">
        <v>35</v>
      </c>
      <c r="AC69" t="s">
        <v>36</v>
      </c>
    </row>
    <row r="70" spans="1:29" x14ac:dyDescent="0.25">
      <c r="A70">
        <v>72</v>
      </c>
      <c r="B70">
        <v>18448</v>
      </c>
      <c r="C70">
        <v>1762</v>
      </c>
      <c r="D70">
        <v>20210</v>
      </c>
      <c r="E70" t="s">
        <v>49</v>
      </c>
      <c r="F70">
        <v>42</v>
      </c>
      <c r="G70" t="s">
        <v>65</v>
      </c>
      <c r="H70" t="s">
        <v>30</v>
      </c>
      <c r="I70">
        <v>2</v>
      </c>
      <c r="J70" t="s">
        <v>62</v>
      </c>
      <c r="K70">
        <v>753</v>
      </c>
      <c r="L70" t="s">
        <v>71</v>
      </c>
      <c r="M70">
        <v>3</v>
      </c>
      <c r="N70" t="s">
        <v>44</v>
      </c>
      <c r="O70">
        <v>0.11</v>
      </c>
      <c r="P70" t="s">
        <v>59</v>
      </c>
      <c r="Q70">
        <v>12128</v>
      </c>
      <c r="R70">
        <v>23457</v>
      </c>
      <c r="S70" t="s">
        <v>44</v>
      </c>
      <c r="T70">
        <v>27179</v>
      </c>
      <c r="U70" t="s">
        <v>64</v>
      </c>
      <c r="V70">
        <v>24</v>
      </c>
      <c r="W70">
        <v>2</v>
      </c>
      <c r="X70" t="s">
        <v>42</v>
      </c>
      <c r="Y70" t="s">
        <v>38</v>
      </c>
      <c r="Z70" t="s">
        <v>39</v>
      </c>
      <c r="AA70" t="s">
        <v>40</v>
      </c>
      <c r="AB70" t="s">
        <v>35</v>
      </c>
      <c r="AC70" t="s">
        <v>44</v>
      </c>
    </row>
    <row r="71" spans="1:29" x14ac:dyDescent="0.25">
      <c r="A71">
        <v>73</v>
      </c>
      <c r="B71">
        <v>18216</v>
      </c>
      <c r="C71">
        <v>7101</v>
      </c>
      <c r="D71">
        <v>25317</v>
      </c>
      <c r="E71" t="s">
        <v>29</v>
      </c>
      <c r="F71">
        <v>29</v>
      </c>
      <c r="G71" t="s">
        <v>61</v>
      </c>
      <c r="H71" t="s">
        <v>30</v>
      </c>
      <c r="I71">
        <v>3</v>
      </c>
      <c r="J71" t="s">
        <v>58</v>
      </c>
      <c r="K71">
        <v>565</v>
      </c>
      <c r="L71" t="s">
        <v>66</v>
      </c>
      <c r="M71">
        <v>4</v>
      </c>
      <c r="N71" t="s">
        <v>44</v>
      </c>
      <c r="O71">
        <v>0.2</v>
      </c>
      <c r="P71" t="s">
        <v>59</v>
      </c>
      <c r="Q71">
        <v>15856</v>
      </c>
      <c r="R71">
        <v>0</v>
      </c>
      <c r="S71" t="s">
        <v>36</v>
      </c>
      <c r="T71">
        <v>28873</v>
      </c>
      <c r="U71" t="s">
        <v>64</v>
      </c>
      <c r="V71">
        <v>12</v>
      </c>
      <c r="W71">
        <v>1</v>
      </c>
      <c r="X71" t="s">
        <v>50</v>
      </c>
      <c r="Y71" t="s">
        <v>32</v>
      </c>
      <c r="Z71" t="s">
        <v>39</v>
      </c>
      <c r="AA71" t="s">
        <v>40</v>
      </c>
      <c r="AB71" t="s">
        <v>43</v>
      </c>
      <c r="AC71" t="s">
        <v>36</v>
      </c>
    </row>
    <row r="72" spans="1:29" x14ac:dyDescent="0.25">
      <c r="A72">
        <v>74</v>
      </c>
      <c r="B72">
        <v>10006</v>
      </c>
      <c r="C72">
        <v>7674</v>
      </c>
      <c r="D72">
        <v>17680</v>
      </c>
      <c r="E72" t="s">
        <v>29</v>
      </c>
      <c r="F72">
        <v>40</v>
      </c>
      <c r="G72" t="s">
        <v>65</v>
      </c>
      <c r="H72" t="s">
        <v>30</v>
      </c>
      <c r="I72">
        <v>3</v>
      </c>
      <c r="J72" t="s">
        <v>58</v>
      </c>
      <c r="K72">
        <v>700</v>
      </c>
      <c r="L72" t="s">
        <v>63</v>
      </c>
      <c r="M72">
        <v>0</v>
      </c>
      <c r="N72" t="s">
        <v>36</v>
      </c>
      <c r="O72">
        <v>0.35</v>
      </c>
      <c r="P72" t="s">
        <v>67</v>
      </c>
      <c r="Q72">
        <v>9611</v>
      </c>
      <c r="R72">
        <v>39895</v>
      </c>
      <c r="S72" t="s">
        <v>44</v>
      </c>
      <c r="T72">
        <v>39057</v>
      </c>
      <c r="U72" t="s">
        <v>60</v>
      </c>
      <c r="V72">
        <v>60</v>
      </c>
      <c r="W72">
        <v>5</v>
      </c>
      <c r="X72" t="s">
        <v>50</v>
      </c>
      <c r="Y72" t="s">
        <v>32</v>
      </c>
      <c r="Z72" t="s">
        <v>39</v>
      </c>
      <c r="AA72" t="s">
        <v>40</v>
      </c>
      <c r="AB72" t="s">
        <v>43</v>
      </c>
      <c r="AC72" t="s">
        <v>44</v>
      </c>
    </row>
    <row r="73" spans="1:29" x14ac:dyDescent="0.25">
      <c r="A73">
        <v>75</v>
      </c>
      <c r="B73">
        <v>4568</v>
      </c>
      <c r="C73">
        <v>6122</v>
      </c>
      <c r="D73">
        <v>10690</v>
      </c>
      <c r="E73" t="s">
        <v>29</v>
      </c>
      <c r="F73">
        <v>30</v>
      </c>
      <c r="G73" t="s">
        <v>61</v>
      </c>
      <c r="H73" t="s">
        <v>41</v>
      </c>
      <c r="I73">
        <v>3</v>
      </c>
      <c r="J73" t="s">
        <v>58</v>
      </c>
      <c r="K73">
        <v>717</v>
      </c>
      <c r="L73" t="s">
        <v>63</v>
      </c>
      <c r="M73">
        <v>2</v>
      </c>
      <c r="N73" t="s">
        <v>44</v>
      </c>
      <c r="O73">
        <v>0.57999999999999996</v>
      </c>
      <c r="P73" t="s">
        <v>56</v>
      </c>
      <c r="Q73">
        <v>4150</v>
      </c>
      <c r="R73">
        <v>29960</v>
      </c>
      <c r="S73" t="s">
        <v>44</v>
      </c>
      <c r="T73">
        <v>1597</v>
      </c>
      <c r="U73" t="s">
        <v>73</v>
      </c>
      <c r="V73">
        <v>36</v>
      </c>
      <c r="W73">
        <v>3</v>
      </c>
      <c r="X73" t="s">
        <v>50</v>
      </c>
      <c r="Y73" t="s">
        <v>45</v>
      </c>
      <c r="Z73" t="s">
        <v>33</v>
      </c>
      <c r="AA73" t="s">
        <v>34</v>
      </c>
      <c r="AB73" t="s">
        <v>42</v>
      </c>
      <c r="AC73" t="s">
        <v>36</v>
      </c>
    </row>
    <row r="74" spans="1:29" x14ac:dyDescent="0.25">
      <c r="A74">
        <v>76</v>
      </c>
      <c r="B74">
        <v>4027</v>
      </c>
      <c r="C74">
        <v>481</v>
      </c>
      <c r="D74">
        <v>4508</v>
      </c>
      <c r="E74" t="s">
        <v>29</v>
      </c>
      <c r="F74">
        <v>56</v>
      </c>
      <c r="G74" t="s">
        <v>69</v>
      </c>
      <c r="H74" t="s">
        <v>30</v>
      </c>
      <c r="I74">
        <v>1</v>
      </c>
      <c r="J74" t="s">
        <v>68</v>
      </c>
      <c r="K74">
        <v>737</v>
      </c>
      <c r="L74" t="s">
        <v>63</v>
      </c>
      <c r="M74">
        <v>2</v>
      </c>
      <c r="N74" t="s">
        <v>44</v>
      </c>
      <c r="O74">
        <v>0.28999999999999998</v>
      </c>
      <c r="P74" t="s">
        <v>59</v>
      </c>
      <c r="Q74">
        <v>11109</v>
      </c>
      <c r="R74">
        <v>36486</v>
      </c>
      <c r="S74" t="s">
        <v>44</v>
      </c>
      <c r="T74">
        <v>30119</v>
      </c>
      <c r="U74" t="s">
        <v>64</v>
      </c>
      <c r="V74">
        <v>36</v>
      </c>
      <c r="W74">
        <v>3</v>
      </c>
      <c r="X74" t="s">
        <v>42</v>
      </c>
      <c r="Y74" t="s">
        <v>32</v>
      </c>
      <c r="Z74" t="s">
        <v>33</v>
      </c>
      <c r="AA74" t="s">
        <v>40</v>
      </c>
      <c r="AB74" t="s">
        <v>35</v>
      </c>
      <c r="AC74" t="s">
        <v>36</v>
      </c>
    </row>
    <row r="75" spans="1:29" x14ac:dyDescent="0.25">
      <c r="A75">
        <v>77</v>
      </c>
      <c r="B75">
        <v>4695</v>
      </c>
      <c r="C75">
        <v>153</v>
      </c>
      <c r="D75">
        <v>4848</v>
      </c>
      <c r="E75" t="s">
        <v>29</v>
      </c>
      <c r="F75">
        <v>57</v>
      </c>
      <c r="G75" t="s">
        <v>69</v>
      </c>
      <c r="H75" t="s">
        <v>41</v>
      </c>
      <c r="I75">
        <v>2</v>
      </c>
      <c r="J75" t="s">
        <v>62</v>
      </c>
      <c r="K75">
        <v>622</v>
      </c>
      <c r="L75" t="s">
        <v>55</v>
      </c>
      <c r="M75">
        <v>3</v>
      </c>
      <c r="N75" t="s">
        <v>44</v>
      </c>
      <c r="O75">
        <v>0.31</v>
      </c>
      <c r="P75" t="s">
        <v>67</v>
      </c>
      <c r="Q75">
        <v>1446</v>
      </c>
      <c r="R75">
        <v>22159</v>
      </c>
      <c r="S75" t="s">
        <v>44</v>
      </c>
      <c r="T75">
        <v>16025</v>
      </c>
      <c r="U75" t="s">
        <v>57</v>
      </c>
      <c r="V75">
        <v>84</v>
      </c>
      <c r="W75">
        <v>7</v>
      </c>
      <c r="X75" t="s">
        <v>31</v>
      </c>
      <c r="Y75" t="s">
        <v>45</v>
      </c>
      <c r="Z75" t="s">
        <v>33</v>
      </c>
      <c r="AA75" t="s">
        <v>40</v>
      </c>
      <c r="AB75" t="s">
        <v>42</v>
      </c>
      <c r="AC75" t="s">
        <v>36</v>
      </c>
    </row>
    <row r="76" spans="1:29" x14ac:dyDescent="0.25">
      <c r="A76">
        <v>79</v>
      </c>
      <c r="B76">
        <v>7258</v>
      </c>
      <c r="C76">
        <v>1524</v>
      </c>
      <c r="D76">
        <v>8782</v>
      </c>
      <c r="E76" t="s">
        <v>46</v>
      </c>
      <c r="F76">
        <v>48</v>
      </c>
      <c r="G76" t="s">
        <v>53</v>
      </c>
      <c r="H76" t="s">
        <v>41</v>
      </c>
      <c r="I76">
        <v>0</v>
      </c>
      <c r="J76" t="s">
        <v>54</v>
      </c>
      <c r="K76">
        <v>564</v>
      </c>
      <c r="L76" t="s">
        <v>66</v>
      </c>
      <c r="M76">
        <v>1</v>
      </c>
      <c r="N76" t="s">
        <v>44</v>
      </c>
      <c r="O76">
        <v>0.4</v>
      </c>
      <c r="P76" t="s">
        <v>67</v>
      </c>
      <c r="Q76">
        <v>11036</v>
      </c>
      <c r="R76">
        <v>2693</v>
      </c>
      <c r="S76" t="s">
        <v>44</v>
      </c>
      <c r="T76">
        <v>36670</v>
      </c>
      <c r="U76" t="s">
        <v>60</v>
      </c>
      <c r="V76">
        <v>24</v>
      </c>
      <c r="W76">
        <v>2</v>
      </c>
      <c r="X76" t="s">
        <v>37</v>
      </c>
      <c r="Y76" t="s">
        <v>45</v>
      </c>
      <c r="Z76" t="s">
        <v>39</v>
      </c>
      <c r="AA76" t="s">
        <v>40</v>
      </c>
      <c r="AB76" t="s">
        <v>35</v>
      </c>
      <c r="AC76" t="s">
        <v>36</v>
      </c>
    </row>
    <row r="77" spans="1:29" x14ac:dyDescent="0.25">
      <c r="A77">
        <v>80</v>
      </c>
      <c r="B77">
        <v>8736</v>
      </c>
      <c r="C77">
        <v>2120</v>
      </c>
      <c r="D77">
        <v>10856</v>
      </c>
      <c r="E77" t="s">
        <v>46</v>
      </c>
      <c r="F77">
        <v>41</v>
      </c>
      <c r="G77" t="s">
        <v>65</v>
      </c>
      <c r="H77" t="s">
        <v>30</v>
      </c>
      <c r="I77">
        <v>0</v>
      </c>
      <c r="J77" t="s">
        <v>54</v>
      </c>
      <c r="K77">
        <v>778</v>
      </c>
      <c r="L77" t="s">
        <v>71</v>
      </c>
      <c r="M77">
        <v>4</v>
      </c>
      <c r="N77" t="s">
        <v>44</v>
      </c>
      <c r="O77">
        <v>0.25</v>
      </c>
      <c r="P77" t="s">
        <v>59</v>
      </c>
      <c r="Q77">
        <v>6468</v>
      </c>
      <c r="R77">
        <v>49777</v>
      </c>
      <c r="S77" t="s">
        <v>44</v>
      </c>
      <c r="T77">
        <v>8694</v>
      </c>
      <c r="U77" t="s">
        <v>57</v>
      </c>
      <c r="V77">
        <v>72</v>
      </c>
      <c r="W77">
        <v>6</v>
      </c>
      <c r="X77" t="s">
        <v>50</v>
      </c>
      <c r="Y77" t="s">
        <v>32</v>
      </c>
      <c r="Z77" t="s">
        <v>39</v>
      </c>
      <c r="AA77" t="s">
        <v>34</v>
      </c>
      <c r="AB77" t="s">
        <v>43</v>
      </c>
      <c r="AC77" t="s">
        <v>44</v>
      </c>
    </row>
    <row r="78" spans="1:29" x14ac:dyDescent="0.25">
      <c r="A78">
        <v>81</v>
      </c>
      <c r="B78">
        <v>0</v>
      </c>
      <c r="C78">
        <v>2343</v>
      </c>
      <c r="D78">
        <v>2343</v>
      </c>
      <c r="E78" t="s">
        <v>29</v>
      </c>
      <c r="F78">
        <v>44</v>
      </c>
      <c r="G78" t="s">
        <v>65</v>
      </c>
      <c r="H78" t="s">
        <v>41</v>
      </c>
      <c r="I78">
        <v>0</v>
      </c>
      <c r="J78" t="s">
        <v>54</v>
      </c>
      <c r="K78">
        <v>690</v>
      </c>
      <c r="L78" t="s">
        <v>63</v>
      </c>
      <c r="M78">
        <v>0</v>
      </c>
      <c r="N78" t="s">
        <v>36</v>
      </c>
      <c r="O78">
        <v>0.31</v>
      </c>
      <c r="P78" t="s">
        <v>67</v>
      </c>
      <c r="Q78">
        <v>0</v>
      </c>
      <c r="R78">
        <v>15858</v>
      </c>
      <c r="S78" t="s">
        <v>44</v>
      </c>
      <c r="T78">
        <v>5830</v>
      </c>
      <c r="U78" t="s">
        <v>57</v>
      </c>
      <c r="V78">
        <v>84</v>
      </c>
      <c r="W78">
        <v>7</v>
      </c>
      <c r="X78" t="s">
        <v>42</v>
      </c>
      <c r="Y78" t="s">
        <v>45</v>
      </c>
      <c r="Z78" t="s">
        <v>33</v>
      </c>
      <c r="AA78" t="s">
        <v>40</v>
      </c>
      <c r="AB78" t="s">
        <v>35</v>
      </c>
      <c r="AC78" t="s">
        <v>36</v>
      </c>
    </row>
    <row r="79" spans="1:29" x14ac:dyDescent="0.25">
      <c r="A79">
        <v>83</v>
      </c>
      <c r="B79">
        <v>14666</v>
      </c>
      <c r="C79">
        <v>5760</v>
      </c>
      <c r="D79">
        <v>20426</v>
      </c>
      <c r="E79" t="s">
        <v>29</v>
      </c>
      <c r="F79">
        <v>28</v>
      </c>
      <c r="G79" t="s">
        <v>61</v>
      </c>
      <c r="H79" t="s">
        <v>41</v>
      </c>
      <c r="I79">
        <v>2</v>
      </c>
      <c r="J79" t="s">
        <v>62</v>
      </c>
      <c r="K79">
        <v>752</v>
      </c>
      <c r="L79" t="s">
        <v>71</v>
      </c>
      <c r="M79">
        <v>2</v>
      </c>
      <c r="N79" t="s">
        <v>44</v>
      </c>
      <c r="O79">
        <v>0.57999999999999996</v>
      </c>
      <c r="P79" t="s">
        <v>56</v>
      </c>
      <c r="Q79">
        <v>15390</v>
      </c>
      <c r="R79">
        <v>20092</v>
      </c>
      <c r="S79" t="s">
        <v>44</v>
      </c>
      <c r="T79">
        <v>24752</v>
      </c>
      <c r="U79" t="s">
        <v>64</v>
      </c>
      <c r="V79">
        <v>60</v>
      </c>
      <c r="W79">
        <v>5</v>
      </c>
      <c r="X79" t="s">
        <v>47</v>
      </c>
      <c r="Y79" t="s">
        <v>38</v>
      </c>
      <c r="Z79" t="s">
        <v>39</v>
      </c>
      <c r="AA79" t="s">
        <v>40</v>
      </c>
      <c r="AB79" t="s">
        <v>43</v>
      </c>
      <c r="AC79" t="s">
        <v>36</v>
      </c>
    </row>
    <row r="80" spans="1:29" x14ac:dyDescent="0.25">
      <c r="A80">
        <v>84</v>
      </c>
      <c r="B80">
        <v>7892</v>
      </c>
      <c r="C80">
        <v>1240</v>
      </c>
      <c r="D80">
        <v>9132</v>
      </c>
      <c r="E80" t="s">
        <v>46</v>
      </c>
      <c r="F80">
        <v>47</v>
      </c>
      <c r="G80" t="s">
        <v>53</v>
      </c>
      <c r="H80" t="s">
        <v>30</v>
      </c>
      <c r="I80">
        <v>3</v>
      </c>
      <c r="J80" t="s">
        <v>58</v>
      </c>
      <c r="K80">
        <v>623</v>
      </c>
      <c r="L80" t="s">
        <v>55</v>
      </c>
      <c r="M80">
        <v>3</v>
      </c>
      <c r="N80" t="s">
        <v>44</v>
      </c>
      <c r="O80">
        <v>0.17</v>
      </c>
      <c r="P80" t="s">
        <v>59</v>
      </c>
      <c r="Q80">
        <v>5080</v>
      </c>
      <c r="R80">
        <v>23243</v>
      </c>
      <c r="S80" t="s">
        <v>44</v>
      </c>
      <c r="T80">
        <v>11489</v>
      </c>
      <c r="U80" t="s">
        <v>57</v>
      </c>
      <c r="V80">
        <v>48</v>
      </c>
      <c r="W80">
        <v>4</v>
      </c>
      <c r="X80" t="s">
        <v>50</v>
      </c>
      <c r="Y80" t="s">
        <v>45</v>
      </c>
      <c r="Z80" t="s">
        <v>39</v>
      </c>
      <c r="AA80" t="s">
        <v>40</v>
      </c>
      <c r="AB80" t="s">
        <v>48</v>
      </c>
      <c r="AC80" t="s">
        <v>36</v>
      </c>
    </row>
    <row r="81" spans="1:29" x14ac:dyDescent="0.25">
      <c r="A81">
        <v>85</v>
      </c>
      <c r="B81">
        <v>5561</v>
      </c>
      <c r="C81">
        <v>60</v>
      </c>
      <c r="D81">
        <v>5621</v>
      </c>
      <c r="E81" t="s">
        <v>29</v>
      </c>
      <c r="F81">
        <v>42</v>
      </c>
      <c r="G81" t="s">
        <v>65</v>
      </c>
      <c r="H81" t="s">
        <v>30</v>
      </c>
      <c r="I81">
        <v>3</v>
      </c>
      <c r="J81" t="s">
        <v>58</v>
      </c>
      <c r="K81">
        <v>601</v>
      </c>
      <c r="L81" t="s">
        <v>55</v>
      </c>
      <c r="M81">
        <v>3</v>
      </c>
      <c r="N81" t="s">
        <v>44</v>
      </c>
      <c r="O81">
        <v>0.28999999999999998</v>
      </c>
      <c r="P81" t="s">
        <v>59</v>
      </c>
      <c r="Q81">
        <v>15471</v>
      </c>
      <c r="R81">
        <v>48700</v>
      </c>
      <c r="S81" t="s">
        <v>44</v>
      </c>
      <c r="T81">
        <v>33692</v>
      </c>
      <c r="U81" t="s">
        <v>64</v>
      </c>
      <c r="V81">
        <v>36</v>
      </c>
      <c r="W81">
        <v>3</v>
      </c>
      <c r="X81" t="s">
        <v>42</v>
      </c>
      <c r="Y81" t="s">
        <v>38</v>
      </c>
      <c r="Z81" t="s">
        <v>33</v>
      </c>
      <c r="AA81" t="s">
        <v>40</v>
      </c>
      <c r="AB81" t="s">
        <v>35</v>
      </c>
      <c r="AC81" t="s">
        <v>36</v>
      </c>
    </row>
    <row r="82" spans="1:29" x14ac:dyDescent="0.25">
      <c r="A82">
        <v>86</v>
      </c>
      <c r="B82">
        <v>8184</v>
      </c>
      <c r="C82">
        <v>9130</v>
      </c>
      <c r="D82">
        <v>17314</v>
      </c>
      <c r="E82" t="s">
        <v>52</v>
      </c>
      <c r="F82">
        <v>57</v>
      </c>
      <c r="G82" t="s">
        <v>69</v>
      </c>
      <c r="H82" t="s">
        <v>30</v>
      </c>
      <c r="I82">
        <v>1</v>
      </c>
      <c r="J82" t="s">
        <v>68</v>
      </c>
      <c r="K82">
        <v>626</v>
      </c>
      <c r="L82" t="s">
        <v>55</v>
      </c>
      <c r="M82">
        <v>2</v>
      </c>
      <c r="N82" t="s">
        <v>44</v>
      </c>
      <c r="O82">
        <v>0.11</v>
      </c>
      <c r="P82" t="s">
        <v>59</v>
      </c>
      <c r="Q82">
        <v>14893</v>
      </c>
      <c r="R82">
        <v>0</v>
      </c>
      <c r="S82" t="s">
        <v>36</v>
      </c>
      <c r="T82">
        <v>16768</v>
      </c>
      <c r="U82" t="s">
        <v>57</v>
      </c>
      <c r="V82">
        <v>48</v>
      </c>
      <c r="W82">
        <v>4</v>
      </c>
      <c r="X82" t="s">
        <v>47</v>
      </c>
      <c r="Y82" t="s">
        <v>32</v>
      </c>
      <c r="Z82" t="s">
        <v>33</v>
      </c>
      <c r="AA82" t="s">
        <v>40</v>
      </c>
      <c r="AB82" t="s">
        <v>35</v>
      </c>
      <c r="AC82" t="s">
        <v>36</v>
      </c>
    </row>
    <row r="83" spans="1:29" x14ac:dyDescent="0.25">
      <c r="A83">
        <v>87</v>
      </c>
      <c r="B83">
        <v>10392</v>
      </c>
      <c r="C83">
        <v>1639</v>
      </c>
      <c r="D83">
        <v>12031</v>
      </c>
      <c r="E83" t="s">
        <v>46</v>
      </c>
      <c r="F83">
        <v>47</v>
      </c>
      <c r="G83" t="s">
        <v>53</v>
      </c>
      <c r="H83" t="s">
        <v>41</v>
      </c>
      <c r="I83">
        <v>3</v>
      </c>
      <c r="J83" t="s">
        <v>58</v>
      </c>
      <c r="K83">
        <v>718</v>
      </c>
      <c r="L83" t="s">
        <v>63</v>
      </c>
      <c r="M83">
        <v>0</v>
      </c>
      <c r="N83" t="s">
        <v>36</v>
      </c>
      <c r="O83">
        <v>0.21</v>
      </c>
      <c r="P83" t="s">
        <v>59</v>
      </c>
      <c r="Q83">
        <v>17248</v>
      </c>
      <c r="R83">
        <v>0</v>
      </c>
      <c r="S83" t="s">
        <v>36</v>
      </c>
      <c r="T83">
        <v>3160</v>
      </c>
      <c r="U83" t="s">
        <v>73</v>
      </c>
      <c r="V83">
        <v>12</v>
      </c>
      <c r="W83">
        <v>1</v>
      </c>
      <c r="X83" t="s">
        <v>50</v>
      </c>
      <c r="Y83" t="s">
        <v>32</v>
      </c>
      <c r="Z83" t="s">
        <v>33</v>
      </c>
      <c r="AA83" t="s">
        <v>40</v>
      </c>
      <c r="AB83" t="s">
        <v>35</v>
      </c>
      <c r="AC83" t="s">
        <v>44</v>
      </c>
    </row>
    <row r="84" spans="1:29" x14ac:dyDescent="0.25">
      <c r="A84">
        <v>88</v>
      </c>
      <c r="B84">
        <v>15067</v>
      </c>
      <c r="C84">
        <v>6185</v>
      </c>
      <c r="D84">
        <v>21252</v>
      </c>
      <c r="E84" t="s">
        <v>29</v>
      </c>
      <c r="F84">
        <v>49</v>
      </c>
      <c r="G84" t="s">
        <v>53</v>
      </c>
      <c r="H84" t="s">
        <v>30</v>
      </c>
      <c r="I84">
        <v>2</v>
      </c>
      <c r="J84" t="s">
        <v>62</v>
      </c>
      <c r="K84">
        <v>730</v>
      </c>
      <c r="L84" t="s">
        <v>63</v>
      </c>
      <c r="M84">
        <v>2</v>
      </c>
      <c r="N84" t="s">
        <v>44</v>
      </c>
      <c r="O84">
        <v>0.49</v>
      </c>
      <c r="P84" t="s">
        <v>70</v>
      </c>
      <c r="Q84">
        <v>16009</v>
      </c>
      <c r="R84">
        <v>28555</v>
      </c>
      <c r="S84" t="s">
        <v>44</v>
      </c>
      <c r="T84">
        <v>21133</v>
      </c>
      <c r="U84" t="s">
        <v>64</v>
      </c>
      <c r="V84">
        <v>60</v>
      </c>
      <c r="W84">
        <v>5</v>
      </c>
      <c r="X84" t="s">
        <v>31</v>
      </c>
      <c r="Y84" t="s">
        <v>32</v>
      </c>
      <c r="Z84" t="s">
        <v>33</v>
      </c>
      <c r="AA84" t="s">
        <v>40</v>
      </c>
      <c r="AB84" t="s">
        <v>35</v>
      </c>
      <c r="AC84" t="s">
        <v>36</v>
      </c>
    </row>
    <row r="85" spans="1:29" x14ac:dyDescent="0.25">
      <c r="A85">
        <v>89</v>
      </c>
      <c r="B85">
        <v>17265</v>
      </c>
      <c r="C85">
        <v>7970</v>
      </c>
      <c r="D85">
        <v>25235</v>
      </c>
      <c r="E85" t="s">
        <v>29</v>
      </c>
      <c r="F85">
        <v>23</v>
      </c>
      <c r="G85" t="s">
        <v>72</v>
      </c>
      <c r="H85" t="s">
        <v>41</v>
      </c>
      <c r="I85">
        <v>2</v>
      </c>
      <c r="J85" t="s">
        <v>62</v>
      </c>
      <c r="K85">
        <v>659</v>
      </c>
      <c r="L85" t="s">
        <v>55</v>
      </c>
      <c r="M85">
        <v>0</v>
      </c>
      <c r="N85" t="s">
        <v>36</v>
      </c>
      <c r="O85">
        <v>0.2</v>
      </c>
      <c r="P85" t="s">
        <v>59</v>
      </c>
      <c r="Q85">
        <v>6217</v>
      </c>
      <c r="R85">
        <v>6398</v>
      </c>
      <c r="S85" t="s">
        <v>44</v>
      </c>
      <c r="T85">
        <v>36690</v>
      </c>
      <c r="U85" t="s">
        <v>60</v>
      </c>
      <c r="V85">
        <v>48</v>
      </c>
      <c r="W85">
        <v>4</v>
      </c>
      <c r="X85" t="s">
        <v>50</v>
      </c>
      <c r="Y85" t="s">
        <v>32</v>
      </c>
      <c r="Z85" t="s">
        <v>33</v>
      </c>
      <c r="AA85" t="s">
        <v>34</v>
      </c>
      <c r="AB85" t="s">
        <v>43</v>
      </c>
      <c r="AC85" t="s">
        <v>44</v>
      </c>
    </row>
    <row r="86" spans="1:29" x14ac:dyDescent="0.25">
      <c r="A86">
        <v>90</v>
      </c>
      <c r="B86">
        <v>4454</v>
      </c>
      <c r="C86">
        <v>0</v>
      </c>
      <c r="D86">
        <v>4454</v>
      </c>
      <c r="E86" t="s">
        <v>29</v>
      </c>
      <c r="F86">
        <v>33</v>
      </c>
      <c r="G86" t="s">
        <v>61</v>
      </c>
      <c r="H86" t="s">
        <v>30</v>
      </c>
      <c r="I86">
        <v>0</v>
      </c>
      <c r="J86" t="s">
        <v>54</v>
      </c>
      <c r="K86">
        <v>727</v>
      </c>
      <c r="L86" t="s">
        <v>63</v>
      </c>
      <c r="M86">
        <v>1</v>
      </c>
      <c r="N86" t="s">
        <v>44</v>
      </c>
      <c r="O86">
        <v>0.14000000000000001</v>
      </c>
      <c r="P86" t="s">
        <v>59</v>
      </c>
      <c r="Q86">
        <v>5672</v>
      </c>
      <c r="R86">
        <v>7252</v>
      </c>
      <c r="S86" t="s">
        <v>44</v>
      </c>
      <c r="T86">
        <v>23870</v>
      </c>
      <c r="U86" t="s">
        <v>64</v>
      </c>
      <c r="V86">
        <v>12</v>
      </c>
      <c r="W86">
        <v>1</v>
      </c>
      <c r="X86" t="s">
        <v>31</v>
      </c>
      <c r="Y86" t="s">
        <v>38</v>
      </c>
      <c r="Z86" t="s">
        <v>33</v>
      </c>
      <c r="AA86" t="s">
        <v>34</v>
      </c>
      <c r="AB86" t="s">
        <v>42</v>
      </c>
      <c r="AC86" t="s">
        <v>36</v>
      </c>
    </row>
    <row r="87" spans="1:29" x14ac:dyDescent="0.25">
      <c r="A87">
        <v>91</v>
      </c>
      <c r="B87">
        <v>13837</v>
      </c>
      <c r="C87">
        <v>4203</v>
      </c>
      <c r="D87">
        <v>18040</v>
      </c>
      <c r="E87" t="s">
        <v>48</v>
      </c>
      <c r="F87">
        <v>30</v>
      </c>
      <c r="G87" t="s">
        <v>61</v>
      </c>
      <c r="H87" t="s">
        <v>30</v>
      </c>
      <c r="I87">
        <v>1</v>
      </c>
      <c r="J87" t="s">
        <v>68</v>
      </c>
      <c r="K87">
        <v>692</v>
      </c>
      <c r="L87" t="s">
        <v>63</v>
      </c>
      <c r="M87">
        <v>2</v>
      </c>
      <c r="N87" t="s">
        <v>44</v>
      </c>
      <c r="O87">
        <v>0.34</v>
      </c>
      <c r="P87" t="s">
        <v>67</v>
      </c>
      <c r="Q87">
        <v>1502</v>
      </c>
      <c r="R87">
        <v>11721</v>
      </c>
      <c r="S87" t="s">
        <v>44</v>
      </c>
      <c r="T87">
        <v>25496</v>
      </c>
      <c r="U87" t="s">
        <v>64</v>
      </c>
      <c r="V87">
        <v>24</v>
      </c>
      <c r="W87">
        <v>2</v>
      </c>
      <c r="X87" t="s">
        <v>42</v>
      </c>
      <c r="Y87" t="s">
        <v>38</v>
      </c>
      <c r="Z87" t="s">
        <v>33</v>
      </c>
      <c r="AA87" t="s">
        <v>40</v>
      </c>
      <c r="AB87" t="s">
        <v>35</v>
      </c>
      <c r="AC87" t="s">
        <v>44</v>
      </c>
    </row>
    <row r="88" spans="1:29" x14ac:dyDescent="0.25">
      <c r="A88">
        <v>92</v>
      </c>
      <c r="B88">
        <v>16039</v>
      </c>
      <c r="C88">
        <v>8363</v>
      </c>
      <c r="D88">
        <v>24402</v>
      </c>
      <c r="E88" t="s">
        <v>46</v>
      </c>
      <c r="F88">
        <v>56</v>
      </c>
      <c r="G88" t="s">
        <v>69</v>
      </c>
      <c r="H88" t="s">
        <v>30</v>
      </c>
      <c r="I88">
        <v>0</v>
      </c>
      <c r="J88" t="s">
        <v>54</v>
      </c>
      <c r="K88">
        <v>655</v>
      </c>
      <c r="L88" t="s">
        <v>55</v>
      </c>
      <c r="M88">
        <v>0</v>
      </c>
      <c r="N88" t="s">
        <v>36</v>
      </c>
      <c r="O88">
        <v>0.1</v>
      </c>
      <c r="P88" t="s">
        <v>59</v>
      </c>
      <c r="Q88">
        <v>1410</v>
      </c>
      <c r="R88">
        <v>17939</v>
      </c>
      <c r="S88" t="s">
        <v>44</v>
      </c>
      <c r="T88">
        <v>37572</v>
      </c>
      <c r="U88" t="s">
        <v>60</v>
      </c>
      <c r="V88">
        <v>48</v>
      </c>
      <c r="W88">
        <v>4</v>
      </c>
      <c r="X88" t="s">
        <v>31</v>
      </c>
      <c r="Y88" t="s">
        <v>32</v>
      </c>
      <c r="Z88" t="s">
        <v>39</v>
      </c>
      <c r="AA88" t="s">
        <v>40</v>
      </c>
      <c r="AB88" t="s">
        <v>48</v>
      </c>
      <c r="AC88" t="s">
        <v>44</v>
      </c>
    </row>
    <row r="89" spans="1:29" x14ac:dyDescent="0.25">
      <c r="A89">
        <v>93</v>
      </c>
      <c r="B89">
        <v>12965</v>
      </c>
      <c r="C89">
        <v>9650</v>
      </c>
      <c r="D89">
        <v>22615</v>
      </c>
      <c r="E89" t="s">
        <v>29</v>
      </c>
      <c r="F89">
        <v>29</v>
      </c>
      <c r="G89" t="s">
        <v>61</v>
      </c>
      <c r="H89" t="s">
        <v>41</v>
      </c>
      <c r="I89">
        <v>3</v>
      </c>
      <c r="J89" t="s">
        <v>58</v>
      </c>
      <c r="K89">
        <v>797</v>
      </c>
      <c r="L89" t="s">
        <v>71</v>
      </c>
      <c r="M89">
        <v>1</v>
      </c>
      <c r="N89" t="s">
        <v>44</v>
      </c>
      <c r="O89">
        <v>0.14000000000000001</v>
      </c>
      <c r="P89" t="s">
        <v>59</v>
      </c>
      <c r="Q89">
        <v>3770</v>
      </c>
      <c r="R89">
        <v>11825</v>
      </c>
      <c r="S89" t="s">
        <v>44</v>
      </c>
      <c r="T89">
        <v>3368</v>
      </c>
      <c r="U89" t="s">
        <v>73</v>
      </c>
      <c r="V89">
        <v>60</v>
      </c>
      <c r="W89">
        <v>5</v>
      </c>
      <c r="X89" t="s">
        <v>42</v>
      </c>
      <c r="Y89" t="s">
        <v>32</v>
      </c>
      <c r="Z89" t="s">
        <v>39</v>
      </c>
      <c r="AA89" t="s">
        <v>34</v>
      </c>
      <c r="AB89" t="s">
        <v>35</v>
      </c>
      <c r="AC89" t="s">
        <v>44</v>
      </c>
    </row>
    <row r="90" spans="1:29" x14ac:dyDescent="0.25">
      <c r="A90">
        <v>94</v>
      </c>
      <c r="B90">
        <v>11762</v>
      </c>
      <c r="C90">
        <v>3549</v>
      </c>
      <c r="D90">
        <v>15311</v>
      </c>
      <c r="E90" t="s">
        <v>29</v>
      </c>
      <c r="F90">
        <v>47</v>
      </c>
      <c r="G90" t="s">
        <v>53</v>
      </c>
      <c r="H90" t="s">
        <v>41</v>
      </c>
      <c r="I90">
        <v>2</v>
      </c>
      <c r="J90" t="s">
        <v>62</v>
      </c>
      <c r="K90">
        <v>676</v>
      </c>
      <c r="L90" t="s">
        <v>63</v>
      </c>
      <c r="M90">
        <v>2</v>
      </c>
      <c r="N90" t="s">
        <v>44</v>
      </c>
      <c r="O90">
        <v>0.5</v>
      </c>
      <c r="P90" t="s">
        <v>70</v>
      </c>
      <c r="Q90">
        <v>10097</v>
      </c>
      <c r="R90">
        <v>25251</v>
      </c>
      <c r="S90" t="s">
        <v>44</v>
      </c>
      <c r="T90">
        <v>37700</v>
      </c>
      <c r="U90" t="s">
        <v>60</v>
      </c>
      <c r="V90">
        <v>12</v>
      </c>
      <c r="W90">
        <v>1</v>
      </c>
      <c r="X90" t="s">
        <v>42</v>
      </c>
      <c r="Y90" t="s">
        <v>32</v>
      </c>
      <c r="Z90" t="s">
        <v>39</v>
      </c>
      <c r="AA90" t="s">
        <v>34</v>
      </c>
      <c r="AB90" t="s">
        <v>51</v>
      </c>
      <c r="AC90" t="s">
        <v>36</v>
      </c>
    </row>
    <row r="91" spans="1:29" x14ac:dyDescent="0.25">
      <c r="A91">
        <v>95</v>
      </c>
      <c r="B91">
        <v>7056</v>
      </c>
      <c r="C91">
        <v>4197</v>
      </c>
      <c r="D91">
        <v>11253</v>
      </c>
      <c r="E91" t="s">
        <v>48</v>
      </c>
      <c r="F91">
        <v>54</v>
      </c>
      <c r="G91" t="s">
        <v>53</v>
      </c>
      <c r="H91" t="s">
        <v>41</v>
      </c>
      <c r="I91">
        <v>0</v>
      </c>
      <c r="J91" t="s">
        <v>54</v>
      </c>
      <c r="K91">
        <v>556</v>
      </c>
      <c r="L91" t="s">
        <v>66</v>
      </c>
      <c r="M91">
        <v>3</v>
      </c>
      <c r="N91" t="s">
        <v>44</v>
      </c>
      <c r="O91">
        <v>0.49</v>
      </c>
      <c r="P91" t="s">
        <v>70</v>
      </c>
      <c r="Q91">
        <v>4001</v>
      </c>
      <c r="R91">
        <v>36955</v>
      </c>
      <c r="S91" t="s">
        <v>44</v>
      </c>
      <c r="T91">
        <v>30203</v>
      </c>
      <c r="U91" t="s">
        <v>64</v>
      </c>
      <c r="V91">
        <v>48</v>
      </c>
      <c r="W91">
        <v>4</v>
      </c>
      <c r="X91" t="s">
        <v>31</v>
      </c>
      <c r="Y91" t="s">
        <v>38</v>
      </c>
      <c r="Z91" t="s">
        <v>33</v>
      </c>
      <c r="AA91" t="s">
        <v>40</v>
      </c>
      <c r="AB91" t="s">
        <v>51</v>
      </c>
      <c r="AC91" t="s">
        <v>36</v>
      </c>
    </row>
    <row r="92" spans="1:29" x14ac:dyDescent="0.25">
      <c r="A92">
        <v>96</v>
      </c>
      <c r="B92">
        <v>16948</v>
      </c>
      <c r="C92">
        <v>7009</v>
      </c>
      <c r="D92">
        <v>23957</v>
      </c>
      <c r="E92" t="s">
        <v>46</v>
      </c>
      <c r="F92">
        <v>21</v>
      </c>
      <c r="G92" t="s">
        <v>72</v>
      </c>
      <c r="H92" t="s">
        <v>30</v>
      </c>
      <c r="I92">
        <v>0</v>
      </c>
      <c r="J92" t="s">
        <v>54</v>
      </c>
      <c r="K92">
        <v>589</v>
      </c>
      <c r="L92" t="s">
        <v>55</v>
      </c>
      <c r="M92">
        <v>2</v>
      </c>
      <c r="N92" t="s">
        <v>44</v>
      </c>
      <c r="O92">
        <v>0.56000000000000005</v>
      </c>
      <c r="P92" t="s">
        <v>56</v>
      </c>
      <c r="Q92">
        <v>19867</v>
      </c>
      <c r="R92">
        <v>0</v>
      </c>
      <c r="S92" t="s">
        <v>36</v>
      </c>
      <c r="T92">
        <v>12552</v>
      </c>
      <c r="U92" t="s">
        <v>57</v>
      </c>
      <c r="V92">
        <v>24</v>
      </c>
      <c r="W92">
        <v>2</v>
      </c>
      <c r="X92" t="s">
        <v>47</v>
      </c>
      <c r="Y92" t="s">
        <v>32</v>
      </c>
      <c r="Z92" t="s">
        <v>39</v>
      </c>
      <c r="AA92" t="s">
        <v>40</v>
      </c>
      <c r="AB92" t="s">
        <v>43</v>
      </c>
      <c r="AC92" t="s">
        <v>36</v>
      </c>
    </row>
    <row r="93" spans="1:29" x14ac:dyDescent="0.25">
      <c r="A93">
        <v>97</v>
      </c>
      <c r="B93">
        <v>10110</v>
      </c>
      <c r="C93">
        <v>6667</v>
      </c>
      <c r="D93">
        <v>16777</v>
      </c>
      <c r="E93" t="s">
        <v>29</v>
      </c>
      <c r="F93">
        <v>52</v>
      </c>
      <c r="G93" t="s">
        <v>53</v>
      </c>
      <c r="H93" t="s">
        <v>41</v>
      </c>
      <c r="I93">
        <v>2</v>
      </c>
      <c r="J93" t="s">
        <v>62</v>
      </c>
      <c r="K93">
        <v>705</v>
      </c>
      <c r="L93" t="s">
        <v>63</v>
      </c>
      <c r="M93">
        <v>4</v>
      </c>
      <c r="N93" t="s">
        <v>44</v>
      </c>
      <c r="O93">
        <v>0.53</v>
      </c>
      <c r="P93" t="s">
        <v>56</v>
      </c>
      <c r="Q93">
        <v>598</v>
      </c>
      <c r="R93">
        <v>36</v>
      </c>
      <c r="S93" t="s">
        <v>36</v>
      </c>
      <c r="T93">
        <v>6608</v>
      </c>
      <c r="U93" t="s">
        <v>57</v>
      </c>
      <c r="V93">
        <v>48</v>
      </c>
      <c r="W93">
        <v>4</v>
      </c>
      <c r="X93" t="s">
        <v>31</v>
      </c>
      <c r="Y93" t="s">
        <v>32</v>
      </c>
      <c r="Z93" t="s">
        <v>39</v>
      </c>
      <c r="AA93" t="s">
        <v>40</v>
      </c>
      <c r="AB93" t="s">
        <v>35</v>
      </c>
      <c r="AC93" t="s">
        <v>36</v>
      </c>
    </row>
    <row r="94" spans="1:29" x14ac:dyDescent="0.25">
      <c r="A94">
        <v>98</v>
      </c>
      <c r="B94">
        <v>15773</v>
      </c>
      <c r="C94">
        <v>2322</v>
      </c>
      <c r="D94">
        <v>18095</v>
      </c>
      <c r="E94" t="s">
        <v>49</v>
      </c>
      <c r="F94">
        <v>45</v>
      </c>
      <c r="G94" t="s">
        <v>53</v>
      </c>
      <c r="H94" t="s">
        <v>41</v>
      </c>
      <c r="I94">
        <v>3</v>
      </c>
      <c r="J94" t="s">
        <v>58</v>
      </c>
      <c r="K94">
        <v>709</v>
      </c>
      <c r="L94" t="s">
        <v>63</v>
      </c>
      <c r="M94">
        <v>2</v>
      </c>
      <c r="N94" t="s">
        <v>44</v>
      </c>
      <c r="O94">
        <v>0.44</v>
      </c>
      <c r="P94" t="s">
        <v>70</v>
      </c>
      <c r="Q94">
        <v>0</v>
      </c>
      <c r="R94">
        <v>28412</v>
      </c>
      <c r="S94" t="s">
        <v>44</v>
      </c>
      <c r="T94">
        <v>23485</v>
      </c>
      <c r="U94" t="s">
        <v>64</v>
      </c>
      <c r="V94">
        <v>12</v>
      </c>
      <c r="W94">
        <v>1</v>
      </c>
      <c r="X94" t="s">
        <v>37</v>
      </c>
      <c r="Y94" t="s">
        <v>32</v>
      </c>
      <c r="Z94" t="s">
        <v>39</v>
      </c>
      <c r="AA94" t="s">
        <v>40</v>
      </c>
      <c r="AB94" t="s">
        <v>43</v>
      </c>
      <c r="AC94" t="s">
        <v>36</v>
      </c>
    </row>
    <row r="95" spans="1:29" x14ac:dyDescent="0.25">
      <c r="A95">
        <v>99</v>
      </c>
      <c r="B95">
        <v>0</v>
      </c>
      <c r="C95">
        <v>0</v>
      </c>
      <c r="D95">
        <v>0</v>
      </c>
      <c r="E95" t="s">
        <v>29</v>
      </c>
      <c r="F95">
        <v>49</v>
      </c>
      <c r="G95" t="s">
        <v>53</v>
      </c>
      <c r="H95" t="s">
        <v>30</v>
      </c>
      <c r="I95">
        <v>1</v>
      </c>
      <c r="J95" t="s">
        <v>68</v>
      </c>
      <c r="K95">
        <v>550</v>
      </c>
      <c r="L95" t="s">
        <v>66</v>
      </c>
      <c r="M95">
        <v>4</v>
      </c>
      <c r="N95" t="s">
        <v>44</v>
      </c>
      <c r="O95">
        <v>0.13</v>
      </c>
      <c r="P95" t="s">
        <v>59</v>
      </c>
      <c r="Q95">
        <v>19425</v>
      </c>
      <c r="R95">
        <v>18171</v>
      </c>
      <c r="S95" t="s">
        <v>44</v>
      </c>
      <c r="T95">
        <v>10862</v>
      </c>
      <c r="U95" t="s">
        <v>57</v>
      </c>
      <c r="V95">
        <v>48</v>
      </c>
      <c r="W95">
        <v>4</v>
      </c>
      <c r="X95" t="s">
        <v>31</v>
      </c>
      <c r="Y95" t="s">
        <v>32</v>
      </c>
      <c r="Z95" t="s">
        <v>39</v>
      </c>
      <c r="AA95" t="s">
        <v>34</v>
      </c>
      <c r="AB95" t="s">
        <v>42</v>
      </c>
      <c r="AC95" t="s">
        <v>36</v>
      </c>
    </row>
    <row r="96" spans="1:29" x14ac:dyDescent="0.25">
      <c r="A96">
        <v>100</v>
      </c>
      <c r="B96">
        <v>2502</v>
      </c>
      <c r="C96">
        <v>4090</v>
      </c>
      <c r="D96">
        <v>6592</v>
      </c>
      <c r="E96" t="s">
        <v>46</v>
      </c>
      <c r="F96">
        <v>27</v>
      </c>
      <c r="G96" t="s">
        <v>61</v>
      </c>
      <c r="H96" t="s">
        <v>41</v>
      </c>
      <c r="I96">
        <v>2</v>
      </c>
      <c r="J96" t="s">
        <v>62</v>
      </c>
      <c r="K96">
        <v>692</v>
      </c>
      <c r="L96" t="s">
        <v>63</v>
      </c>
      <c r="M96">
        <v>1</v>
      </c>
      <c r="N96" t="s">
        <v>44</v>
      </c>
      <c r="O96">
        <v>0.49</v>
      </c>
      <c r="P96" t="s">
        <v>70</v>
      </c>
      <c r="Q96">
        <v>6391</v>
      </c>
      <c r="R96">
        <v>39051</v>
      </c>
      <c r="S96" t="s">
        <v>44</v>
      </c>
      <c r="T96">
        <v>39299</v>
      </c>
      <c r="U96" t="s">
        <v>60</v>
      </c>
      <c r="V96">
        <v>60</v>
      </c>
      <c r="W96">
        <v>5</v>
      </c>
      <c r="X96" t="s">
        <v>42</v>
      </c>
      <c r="Y96" t="s">
        <v>38</v>
      </c>
      <c r="Z96" t="s">
        <v>39</v>
      </c>
      <c r="AA96" t="s">
        <v>40</v>
      </c>
      <c r="AB96" t="s">
        <v>51</v>
      </c>
      <c r="AC96" t="s">
        <v>36</v>
      </c>
    </row>
    <row r="97" spans="1:29" x14ac:dyDescent="0.25">
      <c r="A97">
        <v>101</v>
      </c>
      <c r="B97">
        <v>8910</v>
      </c>
      <c r="C97">
        <v>6960</v>
      </c>
      <c r="D97">
        <v>15870</v>
      </c>
      <c r="E97" t="s">
        <v>46</v>
      </c>
      <c r="F97">
        <v>23</v>
      </c>
      <c r="G97" t="s">
        <v>72</v>
      </c>
      <c r="H97" t="s">
        <v>41</v>
      </c>
      <c r="I97">
        <v>3</v>
      </c>
      <c r="J97" t="s">
        <v>58</v>
      </c>
      <c r="K97">
        <v>789</v>
      </c>
      <c r="L97" t="s">
        <v>71</v>
      </c>
      <c r="M97">
        <v>2</v>
      </c>
      <c r="N97" t="s">
        <v>44</v>
      </c>
      <c r="O97">
        <v>0.52</v>
      </c>
      <c r="P97" t="s">
        <v>56</v>
      </c>
      <c r="Q97">
        <v>16450</v>
      </c>
      <c r="R97">
        <v>32761</v>
      </c>
      <c r="S97" t="s">
        <v>44</v>
      </c>
      <c r="T97">
        <v>11412</v>
      </c>
      <c r="U97" t="s">
        <v>57</v>
      </c>
      <c r="V97">
        <v>36</v>
      </c>
      <c r="W97">
        <v>3</v>
      </c>
      <c r="X97" t="s">
        <v>42</v>
      </c>
      <c r="Y97" t="s">
        <v>32</v>
      </c>
      <c r="Z97" t="s">
        <v>39</v>
      </c>
      <c r="AA97" t="s">
        <v>34</v>
      </c>
      <c r="AB97" t="s">
        <v>43</v>
      </c>
      <c r="AC97" t="s">
        <v>36</v>
      </c>
    </row>
    <row r="98" spans="1:29" x14ac:dyDescent="0.25">
      <c r="A98">
        <v>102</v>
      </c>
      <c r="B98">
        <v>14685</v>
      </c>
      <c r="C98">
        <v>3004</v>
      </c>
      <c r="D98">
        <v>17689</v>
      </c>
      <c r="E98" t="s">
        <v>29</v>
      </c>
      <c r="F98">
        <v>40</v>
      </c>
      <c r="G98" t="s">
        <v>65</v>
      </c>
      <c r="H98" t="s">
        <v>41</v>
      </c>
      <c r="I98">
        <v>2</v>
      </c>
      <c r="J98" t="s">
        <v>62</v>
      </c>
      <c r="K98">
        <v>777</v>
      </c>
      <c r="L98" t="s">
        <v>71</v>
      </c>
      <c r="M98">
        <v>1</v>
      </c>
      <c r="N98" t="s">
        <v>44</v>
      </c>
      <c r="O98">
        <v>0.5</v>
      </c>
      <c r="P98" t="s">
        <v>70</v>
      </c>
      <c r="Q98">
        <v>14908</v>
      </c>
      <c r="R98">
        <v>15202</v>
      </c>
      <c r="S98" t="s">
        <v>44</v>
      </c>
      <c r="T98">
        <v>22354</v>
      </c>
      <c r="U98" t="s">
        <v>64</v>
      </c>
      <c r="V98">
        <v>12</v>
      </c>
      <c r="W98">
        <v>1</v>
      </c>
      <c r="X98" t="s">
        <v>37</v>
      </c>
      <c r="Y98" t="s">
        <v>32</v>
      </c>
      <c r="Z98" t="s">
        <v>39</v>
      </c>
      <c r="AA98" t="s">
        <v>40</v>
      </c>
      <c r="AB98" t="s">
        <v>43</v>
      </c>
      <c r="AC98" t="s">
        <v>36</v>
      </c>
    </row>
    <row r="99" spans="1:29" x14ac:dyDescent="0.25">
      <c r="A99">
        <v>103</v>
      </c>
      <c r="B99">
        <v>2206</v>
      </c>
      <c r="C99">
        <v>5136</v>
      </c>
      <c r="D99">
        <v>7342</v>
      </c>
      <c r="E99" t="s">
        <v>48</v>
      </c>
      <c r="F99">
        <v>40</v>
      </c>
      <c r="G99" t="s">
        <v>65</v>
      </c>
      <c r="H99" t="s">
        <v>41</v>
      </c>
      <c r="I99">
        <v>0</v>
      </c>
      <c r="J99" t="s">
        <v>54</v>
      </c>
      <c r="K99">
        <v>634</v>
      </c>
      <c r="L99" t="s">
        <v>55</v>
      </c>
      <c r="M99">
        <v>1</v>
      </c>
      <c r="N99" t="s">
        <v>44</v>
      </c>
      <c r="O99">
        <v>0.35</v>
      </c>
      <c r="P99" t="s">
        <v>67</v>
      </c>
      <c r="Q99">
        <v>11590</v>
      </c>
      <c r="R99">
        <v>8060</v>
      </c>
      <c r="S99" t="s">
        <v>44</v>
      </c>
      <c r="T99">
        <v>7344</v>
      </c>
      <c r="U99" t="s">
        <v>57</v>
      </c>
      <c r="V99">
        <v>12</v>
      </c>
      <c r="W99">
        <v>1</v>
      </c>
      <c r="X99" t="s">
        <v>37</v>
      </c>
      <c r="Y99" t="s">
        <v>32</v>
      </c>
      <c r="Z99" t="s">
        <v>39</v>
      </c>
      <c r="AA99" t="s">
        <v>40</v>
      </c>
      <c r="AB99" t="s">
        <v>51</v>
      </c>
      <c r="AC99" t="s">
        <v>36</v>
      </c>
    </row>
    <row r="100" spans="1:29" x14ac:dyDescent="0.25">
      <c r="A100">
        <v>104</v>
      </c>
      <c r="B100">
        <v>19868</v>
      </c>
      <c r="C100">
        <v>329</v>
      </c>
      <c r="D100">
        <v>20197</v>
      </c>
      <c r="E100" t="s">
        <v>49</v>
      </c>
      <c r="F100">
        <v>50</v>
      </c>
      <c r="G100" t="s">
        <v>53</v>
      </c>
      <c r="H100" t="s">
        <v>30</v>
      </c>
      <c r="I100">
        <v>2</v>
      </c>
      <c r="J100" t="s">
        <v>62</v>
      </c>
      <c r="K100">
        <v>747</v>
      </c>
      <c r="L100" t="s">
        <v>71</v>
      </c>
      <c r="M100">
        <v>0</v>
      </c>
      <c r="N100" t="s">
        <v>36</v>
      </c>
      <c r="O100">
        <v>0.22</v>
      </c>
      <c r="P100" t="s">
        <v>59</v>
      </c>
      <c r="Q100">
        <v>16279</v>
      </c>
      <c r="R100">
        <v>8065</v>
      </c>
      <c r="S100" t="s">
        <v>44</v>
      </c>
      <c r="T100">
        <v>18993</v>
      </c>
      <c r="U100" t="s">
        <v>57</v>
      </c>
      <c r="V100">
        <v>12</v>
      </c>
      <c r="W100">
        <v>1</v>
      </c>
      <c r="X100" t="s">
        <v>50</v>
      </c>
      <c r="Y100" t="s">
        <v>32</v>
      </c>
      <c r="Z100" t="s">
        <v>39</v>
      </c>
      <c r="AA100" t="s">
        <v>34</v>
      </c>
      <c r="AB100" t="s">
        <v>48</v>
      </c>
      <c r="AC100" t="s">
        <v>44</v>
      </c>
    </row>
    <row r="101" spans="1:29" x14ac:dyDescent="0.25">
      <c r="A101">
        <v>105</v>
      </c>
      <c r="B101">
        <v>17934</v>
      </c>
      <c r="C101">
        <v>3640</v>
      </c>
      <c r="D101">
        <v>21574</v>
      </c>
      <c r="E101" t="s">
        <v>46</v>
      </c>
      <c r="F101">
        <v>55</v>
      </c>
      <c r="G101" t="s">
        <v>69</v>
      </c>
      <c r="H101" t="s">
        <v>30</v>
      </c>
      <c r="I101">
        <v>2</v>
      </c>
      <c r="J101" t="s">
        <v>62</v>
      </c>
      <c r="K101">
        <v>614</v>
      </c>
      <c r="L101" t="s">
        <v>55</v>
      </c>
      <c r="M101">
        <v>1</v>
      </c>
      <c r="N101" t="s">
        <v>44</v>
      </c>
      <c r="O101">
        <v>0.52</v>
      </c>
      <c r="P101" t="s">
        <v>56</v>
      </c>
      <c r="Q101">
        <v>2750</v>
      </c>
      <c r="R101">
        <v>29873</v>
      </c>
      <c r="S101" t="s">
        <v>44</v>
      </c>
      <c r="T101">
        <v>29682</v>
      </c>
      <c r="U101" t="s">
        <v>64</v>
      </c>
      <c r="V101">
        <v>12</v>
      </c>
      <c r="W101">
        <v>1</v>
      </c>
      <c r="X101" t="s">
        <v>47</v>
      </c>
      <c r="Y101" t="s">
        <v>45</v>
      </c>
      <c r="Z101" t="s">
        <v>39</v>
      </c>
      <c r="AA101" t="s">
        <v>40</v>
      </c>
      <c r="AB101" t="s">
        <v>42</v>
      </c>
      <c r="AC101" t="s">
        <v>36</v>
      </c>
    </row>
    <row r="102" spans="1:29" x14ac:dyDescent="0.25">
      <c r="A102">
        <v>106</v>
      </c>
      <c r="B102">
        <v>19247</v>
      </c>
      <c r="C102">
        <v>7982</v>
      </c>
      <c r="D102">
        <v>27229</v>
      </c>
      <c r="E102" t="s">
        <v>29</v>
      </c>
      <c r="F102">
        <v>55</v>
      </c>
      <c r="G102" t="s">
        <v>69</v>
      </c>
      <c r="H102" t="s">
        <v>41</v>
      </c>
      <c r="I102">
        <v>1</v>
      </c>
      <c r="J102" t="s">
        <v>68</v>
      </c>
      <c r="K102">
        <v>681</v>
      </c>
      <c r="L102" t="s">
        <v>63</v>
      </c>
      <c r="M102">
        <v>1</v>
      </c>
      <c r="N102" t="s">
        <v>44</v>
      </c>
      <c r="O102">
        <v>0.46</v>
      </c>
      <c r="P102" t="s">
        <v>70</v>
      </c>
      <c r="Q102">
        <v>9916</v>
      </c>
      <c r="R102">
        <v>36648</v>
      </c>
      <c r="S102" t="s">
        <v>44</v>
      </c>
      <c r="T102">
        <v>29415</v>
      </c>
      <c r="U102" t="s">
        <v>64</v>
      </c>
      <c r="V102">
        <v>48</v>
      </c>
      <c r="W102">
        <v>4</v>
      </c>
      <c r="X102" t="s">
        <v>47</v>
      </c>
      <c r="Y102" t="s">
        <v>32</v>
      </c>
      <c r="Z102" t="s">
        <v>39</v>
      </c>
      <c r="AA102" t="s">
        <v>40</v>
      </c>
      <c r="AB102" t="s">
        <v>51</v>
      </c>
      <c r="AC102" t="s">
        <v>36</v>
      </c>
    </row>
    <row r="103" spans="1:29" x14ac:dyDescent="0.25">
      <c r="A103">
        <v>107</v>
      </c>
      <c r="B103">
        <v>10755</v>
      </c>
      <c r="C103">
        <v>4107</v>
      </c>
      <c r="D103">
        <v>14862</v>
      </c>
      <c r="E103" t="s">
        <v>29</v>
      </c>
      <c r="F103">
        <v>59</v>
      </c>
      <c r="G103" t="s">
        <v>69</v>
      </c>
      <c r="H103" t="s">
        <v>30</v>
      </c>
      <c r="I103">
        <v>0</v>
      </c>
      <c r="J103" t="s">
        <v>54</v>
      </c>
      <c r="K103">
        <v>560</v>
      </c>
      <c r="L103" t="s">
        <v>66</v>
      </c>
      <c r="M103">
        <v>2</v>
      </c>
      <c r="N103" t="s">
        <v>44</v>
      </c>
      <c r="O103">
        <v>0.35</v>
      </c>
      <c r="P103" t="s">
        <v>67</v>
      </c>
      <c r="Q103">
        <v>6806</v>
      </c>
      <c r="R103">
        <v>5932</v>
      </c>
      <c r="S103" t="s">
        <v>44</v>
      </c>
      <c r="T103">
        <v>20323</v>
      </c>
      <c r="U103" t="s">
        <v>64</v>
      </c>
      <c r="V103">
        <v>60</v>
      </c>
      <c r="W103">
        <v>5</v>
      </c>
      <c r="X103" t="s">
        <v>47</v>
      </c>
      <c r="Y103" t="s">
        <v>32</v>
      </c>
      <c r="Z103" t="s">
        <v>39</v>
      </c>
      <c r="AA103" t="s">
        <v>40</v>
      </c>
      <c r="AB103" t="s">
        <v>43</v>
      </c>
      <c r="AC103" t="s">
        <v>36</v>
      </c>
    </row>
    <row r="104" spans="1:29" x14ac:dyDescent="0.25">
      <c r="A104">
        <v>108</v>
      </c>
      <c r="B104">
        <v>14383</v>
      </c>
      <c r="C104">
        <v>1341</v>
      </c>
      <c r="D104">
        <v>15724</v>
      </c>
      <c r="E104" t="s">
        <v>29</v>
      </c>
      <c r="F104">
        <v>47</v>
      </c>
      <c r="G104" t="s">
        <v>53</v>
      </c>
      <c r="H104" t="s">
        <v>41</v>
      </c>
      <c r="I104">
        <v>0</v>
      </c>
      <c r="J104" t="s">
        <v>54</v>
      </c>
      <c r="K104">
        <v>657</v>
      </c>
      <c r="L104" t="s">
        <v>55</v>
      </c>
      <c r="M104">
        <v>2</v>
      </c>
      <c r="N104" t="s">
        <v>44</v>
      </c>
      <c r="O104">
        <v>0.18</v>
      </c>
      <c r="P104" t="s">
        <v>59</v>
      </c>
      <c r="Q104">
        <v>6429</v>
      </c>
      <c r="R104">
        <v>26470</v>
      </c>
      <c r="S104" t="s">
        <v>44</v>
      </c>
      <c r="T104">
        <v>18997</v>
      </c>
      <c r="U104" t="s">
        <v>57</v>
      </c>
      <c r="V104">
        <v>24</v>
      </c>
      <c r="W104">
        <v>2</v>
      </c>
      <c r="X104" t="s">
        <v>42</v>
      </c>
      <c r="Y104" t="s">
        <v>38</v>
      </c>
      <c r="Z104" t="s">
        <v>39</v>
      </c>
      <c r="AA104" t="s">
        <v>40</v>
      </c>
      <c r="AB104" t="s">
        <v>42</v>
      </c>
      <c r="AC104" t="s">
        <v>44</v>
      </c>
    </row>
    <row r="105" spans="1:29" x14ac:dyDescent="0.25">
      <c r="A105">
        <v>110</v>
      </c>
      <c r="B105">
        <v>9574</v>
      </c>
      <c r="C105">
        <v>338</v>
      </c>
      <c r="D105">
        <v>9912</v>
      </c>
      <c r="E105" t="s">
        <v>29</v>
      </c>
      <c r="F105">
        <v>34</v>
      </c>
      <c r="G105" t="s">
        <v>61</v>
      </c>
      <c r="H105" t="s">
        <v>41</v>
      </c>
      <c r="I105">
        <v>2</v>
      </c>
      <c r="J105" t="s">
        <v>62</v>
      </c>
      <c r="K105">
        <v>738</v>
      </c>
      <c r="L105" t="s">
        <v>63</v>
      </c>
      <c r="M105">
        <v>0</v>
      </c>
      <c r="N105" t="s">
        <v>36</v>
      </c>
      <c r="O105">
        <v>0.21</v>
      </c>
      <c r="P105" t="s">
        <v>59</v>
      </c>
      <c r="Q105">
        <v>18015</v>
      </c>
      <c r="R105">
        <v>6333</v>
      </c>
      <c r="S105" t="s">
        <v>44</v>
      </c>
      <c r="T105">
        <v>30489</v>
      </c>
      <c r="U105" t="s">
        <v>64</v>
      </c>
      <c r="V105">
        <v>12</v>
      </c>
      <c r="W105">
        <v>1</v>
      </c>
      <c r="X105" t="s">
        <v>50</v>
      </c>
      <c r="Y105" t="s">
        <v>45</v>
      </c>
      <c r="Z105" t="s">
        <v>33</v>
      </c>
      <c r="AA105" t="s">
        <v>40</v>
      </c>
      <c r="AB105" t="s">
        <v>42</v>
      </c>
      <c r="AC105" t="s">
        <v>44</v>
      </c>
    </row>
    <row r="106" spans="1:29" x14ac:dyDescent="0.25">
      <c r="A106">
        <v>111</v>
      </c>
      <c r="B106">
        <v>8374</v>
      </c>
      <c r="C106">
        <v>5895</v>
      </c>
      <c r="D106">
        <v>14269</v>
      </c>
      <c r="E106" t="s">
        <v>46</v>
      </c>
      <c r="F106">
        <v>37</v>
      </c>
      <c r="G106" t="s">
        <v>65</v>
      </c>
      <c r="H106" t="s">
        <v>41</v>
      </c>
      <c r="I106">
        <v>3</v>
      </c>
      <c r="J106" t="s">
        <v>58</v>
      </c>
      <c r="K106">
        <v>714</v>
      </c>
      <c r="L106" t="s">
        <v>63</v>
      </c>
      <c r="M106">
        <v>1</v>
      </c>
      <c r="N106" t="s">
        <v>44</v>
      </c>
      <c r="O106">
        <v>0.5</v>
      </c>
      <c r="P106" t="s">
        <v>70</v>
      </c>
      <c r="Q106">
        <v>6452</v>
      </c>
      <c r="R106">
        <v>46638</v>
      </c>
      <c r="S106" t="s">
        <v>44</v>
      </c>
      <c r="T106">
        <v>10488</v>
      </c>
      <c r="U106" t="s">
        <v>57</v>
      </c>
      <c r="V106">
        <v>72</v>
      </c>
      <c r="W106">
        <v>6</v>
      </c>
      <c r="X106" t="s">
        <v>50</v>
      </c>
      <c r="Y106" t="s">
        <v>32</v>
      </c>
      <c r="Z106" t="s">
        <v>39</v>
      </c>
      <c r="AA106" t="s">
        <v>34</v>
      </c>
      <c r="AB106" t="s">
        <v>35</v>
      </c>
      <c r="AC106" t="s">
        <v>36</v>
      </c>
    </row>
    <row r="107" spans="1:29" x14ac:dyDescent="0.25">
      <c r="A107">
        <v>112</v>
      </c>
      <c r="B107">
        <v>3678</v>
      </c>
      <c r="C107">
        <v>2708</v>
      </c>
      <c r="D107">
        <v>6386</v>
      </c>
      <c r="E107" t="s">
        <v>49</v>
      </c>
      <c r="F107">
        <v>38</v>
      </c>
      <c r="G107" t="s">
        <v>65</v>
      </c>
      <c r="H107" t="s">
        <v>30</v>
      </c>
      <c r="I107">
        <v>0</v>
      </c>
      <c r="J107" t="s">
        <v>54</v>
      </c>
      <c r="K107">
        <v>700</v>
      </c>
      <c r="L107" t="s">
        <v>63</v>
      </c>
      <c r="M107">
        <v>0</v>
      </c>
      <c r="N107" t="s">
        <v>36</v>
      </c>
      <c r="O107">
        <v>0.19</v>
      </c>
      <c r="P107" t="s">
        <v>59</v>
      </c>
      <c r="Q107">
        <v>17158</v>
      </c>
      <c r="R107">
        <v>11268</v>
      </c>
      <c r="S107" t="s">
        <v>44</v>
      </c>
      <c r="T107">
        <v>4996</v>
      </c>
      <c r="U107" t="s">
        <v>73</v>
      </c>
      <c r="V107">
        <v>48</v>
      </c>
      <c r="W107">
        <v>4</v>
      </c>
      <c r="X107" t="s">
        <v>47</v>
      </c>
      <c r="Y107" t="s">
        <v>32</v>
      </c>
      <c r="Z107" t="s">
        <v>39</v>
      </c>
      <c r="AA107" t="s">
        <v>34</v>
      </c>
      <c r="AB107" t="s">
        <v>43</v>
      </c>
      <c r="AC107" t="s">
        <v>44</v>
      </c>
    </row>
    <row r="108" spans="1:29" x14ac:dyDescent="0.25">
      <c r="A108">
        <v>113</v>
      </c>
      <c r="B108">
        <v>3059</v>
      </c>
      <c r="C108">
        <v>1750</v>
      </c>
      <c r="D108">
        <v>4809</v>
      </c>
      <c r="E108" t="s">
        <v>29</v>
      </c>
      <c r="F108">
        <v>49</v>
      </c>
      <c r="G108" t="s">
        <v>53</v>
      </c>
      <c r="H108" t="s">
        <v>30</v>
      </c>
      <c r="I108">
        <v>0</v>
      </c>
      <c r="J108" t="s">
        <v>54</v>
      </c>
      <c r="K108">
        <v>770</v>
      </c>
      <c r="L108" t="s">
        <v>71</v>
      </c>
      <c r="M108">
        <v>4</v>
      </c>
      <c r="N108" t="s">
        <v>44</v>
      </c>
      <c r="O108">
        <v>0.13</v>
      </c>
      <c r="P108" t="s">
        <v>59</v>
      </c>
      <c r="Q108">
        <v>15456</v>
      </c>
      <c r="R108">
        <v>5067</v>
      </c>
      <c r="S108" t="s">
        <v>44</v>
      </c>
      <c r="T108">
        <v>6695</v>
      </c>
      <c r="U108" t="s">
        <v>57</v>
      </c>
      <c r="V108">
        <v>72</v>
      </c>
      <c r="W108">
        <v>6</v>
      </c>
      <c r="X108" t="s">
        <v>37</v>
      </c>
      <c r="Y108" t="s">
        <v>45</v>
      </c>
      <c r="Z108" t="s">
        <v>39</v>
      </c>
      <c r="AA108" t="s">
        <v>40</v>
      </c>
      <c r="AB108" t="s">
        <v>43</v>
      </c>
      <c r="AC108" t="s">
        <v>36</v>
      </c>
    </row>
    <row r="109" spans="1:29" x14ac:dyDescent="0.25">
      <c r="A109">
        <v>114</v>
      </c>
      <c r="B109">
        <v>18198</v>
      </c>
      <c r="C109">
        <v>5604</v>
      </c>
      <c r="D109">
        <v>23802</v>
      </c>
      <c r="E109" t="s">
        <v>46</v>
      </c>
      <c r="F109">
        <v>40</v>
      </c>
      <c r="G109" t="s">
        <v>65</v>
      </c>
      <c r="H109" t="s">
        <v>30</v>
      </c>
      <c r="I109">
        <v>2</v>
      </c>
      <c r="J109" t="s">
        <v>62</v>
      </c>
      <c r="K109">
        <v>634</v>
      </c>
      <c r="L109" t="s">
        <v>55</v>
      </c>
      <c r="M109">
        <v>1</v>
      </c>
      <c r="N109" t="s">
        <v>44</v>
      </c>
      <c r="O109">
        <v>0.6</v>
      </c>
      <c r="P109" t="s">
        <v>56</v>
      </c>
      <c r="Q109">
        <v>4019</v>
      </c>
      <c r="R109">
        <v>48384</v>
      </c>
      <c r="S109" t="s">
        <v>44</v>
      </c>
      <c r="T109">
        <v>31204</v>
      </c>
      <c r="U109" t="s">
        <v>64</v>
      </c>
      <c r="V109">
        <v>48</v>
      </c>
      <c r="W109">
        <v>4</v>
      </c>
      <c r="X109" t="s">
        <v>50</v>
      </c>
      <c r="Y109" t="s">
        <v>38</v>
      </c>
      <c r="Z109" t="s">
        <v>39</v>
      </c>
      <c r="AA109" t="s">
        <v>34</v>
      </c>
      <c r="AB109" t="s">
        <v>35</v>
      </c>
      <c r="AC109" t="s">
        <v>36</v>
      </c>
    </row>
    <row r="110" spans="1:29" x14ac:dyDescent="0.25">
      <c r="A110">
        <v>115</v>
      </c>
      <c r="B110">
        <v>11914</v>
      </c>
      <c r="C110">
        <v>2421</v>
      </c>
      <c r="D110">
        <v>14335</v>
      </c>
      <c r="E110" t="s">
        <v>29</v>
      </c>
      <c r="F110">
        <v>47</v>
      </c>
      <c r="G110" t="s">
        <v>53</v>
      </c>
      <c r="H110" t="s">
        <v>30</v>
      </c>
      <c r="I110">
        <v>0</v>
      </c>
      <c r="J110" t="s">
        <v>54</v>
      </c>
      <c r="K110">
        <v>789</v>
      </c>
      <c r="L110" t="s">
        <v>71</v>
      </c>
      <c r="M110">
        <v>0</v>
      </c>
      <c r="N110" t="s">
        <v>36</v>
      </c>
      <c r="O110">
        <v>0.11</v>
      </c>
      <c r="P110" t="s">
        <v>59</v>
      </c>
      <c r="Q110">
        <v>12419</v>
      </c>
      <c r="R110">
        <v>0</v>
      </c>
      <c r="S110" t="s">
        <v>36</v>
      </c>
      <c r="T110">
        <v>0</v>
      </c>
      <c r="U110" t="s">
        <v>73</v>
      </c>
      <c r="V110">
        <v>12</v>
      </c>
      <c r="W110">
        <v>1</v>
      </c>
      <c r="X110" t="s">
        <v>37</v>
      </c>
      <c r="Y110" t="s">
        <v>45</v>
      </c>
      <c r="Z110" t="s">
        <v>39</v>
      </c>
      <c r="AA110" t="s">
        <v>40</v>
      </c>
      <c r="AB110" t="s">
        <v>35</v>
      </c>
      <c r="AC110" t="s">
        <v>44</v>
      </c>
    </row>
    <row r="111" spans="1:29" x14ac:dyDescent="0.25">
      <c r="A111">
        <v>116</v>
      </c>
      <c r="B111">
        <v>12817</v>
      </c>
      <c r="C111">
        <v>7119</v>
      </c>
      <c r="D111">
        <v>19936</v>
      </c>
      <c r="E111" t="s">
        <v>48</v>
      </c>
      <c r="F111">
        <v>38</v>
      </c>
      <c r="G111" t="s">
        <v>65</v>
      </c>
      <c r="H111" t="s">
        <v>30</v>
      </c>
      <c r="I111">
        <v>0</v>
      </c>
      <c r="J111" t="s">
        <v>54</v>
      </c>
      <c r="K111">
        <v>786</v>
      </c>
      <c r="L111" t="s">
        <v>71</v>
      </c>
      <c r="M111">
        <v>3</v>
      </c>
      <c r="N111" t="s">
        <v>44</v>
      </c>
      <c r="O111">
        <v>0.52</v>
      </c>
      <c r="P111" t="s">
        <v>56</v>
      </c>
      <c r="Q111">
        <v>929</v>
      </c>
      <c r="R111">
        <v>17045</v>
      </c>
      <c r="S111" t="s">
        <v>44</v>
      </c>
      <c r="T111">
        <v>15235</v>
      </c>
      <c r="U111" t="s">
        <v>57</v>
      </c>
      <c r="V111">
        <v>48</v>
      </c>
      <c r="W111">
        <v>4</v>
      </c>
      <c r="X111" t="s">
        <v>42</v>
      </c>
      <c r="Y111" t="s">
        <v>32</v>
      </c>
      <c r="Z111" t="s">
        <v>39</v>
      </c>
      <c r="AA111" t="s">
        <v>40</v>
      </c>
      <c r="AB111" t="s">
        <v>51</v>
      </c>
      <c r="AC111" t="s">
        <v>36</v>
      </c>
    </row>
    <row r="112" spans="1:29" x14ac:dyDescent="0.25">
      <c r="A112">
        <v>117</v>
      </c>
      <c r="B112">
        <v>12921</v>
      </c>
      <c r="C112">
        <v>8901</v>
      </c>
      <c r="D112">
        <v>21822</v>
      </c>
      <c r="E112" t="s">
        <v>29</v>
      </c>
      <c r="F112">
        <v>24</v>
      </c>
      <c r="G112" t="s">
        <v>72</v>
      </c>
      <c r="H112" t="s">
        <v>30</v>
      </c>
      <c r="I112">
        <v>2</v>
      </c>
      <c r="J112" t="s">
        <v>62</v>
      </c>
      <c r="K112">
        <v>786</v>
      </c>
      <c r="L112" t="s">
        <v>71</v>
      </c>
      <c r="M112">
        <v>3</v>
      </c>
      <c r="N112" t="s">
        <v>44</v>
      </c>
      <c r="O112">
        <v>0.28000000000000003</v>
      </c>
      <c r="P112" t="s">
        <v>59</v>
      </c>
      <c r="Q112">
        <v>19396</v>
      </c>
      <c r="R112">
        <v>0</v>
      </c>
      <c r="S112" t="s">
        <v>36</v>
      </c>
      <c r="T112">
        <v>3366</v>
      </c>
      <c r="U112" t="s">
        <v>73</v>
      </c>
      <c r="V112">
        <v>12</v>
      </c>
      <c r="W112">
        <v>1</v>
      </c>
      <c r="X112" t="s">
        <v>50</v>
      </c>
      <c r="Y112" t="s">
        <v>32</v>
      </c>
      <c r="Z112" t="s">
        <v>39</v>
      </c>
      <c r="AA112" t="s">
        <v>34</v>
      </c>
      <c r="AB112" t="s">
        <v>43</v>
      </c>
      <c r="AC112" t="s">
        <v>44</v>
      </c>
    </row>
    <row r="113" spans="1:29" x14ac:dyDescent="0.25">
      <c r="A113">
        <v>118</v>
      </c>
      <c r="B113">
        <v>11789</v>
      </c>
      <c r="C113">
        <v>5319</v>
      </c>
      <c r="D113">
        <v>17108</v>
      </c>
      <c r="E113" t="s">
        <v>29</v>
      </c>
      <c r="F113">
        <v>21</v>
      </c>
      <c r="G113" t="s">
        <v>72</v>
      </c>
      <c r="H113" t="s">
        <v>41</v>
      </c>
      <c r="I113">
        <v>3</v>
      </c>
      <c r="J113" t="s">
        <v>58</v>
      </c>
      <c r="K113">
        <v>790</v>
      </c>
      <c r="L113" t="s">
        <v>71</v>
      </c>
      <c r="M113">
        <v>1</v>
      </c>
      <c r="N113" t="s">
        <v>44</v>
      </c>
      <c r="O113">
        <v>0.52</v>
      </c>
      <c r="P113" t="s">
        <v>56</v>
      </c>
      <c r="Q113">
        <v>6264</v>
      </c>
      <c r="R113">
        <v>22770</v>
      </c>
      <c r="S113" t="s">
        <v>44</v>
      </c>
      <c r="T113">
        <v>28467</v>
      </c>
      <c r="U113" t="s">
        <v>64</v>
      </c>
      <c r="V113">
        <v>60</v>
      </c>
      <c r="W113">
        <v>5</v>
      </c>
      <c r="X113" t="s">
        <v>37</v>
      </c>
      <c r="Y113" t="s">
        <v>32</v>
      </c>
      <c r="Z113" t="s">
        <v>39</v>
      </c>
      <c r="AA113" t="s">
        <v>40</v>
      </c>
      <c r="AB113" t="s">
        <v>35</v>
      </c>
      <c r="AC113" t="s">
        <v>36</v>
      </c>
    </row>
    <row r="114" spans="1:29" x14ac:dyDescent="0.25">
      <c r="A114">
        <v>119</v>
      </c>
      <c r="B114">
        <v>18312</v>
      </c>
      <c r="C114">
        <v>6609</v>
      </c>
      <c r="D114">
        <v>24921</v>
      </c>
      <c r="E114" t="s">
        <v>29</v>
      </c>
      <c r="F114">
        <v>21</v>
      </c>
      <c r="G114" t="s">
        <v>72</v>
      </c>
      <c r="H114" t="s">
        <v>41</v>
      </c>
      <c r="I114">
        <v>0</v>
      </c>
      <c r="J114" t="s">
        <v>54</v>
      </c>
      <c r="K114">
        <v>768</v>
      </c>
      <c r="L114" t="s">
        <v>71</v>
      </c>
      <c r="M114">
        <v>4</v>
      </c>
      <c r="N114" t="s">
        <v>44</v>
      </c>
      <c r="O114">
        <v>0.38</v>
      </c>
      <c r="P114" t="s">
        <v>67</v>
      </c>
      <c r="Q114">
        <v>7973</v>
      </c>
      <c r="R114">
        <v>42770</v>
      </c>
      <c r="S114" t="s">
        <v>44</v>
      </c>
      <c r="T114">
        <v>7764</v>
      </c>
      <c r="U114" t="s">
        <v>57</v>
      </c>
      <c r="V114">
        <v>84</v>
      </c>
      <c r="W114">
        <v>7</v>
      </c>
      <c r="X114" t="s">
        <v>47</v>
      </c>
      <c r="Y114" t="s">
        <v>45</v>
      </c>
      <c r="Z114" t="s">
        <v>39</v>
      </c>
      <c r="AA114" t="s">
        <v>40</v>
      </c>
      <c r="AB114" t="s">
        <v>51</v>
      </c>
      <c r="AC114" t="s">
        <v>44</v>
      </c>
    </row>
    <row r="115" spans="1:29" x14ac:dyDescent="0.25">
      <c r="A115">
        <v>120</v>
      </c>
      <c r="B115">
        <v>13252</v>
      </c>
      <c r="C115">
        <v>5387</v>
      </c>
      <c r="D115">
        <v>18639</v>
      </c>
      <c r="E115" t="s">
        <v>29</v>
      </c>
      <c r="F115">
        <v>46</v>
      </c>
      <c r="G115" t="s">
        <v>53</v>
      </c>
      <c r="H115" t="s">
        <v>30</v>
      </c>
      <c r="I115">
        <v>3</v>
      </c>
      <c r="J115" t="s">
        <v>58</v>
      </c>
      <c r="K115">
        <v>780</v>
      </c>
      <c r="L115" t="s">
        <v>71</v>
      </c>
      <c r="M115">
        <v>3</v>
      </c>
      <c r="N115" t="s">
        <v>44</v>
      </c>
      <c r="O115">
        <v>0.55000000000000004</v>
      </c>
      <c r="P115" t="s">
        <v>56</v>
      </c>
      <c r="Q115">
        <v>9697</v>
      </c>
      <c r="R115">
        <v>7887</v>
      </c>
      <c r="S115" t="s">
        <v>44</v>
      </c>
      <c r="T115">
        <v>0</v>
      </c>
      <c r="U115" t="s">
        <v>73</v>
      </c>
      <c r="V115">
        <v>36</v>
      </c>
      <c r="W115">
        <v>3</v>
      </c>
      <c r="X115" t="s">
        <v>42</v>
      </c>
      <c r="Y115" t="s">
        <v>45</v>
      </c>
      <c r="Z115" t="s">
        <v>39</v>
      </c>
      <c r="AA115" t="s">
        <v>34</v>
      </c>
      <c r="AB115" t="s">
        <v>51</v>
      </c>
      <c r="AC115" t="s">
        <v>36</v>
      </c>
    </row>
    <row r="116" spans="1:29" x14ac:dyDescent="0.25">
      <c r="A116">
        <v>121</v>
      </c>
      <c r="B116">
        <v>4693</v>
      </c>
      <c r="C116">
        <v>3993</v>
      </c>
      <c r="D116">
        <v>8686</v>
      </c>
      <c r="E116" t="s">
        <v>49</v>
      </c>
      <c r="F116">
        <v>40</v>
      </c>
      <c r="G116" t="s">
        <v>65</v>
      </c>
      <c r="H116" t="s">
        <v>30</v>
      </c>
      <c r="I116">
        <v>3</v>
      </c>
      <c r="J116" t="s">
        <v>58</v>
      </c>
      <c r="K116">
        <v>550</v>
      </c>
      <c r="L116" t="s">
        <v>66</v>
      </c>
      <c r="M116">
        <v>3</v>
      </c>
      <c r="N116" t="s">
        <v>44</v>
      </c>
      <c r="O116">
        <v>0.56000000000000005</v>
      </c>
      <c r="P116" t="s">
        <v>56</v>
      </c>
      <c r="Q116">
        <v>11136</v>
      </c>
      <c r="R116">
        <v>33182</v>
      </c>
      <c r="S116" t="s">
        <v>44</v>
      </c>
      <c r="T116">
        <v>32923</v>
      </c>
      <c r="U116" t="s">
        <v>64</v>
      </c>
      <c r="V116">
        <v>48</v>
      </c>
      <c r="W116">
        <v>4</v>
      </c>
      <c r="X116" t="s">
        <v>31</v>
      </c>
      <c r="Y116" t="s">
        <v>32</v>
      </c>
      <c r="Z116" t="s">
        <v>39</v>
      </c>
      <c r="AA116" t="s">
        <v>34</v>
      </c>
      <c r="AB116" t="s">
        <v>43</v>
      </c>
      <c r="AC116" t="s">
        <v>36</v>
      </c>
    </row>
    <row r="117" spans="1:29" x14ac:dyDescent="0.25">
      <c r="A117">
        <v>123</v>
      </c>
      <c r="B117">
        <v>5627</v>
      </c>
      <c r="C117">
        <v>8044</v>
      </c>
      <c r="D117">
        <v>13671</v>
      </c>
      <c r="E117" t="s">
        <v>46</v>
      </c>
      <c r="F117">
        <v>30</v>
      </c>
      <c r="G117" t="s">
        <v>61</v>
      </c>
      <c r="H117" t="s">
        <v>30</v>
      </c>
      <c r="I117">
        <v>3</v>
      </c>
      <c r="J117" t="s">
        <v>58</v>
      </c>
      <c r="K117">
        <v>700</v>
      </c>
      <c r="L117" t="s">
        <v>63</v>
      </c>
      <c r="M117">
        <v>0</v>
      </c>
      <c r="N117" t="s">
        <v>36</v>
      </c>
      <c r="O117">
        <v>0.14000000000000001</v>
      </c>
      <c r="P117" t="s">
        <v>59</v>
      </c>
      <c r="Q117">
        <v>1184</v>
      </c>
      <c r="R117">
        <v>39618</v>
      </c>
      <c r="S117" t="s">
        <v>44</v>
      </c>
      <c r="T117">
        <v>17292</v>
      </c>
      <c r="U117" t="s">
        <v>57</v>
      </c>
      <c r="V117">
        <v>72</v>
      </c>
      <c r="W117">
        <v>6</v>
      </c>
      <c r="X117" t="s">
        <v>47</v>
      </c>
      <c r="Y117" t="s">
        <v>45</v>
      </c>
      <c r="Z117" t="s">
        <v>39</v>
      </c>
      <c r="AA117" t="s">
        <v>40</v>
      </c>
      <c r="AB117" t="s">
        <v>35</v>
      </c>
      <c r="AC117" t="s">
        <v>36</v>
      </c>
    </row>
    <row r="118" spans="1:29" x14ac:dyDescent="0.25">
      <c r="A118">
        <v>124</v>
      </c>
      <c r="B118">
        <v>18157</v>
      </c>
      <c r="C118">
        <v>8238</v>
      </c>
      <c r="D118">
        <v>26395</v>
      </c>
      <c r="E118" t="s">
        <v>29</v>
      </c>
      <c r="F118">
        <v>31</v>
      </c>
      <c r="G118" t="s">
        <v>61</v>
      </c>
      <c r="H118" t="s">
        <v>30</v>
      </c>
      <c r="I118">
        <v>2</v>
      </c>
      <c r="J118" t="s">
        <v>62</v>
      </c>
      <c r="K118">
        <v>672</v>
      </c>
      <c r="L118" t="s">
        <v>63</v>
      </c>
      <c r="M118">
        <v>3</v>
      </c>
      <c r="N118" t="s">
        <v>44</v>
      </c>
      <c r="O118">
        <v>0.23</v>
      </c>
      <c r="P118" t="s">
        <v>59</v>
      </c>
      <c r="Q118">
        <v>16911</v>
      </c>
      <c r="R118">
        <v>24918</v>
      </c>
      <c r="S118" t="s">
        <v>44</v>
      </c>
      <c r="T118">
        <v>2614</v>
      </c>
      <c r="U118" t="s">
        <v>73</v>
      </c>
      <c r="V118">
        <v>12</v>
      </c>
      <c r="W118">
        <v>1</v>
      </c>
      <c r="X118" t="s">
        <v>42</v>
      </c>
      <c r="Y118" t="s">
        <v>32</v>
      </c>
      <c r="Z118" t="s">
        <v>39</v>
      </c>
      <c r="AA118" t="s">
        <v>40</v>
      </c>
      <c r="AB118" t="s">
        <v>51</v>
      </c>
      <c r="AC118" t="s">
        <v>44</v>
      </c>
    </row>
    <row r="119" spans="1:29" x14ac:dyDescent="0.25">
      <c r="A119">
        <v>125</v>
      </c>
      <c r="B119">
        <v>12173</v>
      </c>
      <c r="C119">
        <v>4873</v>
      </c>
      <c r="D119">
        <v>17046</v>
      </c>
      <c r="E119" t="s">
        <v>52</v>
      </c>
      <c r="F119">
        <v>25</v>
      </c>
      <c r="G119" t="s">
        <v>61</v>
      </c>
      <c r="H119" t="s">
        <v>30</v>
      </c>
      <c r="I119">
        <v>1</v>
      </c>
      <c r="J119" t="s">
        <v>68</v>
      </c>
      <c r="K119">
        <v>550</v>
      </c>
      <c r="L119" t="s">
        <v>66</v>
      </c>
      <c r="M119">
        <v>2</v>
      </c>
      <c r="N119" t="s">
        <v>44</v>
      </c>
      <c r="O119">
        <v>0.43</v>
      </c>
      <c r="P119" t="s">
        <v>70</v>
      </c>
      <c r="Q119">
        <v>916</v>
      </c>
      <c r="R119">
        <v>35497</v>
      </c>
      <c r="S119" t="s">
        <v>44</v>
      </c>
      <c r="T119">
        <v>21939</v>
      </c>
      <c r="U119" t="s">
        <v>64</v>
      </c>
      <c r="V119">
        <v>72</v>
      </c>
      <c r="W119">
        <v>6</v>
      </c>
      <c r="X119" t="s">
        <v>42</v>
      </c>
      <c r="Y119" t="s">
        <v>32</v>
      </c>
      <c r="Z119" t="s">
        <v>39</v>
      </c>
      <c r="AA119" t="s">
        <v>40</v>
      </c>
      <c r="AB119" t="s">
        <v>35</v>
      </c>
      <c r="AC119" t="s">
        <v>36</v>
      </c>
    </row>
    <row r="120" spans="1:29" x14ac:dyDescent="0.25">
      <c r="A120">
        <v>126</v>
      </c>
      <c r="B120">
        <v>12230</v>
      </c>
      <c r="C120">
        <v>4806</v>
      </c>
      <c r="D120">
        <v>17036</v>
      </c>
      <c r="E120" t="s">
        <v>29</v>
      </c>
      <c r="F120">
        <v>21</v>
      </c>
      <c r="G120" t="s">
        <v>72</v>
      </c>
      <c r="H120" t="s">
        <v>30</v>
      </c>
      <c r="I120">
        <v>2</v>
      </c>
      <c r="J120" t="s">
        <v>62</v>
      </c>
      <c r="K120">
        <v>771</v>
      </c>
      <c r="L120" t="s">
        <v>71</v>
      </c>
      <c r="M120">
        <v>3</v>
      </c>
      <c r="N120" t="s">
        <v>44</v>
      </c>
      <c r="O120">
        <v>0.54</v>
      </c>
      <c r="P120" t="s">
        <v>56</v>
      </c>
      <c r="Q120">
        <v>3574</v>
      </c>
      <c r="R120">
        <v>28026</v>
      </c>
      <c r="S120" t="s">
        <v>44</v>
      </c>
      <c r="T120">
        <v>0</v>
      </c>
      <c r="U120" t="s">
        <v>73</v>
      </c>
      <c r="V120">
        <v>48</v>
      </c>
      <c r="W120">
        <v>4</v>
      </c>
      <c r="X120" t="s">
        <v>42</v>
      </c>
      <c r="Y120" t="s">
        <v>32</v>
      </c>
      <c r="Z120" t="s">
        <v>33</v>
      </c>
      <c r="AA120" t="s">
        <v>40</v>
      </c>
      <c r="AB120" t="s">
        <v>35</v>
      </c>
      <c r="AC120" t="s">
        <v>36</v>
      </c>
    </row>
    <row r="121" spans="1:29" x14ac:dyDescent="0.25">
      <c r="A121">
        <v>127</v>
      </c>
      <c r="B121">
        <v>17707</v>
      </c>
      <c r="C121">
        <v>8592</v>
      </c>
      <c r="D121">
        <v>26299</v>
      </c>
      <c r="E121" t="s">
        <v>46</v>
      </c>
      <c r="F121">
        <v>40</v>
      </c>
      <c r="G121" t="s">
        <v>65</v>
      </c>
      <c r="H121" t="s">
        <v>30</v>
      </c>
      <c r="I121">
        <v>3</v>
      </c>
      <c r="J121" t="s">
        <v>58</v>
      </c>
      <c r="K121">
        <v>738</v>
      </c>
      <c r="L121" t="s">
        <v>63</v>
      </c>
      <c r="M121">
        <v>0</v>
      </c>
      <c r="N121" t="s">
        <v>36</v>
      </c>
      <c r="O121">
        <v>0.33</v>
      </c>
      <c r="P121" t="s">
        <v>67</v>
      </c>
      <c r="Q121">
        <v>3319</v>
      </c>
      <c r="R121">
        <v>11929</v>
      </c>
      <c r="S121" t="s">
        <v>44</v>
      </c>
      <c r="T121">
        <v>24246</v>
      </c>
      <c r="U121" t="s">
        <v>64</v>
      </c>
      <c r="V121">
        <v>24</v>
      </c>
      <c r="W121">
        <v>2</v>
      </c>
      <c r="X121" t="s">
        <v>42</v>
      </c>
      <c r="Y121" t="s">
        <v>32</v>
      </c>
      <c r="Z121" t="s">
        <v>39</v>
      </c>
      <c r="AA121" t="s">
        <v>40</v>
      </c>
      <c r="AB121" t="s">
        <v>43</v>
      </c>
      <c r="AC121" t="s">
        <v>44</v>
      </c>
    </row>
    <row r="122" spans="1:29" x14ac:dyDescent="0.25">
      <c r="A122">
        <v>128</v>
      </c>
      <c r="B122">
        <v>13494</v>
      </c>
      <c r="C122">
        <v>5913</v>
      </c>
      <c r="D122">
        <v>19407</v>
      </c>
      <c r="E122" t="s">
        <v>49</v>
      </c>
      <c r="F122">
        <v>42</v>
      </c>
      <c r="G122" t="s">
        <v>65</v>
      </c>
      <c r="H122" t="s">
        <v>41</v>
      </c>
      <c r="I122">
        <v>1</v>
      </c>
      <c r="J122" t="s">
        <v>68</v>
      </c>
      <c r="K122">
        <v>617</v>
      </c>
      <c r="L122" t="s">
        <v>55</v>
      </c>
      <c r="M122">
        <v>0</v>
      </c>
      <c r="N122" t="s">
        <v>36</v>
      </c>
      <c r="O122">
        <v>0.4</v>
      </c>
      <c r="P122" t="s">
        <v>67</v>
      </c>
      <c r="Q122">
        <v>17790</v>
      </c>
      <c r="R122">
        <v>47756</v>
      </c>
      <c r="S122" t="s">
        <v>44</v>
      </c>
      <c r="T122">
        <v>32688</v>
      </c>
      <c r="U122" t="s">
        <v>64</v>
      </c>
      <c r="V122">
        <v>72</v>
      </c>
      <c r="W122">
        <v>6</v>
      </c>
      <c r="X122" t="s">
        <v>31</v>
      </c>
      <c r="Y122" t="s">
        <v>38</v>
      </c>
      <c r="Z122" t="s">
        <v>39</v>
      </c>
      <c r="AA122" t="s">
        <v>34</v>
      </c>
      <c r="AB122" t="s">
        <v>42</v>
      </c>
      <c r="AC122" t="s">
        <v>36</v>
      </c>
    </row>
    <row r="123" spans="1:29" x14ac:dyDescent="0.25">
      <c r="A123">
        <v>129</v>
      </c>
      <c r="B123">
        <v>3306</v>
      </c>
      <c r="C123">
        <v>7124</v>
      </c>
      <c r="D123">
        <v>10430</v>
      </c>
      <c r="E123" t="s">
        <v>29</v>
      </c>
      <c r="F123">
        <v>54</v>
      </c>
      <c r="G123" t="s">
        <v>53</v>
      </c>
      <c r="H123" t="s">
        <v>30</v>
      </c>
      <c r="I123">
        <v>2</v>
      </c>
      <c r="J123" t="s">
        <v>62</v>
      </c>
      <c r="K123">
        <v>653</v>
      </c>
      <c r="L123" t="s">
        <v>55</v>
      </c>
      <c r="M123">
        <v>1</v>
      </c>
      <c r="N123" t="s">
        <v>44</v>
      </c>
      <c r="O123">
        <v>0.19</v>
      </c>
      <c r="P123" t="s">
        <v>59</v>
      </c>
      <c r="Q123">
        <v>17625</v>
      </c>
      <c r="R123">
        <v>36665</v>
      </c>
      <c r="S123" t="s">
        <v>44</v>
      </c>
      <c r="T123">
        <v>28962</v>
      </c>
      <c r="U123" t="s">
        <v>64</v>
      </c>
      <c r="V123">
        <v>12</v>
      </c>
      <c r="W123">
        <v>1</v>
      </c>
      <c r="X123" t="s">
        <v>42</v>
      </c>
      <c r="Y123" t="s">
        <v>32</v>
      </c>
      <c r="Z123" t="s">
        <v>39</v>
      </c>
      <c r="AA123" t="s">
        <v>40</v>
      </c>
      <c r="AB123" t="s">
        <v>35</v>
      </c>
      <c r="AC123" t="s">
        <v>36</v>
      </c>
    </row>
    <row r="124" spans="1:29" x14ac:dyDescent="0.25">
      <c r="A124">
        <v>130</v>
      </c>
      <c r="B124">
        <v>8776</v>
      </c>
      <c r="C124">
        <v>3157</v>
      </c>
      <c r="D124">
        <v>11933</v>
      </c>
      <c r="E124" t="s">
        <v>29</v>
      </c>
      <c r="F124">
        <v>49</v>
      </c>
      <c r="G124" t="s">
        <v>53</v>
      </c>
      <c r="H124" t="s">
        <v>30</v>
      </c>
      <c r="I124">
        <v>3</v>
      </c>
      <c r="J124" t="s">
        <v>58</v>
      </c>
      <c r="K124">
        <v>629</v>
      </c>
      <c r="L124" t="s">
        <v>55</v>
      </c>
      <c r="M124">
        <v>2</v>
      </c>
      <c r="N124" t="s">
        <v>44</v>
      </c>
      <c r="O124">
        <v>0.5</v>
      </c>
      <c r="P124" t="s">
        <v>70</v>
      </c>
      <c r="Q124">
        <v>5206</v>
      </c>
      <c r="R124">
        <v>34937</v>
      </c>
      <c r="S124" t="s">
        <v>44</v>
      </c>
      <c r="T124">
        <v>30764</v>
      </c>
      <c r="U124" t="s">
        <v>64</v>
      </c>
      <c r="V124">
        <v>48</v>
      </c>
      <c r="W124">
        <v>4</v>
      </c>
      <c r="X124" t="s">
        <v>42</v>
      </c>
      <c r="Y124" t="s">
        <v>32</v>
      </c>
      <c r="Z124" t="s">
        <v>39</v>
      </c>
      <c r="AA124" t="s">
        <v>40</v>
      </c>
      <c r="AB124" t="s">
        <v>43</v>
      </c>
      <c r="AC124" t="s">
        <v>36</v>
      </c>
    </row>
    <row r="125" spans="1:29" x14ac:dyDescent="0.25">
      <c r="A125">
        <v>131</v>
      </c>
      <c r="B125">
        <v>11474</v>
      </c>
      <c r="C125">
        <v>390</v>
      </c>
      <c r="D125">
        <v>11864</v>
      </c>
      <c r="E125" t="s">
        <v>46</v>
      </c>
      <c r="F125">
        <v>24</v>
      </c>
      <c r="G125" t="s">
        <v>72</v>
      </c>
      <c r="H125" t="s">
        <v>30</v>
      </c>
      <c r="I125">
        <v>0</v>
      </c>
      <c r="J125" t="s">
        <v>54</v>
      </c>
      <c r="K125">
        <v>708</v>
      </c>
      <c r="L125" t="s">
        <v>63</v>
      </c>
      <c r="M125">
        <v>0</v>
      </c>
      <c r="N125" t="s">
        <v>36</v>
      </c>
      <c r="O125">
        <v>0.57999999999999996</v>
      </c>
      <c r="P125" t="s">
        <v>56</v>
      </c>
      <c r="Q125">
        <v>19517</v>
      </c>
      <c r="R125">
        <v>13563</v>
      </c>
      <c r="S125" t="s">
        <v>44</v>
      </c>
      <c r="T125">
        <v>33470</v>
      </c>
      <c r="U125" t="s">
        <v>64</v>
      </c>
      <c r="V125">
        <v>12</v>
      </c>
      <c r="W125">
        <v>1</v>
      </c>
      <c r="X125" t="s">
        <v>37</v>
      </c>
      <c r="Y125" t="s">
        <v>45</v>
      </c>
      <c r="Z125" t="s">
        <v>33</v>
      </c>
      <c r="AA125" t="s">
        <v>40</v>
      </c>
      <c r="AB125" t="s">
        <v>43</v>
      </c>
      <c r="AC125" t="s">
        <v>36</v>
      </c>
    </row>
    <row r="126" spans="1:29" x14ac:dyDescent="0.25">
      <c r="A126">
        <v>132</v>
      </c>
      <c r="B126">
        <v>9526</v>
      </c>
      <c r="C126">
        <v>0</v>
      </c>
      <c r="D126">
        <v>9526</v>
      </c>
      <c r="E126" t="s">
        <v>49</v>
      </c>
      <c r="F126">
        <v>25</v>
      </c>
      <c r="G126" t="s">
        <v>61</v>
      </c>
      <c r="H126" t="s">
        <v>30</v>
      </c>
      <c r="I126">
        <v>0</v>
      </c>
      <c r="J126" t="s">
        <v>54</v>
      </c>
      <c r="K126">
        <v>602</v>
      </c>
      <c r="L126" t="s">
        <v>55</v>
      </c>
      <c r="M126">
        <v>4</v>
      </c>
      <c r="N126" t="s">
        <v>44</v>
      </c>
      <c r="O126">
        <v>0.23</v>
      </c>
      <c r="P126" t="s">
        <v>59</v>
      </c>
      <c r="Q126">
        <v>17182</v>
      </c>
      <c r="R126">
        <v>28546</v>
      </c>
      <c r="S126" t="s">
        <v>44</v>
      </c>
      <c r="T126">
        <v>39501</v>
      </c>
      <c r="U126" t="s">
        <v>60</v>
      </c>
      <c r="V126">
        <v>24</v>
      </c>
      <c r="W126">
        <v>2</v>
      </c>
      <c r="X126" t="s">
        <v>42</v>
      </c>
      <c r="Y126" t="s">
        <v>38</v>
      </c>
      <c r="Z126" t="s">
        <v>39</v>
      </c>
      <c r="AA126" t="s">
        <v>40</v>
      </c>
      <c r="AB126" t="s">
        <v>51</v>
      </c>
      <c r="AC126" t="s">
        <v>36</v>
      </c>
    </row>
    <row r="127" spans="1:29" x14ac:dyDescent="0.25">
      <c r="A127">
        <v>133</v>
      </c>
      <c r="B127">
        <v>7530</v>
      </c>
      <c r="C127">
        <v>8820</v>
      </c>
      <c r="D127">
        <v>16350</v>
      </c>
      <c r="E127" t="s">
        <v>49</v>
      </c>
      <c r="F127">
        <v>31</v>
      </c>
      <c r="G127" t="s">
        <v>61</v>
      </c>
      <c r="H127" t="s">
        <v>41</v>
      </c>
      <c r="I127">
        <v>2</v>
      </c>
      <c r="J127" t="s">
        <v>62</v>
      </c>
      <c r="K127">
        <v>550</v>
      </c>
      <c r="L127" t="s">
        <v>66</v>
      </c>
      <c r="M127">
        <v>2</v>
      </c>
      <c r="N127" t="s">
        <v>44</v>
      </c>
      <c r="O127">
        <v>0.35</v>
      </c>
      <c r="P127" t="s">
        <v>67</v>
      </c>
      <c r="Q127">
        <v>17907</v>
      </c>
      <c r="R127">
        <v>12888</v>
      </c>
      <c r="S127" t="s">
        <v>44</v>
      </c>
      <c r="T127">
        <v>0</v>
      </c>
      <c r="U127" t="s">
        <v>73</v>
      </c>
      <c r="V127">
        <v>36</v>
      </c>
      <c r="W127">
        <v>3</v>
      </c>
      <c r="X127" t="s">
        <v>50</v>
      </c>
      <c r="Y127" t="s">
        <v>38</v>
      </c>
      <c r="Z127" t="s">
        <v>39</v>
      </c>
      <c r="AA127" t="s">
        <v>34</v>
      </c>
      <c r="AB127" t="s">
        <v>43</v>
      </c>
      <c r="AC127" t="s">
        <v>44</v>
      </c>
    </row>
    <row r="128" spans="1:29" x14ac:dyDescent="0.25">
      <c r="A128">
        <v>134</v>
      </c>
      <c r="B128">
        <v>5748</v>
      </c>
      <c r="C128">
        <v>7686</v>
      </c>
      <c r="D128">
        <v>13434</v>
      </c>
      <c r="E128" t="s">
        <v>49</v>
      </c>
      <c r="F128">
        <v>41</v>
      </c>
      <c r="G128" t="s">
        <v>65</v>
      </c>
      <c r="H128" t="s">
        <v>41</v>
      </c>
      <c r="I128">
        <v>2</v>
      </c>
      <c r="J128" t="s">
        <v>62</v>
      </c>
      <c r="K128">
        <v>702</v>
      </c>
      <c r="L128" t="s">
        <v>63</v>
      </c>
      <c r="M128">
        <v>2</v>
      </c>
      <c r="N128" t="s">
        <v>44</v>
      </c>
      <c r="O128">
        <v>0.14000000000000001</v>
      </c>
      <c r="P128" t="s">
        <v>59</v>
      </c>
      <c r="Q128">
        <v>4928</v>
      </c>
      <c r="R128">
        <v>37338</v>
      </c>
      <c r="S128" t="s">
        <v>44</v>
      </c>
      <c r="T128">
        <v>23072</v>
      </c>
      <c r="U128" t="s">
        <v>64</v>
      </c>
      <c r="V128">
        <v>48</v>
      </c>
      <c r="W128">
        <v>4</v>
      </c>
      <c r="X128" t="s">
        <v>50</v>
      </c>
      <c r="Y128" t="s">
        <v>45</v>
      </c>
      <c r="Z128" t="s">
        <v>39</v>
      </c>
      <c r="AA128" t="s">
        <v>40</v>
      </c>
      <c r="AB128" t="s">
        <v>43</v>
      </c>
      <c r="AC128" t="s">
        <v>44</v>
      </c>
    </row>
    <row r="129" spans="1:29" x14ac:dyDescent="0.25">
      <c r="A129">
        <v>136</v>
      </c>
      <c r="B129">
        <v>2663</v>
      </c>
      <c r="C129">
        <v>8007</v>
      </c>
      <c r="D129">
        <v>10670</v>
      </c>
      <c r="E129" t="s">
        <v>29</v>
      </c>
      <c r="F129">
        <v>32</v>
      </c>
      <c r="G129" t="s">
        <v>61</v>
      </c>
      <c r="H129" t="s">
        <v>30</v>
      </c>
      <c r="I129">
        <v>3</v>
      </c>
      <c r="J129" t="s">
        <v>58</v>
      </c>
      <c r="K129">
        <v>689</v>
      </c>
      <c r="L129" t="s">
        <v>63</v>
      </c>
      <c r="M129">
        <v>3</v>
      </c>
      <c r="N129" t="s">
        <v>44</v>
      </c>
      <c r="O129">
        <v>0.35</v>
      </c>
      <c r="P129" t="s">
        <v>67</v>
      </c>
      <c r="Q129">
        <v>2888</v>
      </c>
      <c r="R129">
        <v>16958</v>
      </c>
      <c r="S129" t="s">
        <v>44</v>
      </c>
      <c r="T129">
        <v>38132</v>
      </c>
      <c r="U129" t="s">
        <v>60</v>
      </c>
      <c r="V129">
        <v>24</v>
      </c>
      <c r="W129">
        <v>2</v>
      </c>
      <c r="X129" t="s">
        <v>42</v>
      </c>
      <c r="Y129" t="s">
        <v>38</v>
      </c>
      <c r="Z129" t="s">
        <v>39</v>
      </c>
      <c r="AA129" t="s">
        <v>34</v>
      </c>
      <c r="AB129" t="s">
        <v>35</v>
      </c>
      <c r="AC129" t="s">
        <v>36</v>
      </c>
    </row>
    <row r="130" spans="1:29" x14ac:dyDescent="0.25">
      <c r="A130">
        <v>137</v>
      </c>
      <c r="B130">
        <v>3998</v>
      </c>
      <c r="C130">
        <v>1521</v>
      </c>
      <c r="D130">
        <v>5519</v>
      </c>
      <c r="E130" t="s">
        <v>49</v>
      </c>
      <c r="F130">
        <v>46</v>
      </c>
      <c r="G130" t="s">
        <v>53</v>
      </c>
      <c r="H130" t="s">
        <v>41</v>
      </c>
      <c r="I130">
        <v>3</v>
      </c>
      <c r="J130" t="s">
        <v>58</v>
      </c>
      <c r="K130">
        <v>639</v>
      </c>
      <c r="L130" t="s">
        <v>55</v>
      </c>
      <c r="M130">
        <v>4</v>
      </c>
      <c r="N130" t="s">
        <v>44</v>
      </c>
      <c r="O130">
        <v>0.17</v>
      </c>
      <c r="P130" t="s">
        <v>59</v>
      </c>
      <c r="Q130">
        <v>2690</v>
      </c>
      <c r="R130">
        <v>12634</v>
      </c>
      <c r="S130" t="s">
        <v>44</v>
      </c>
      <c r="T130">
        <v>18861</v>
      </c>
      <c r="U130" t="s">
        <v>57</v>
      </c>
      <c r="V130">
        <v>60</v>
      </c>
      <c r="W130">
        <v>5</v>
      </c>
      <c r="X130" t="s">
        <v>37</v>
      </c>
      <c r="Y130" t="s">
        <v>45</v>
      </c>
      <c r="Z130" t="s">
        <v>39</v>
      </c>
      <c r="AA130" t="s">
        <v>34</v>
      </c>
      <c r="AB130" t="s">
        <v>35</v>
      </c>
      <c r="AC130" t="s">
        <v>36</v>
      </c>
    </row>
    <row r="131" spans="1:29" x14ac:dyDescent="0.25">
      <c r="A131">
        <v>138</v>
      </c>
      <c r="B131">
        <v>9994</v>
      </c>
      <c r="C131">
        <v>9018</v>
      </c>
      <c r="D131">
        <v>19012</v>
      </c>
      <c r="E131" t="s">
        <v>46</v>
      </c>
      <c r="F131">
        <v>39</v>
      </c>
      <c r="G131" t="s">
        <v>65</v>
      </c>
      <c r="H131" t="s">
        <v>41</v>
      </c>
      <c r="I131">
        <v>3</v>
      </c>
      <c r="J131" t="s">
        <v>58</v>
      </c>
      <c r="K131">
        <v>550</v>
      </c>
      <c r="L131" t="s">
        <v>66</v>
      </c>
      <c r="M131">
        <v>4</v>
      </c>
      <c r="N131" t="s">
        <v>44</v>
      </c>
      <c r="O131">
        <v>0.32</v>
      </c>
      <c r="P131" t="s">
        <v>67</v>
      </c>
      <c r="Q131">
        <v>4091</v>
      </c>
      <c r="R131">
        <v>19251</v>
      </c>
      <c r="S131" t="s">
        <v>44</v>
      </c>
      <c r="T131">
        <v>5960</v>
      </c>
      <c r="U131" t="s">
        <v>57</v>
      </c>
      <c r="V131">
        <v>48</v>
      </c>
      <c r="W131">
        <v>4</v>
      </c>
      <c r="X131" t="s">
        <v>42</v>
      </c>
      <c r="Y131" t="s">
        <v>32</v>
      </c>
      <c r="Z131" t="s">
        <v>39</v>
      </c>
      <c r="AA131" t="s">
        <v>40</v>
      </c>
      <c r="AB131" t="s">
        <v>51</v>
      </c>
      <c r="AC131" t="s">
        <v>36</v>
      </c>
    </row>
    <row r="132" spans="1:29" x14ac:dyDescent="0.25">
      <c r="A132">
        <v>139</v>
      </c>
      <c r="B132">
        <v>19879</v>
      </c>
      <c r="C132">
        <v>1500</v>
      </c>
      <c r="D132">
        <v>21379</v>
      </c>
      <c r="E132" t="s">
        <v>52</v>
      </c>
      <c r="F132">
        <v>27</v>
      </c>
      <c r="G132" t="s">
        <v>61</v>
      </c>
      <c r="H132" t="s">
        <v>41</v>
      </c>
      <c r="I132">
        <v>2</v>
      </c>
      <c r="J132" t="s">
        <v>62</v>
      </c>
      <c r="K132">
        <v>789</v>
      </c>
      <c r="L132" t="s">
        <v>71</v>
      </c>
      <c r="M132">
        <v>3</v>
      </c>
      <c r="N132" t="s">
        <v>44</v>
      </c>
      <c r="O132">
        <v>0.27</v>
      </c>
      <c r="P132" t="s">
        <v>59</v>
      </c>
      <c r="Q132">
        <v>13960</v>
      </c>
      <c r="R132">
        <v>46566</v>
      </c>
      <c r="S132" t="s">
        <v>44</v>
      </c>
      <c r="T132">
        <v>19781</v>
      </c>
      <c r="U132" t="s">
        <v>57</v>
      </c>
      <c r="V132">
        <v>24</v>
      </c>
      <c r="W132">
        <v>2</v>
      </c>
      <c r="X132" t="s">
        <v>47</v>
      </c>
      <c r="Y132" t="s">
        <v>38</v>
      </c>
      <c r="Z132" t="s">
        <v>33</v>
      </c>
      <c r="AA132" t="s">
        <v>34</v>
      </c>
      <c r="AB132" t="s">
        <v>35</v>
      </c>
      <c r="AC132" t="s">
        <v>44</v>
      </c>
    </row>
    <row r="133" spans="1:29" x14ac:dyDescent="0.25">
      <c r="A133">
        <v>140</v>
      </c>
      <c r="B133">
        <v>5304</v>
      </c>
      <c r="C133">
        <v>6737</v>
      </c>
      <c r="D133">
        <v>12041</v>
      </c>
      <c r="E133" t="s">
        <v>49</v>
      </c>
      <c r="F133">
        <v>27</v>
      </c>
      <c r="G133" t="s">
        <v>61</v>
      </c>
      <c r="H133" t="s">
        <v>30</v>
      </c>
      <c r="I133">
        <v>1</v>
      </c>
      <c r="J133" t="s">
        <v>68</v>
      </c>
      <c r="K133">
        <v>646</v>
      </c>
      <c r="L133" t="s">
        <v>55</v>
      </c>
      <c r="M133">
        <v>3</v>
      </c>
      <c r="N133" t="s">
        <v>44</v>
      </c>
      <c r="O133">
        <v>0.36</v>
      </c>
      <c r="P133" t="s">
        <v>67</v>
      </c>
      <c r="Q133">
        <v>690</v>
      </c>
      <c r="R133">
        <v>19928</v>
      </c>
      <c r="S133" t="s">
        <v>44</v>
      </c>
      <c r="T133">
        <v>32126</v>
      </c>
      <c r="U133" t="s">
        <v>64</v>
      </c>
      <c r="V133">
        <v>36</v>
      </c>
      <c r="W133">
        <v>3</v>
      </c>
      <c r="X133" t="s">
        <v>31</v>
      </c>
      <c r="Y133" t="s">
        <v>32</v>
      </c>
      <c r="Z133" t="s">
        <v>39</v>
      </c>
      <c r="AA133" t="s">
        <v>40</v>
      </c>
      <c r="AB133" t="s">
        <v>51</v>
      </c>
      <c r="AC133" t="s">
        <v>36</v>
      </c>
    </row>
    <row r="134" spans="1:29" x14ac:dyDescent="0.25">
      <c r="A134">
        <v>141</v>
      </c>
      <c r="B134">
        <v>15808</v>
      </c>
      <c r="C134">
        <v>3294</v>
      </c>
      <c r="D134">
        <v>19102</v>
      </c>
      <c r="E134" t="s">
        <v>49</v>
      </c>
      <c r="F134">
        <v>46</v>
      </c>
      <c r="G134" t="s">
        <v>53</v>
      </c>
      <c r="H134" t="s">
        <v>30</v>
      </c>
      <c r="I134">
        <v>1</v>
      </c>
      <c r="J134" t="s">
        <v>68</v>
      </c>
      <c r="K134">
        <v>769</v>
      </c>
      <c r="L134" t="s">
        <v>71</v>
      </c>
      <c r="M134">
        <v>3</v>
      </c>
      <c r="N134" t="s">
        <v>44</v>
      </c>
      <c r="O134">
        <v>0.39</v>
      </c>
      <c r="P134" t="s">
        <v>67</v>
      </c>
      <c r="Q134">
        <v>1495</v>
      </c>
      <c r="R134">
        <v>37245</v>
      </c>
      <c r="S134" t="s">
        <v>44</v>
      </c>
      <c r="T134">
        <v>23578</v>
      </c>
      <c r="U134" t="s">
        <v>64</v>
      </c>
      <c r="V134">
        <v>12</v>
      </c>
      <c r="W134">
        <v>1</v>
      </c>
      <c r="X134" t="s">
        <v>42</v>
      </c>
      <c r="Y134" t="s">
        <v>32</v>
      </c>
      <c r="Z134" t="s">
        <v>33</v>
      </c>
      <c r="AA134" t="s">
        <v>40</v>
      </c>
      <c r="AB134" t="s">
        <v>35</v>
      </c>
      <c r="AC134" t="s">
        <v>44</v>
      </c>
    </row>
    <row r="135" spans="1:29" x14ac:dyDescent="0.25">
      <c r="A135">
        <v>142</v>
      </c>
      <c r="B135">
        <v>8585</v>
      </c>
      <c r="C135">
        <v>0</v>
      </c>
      <c r="D135">
        <v>8585</v>
      </c>
      <c r="E135" t="s">
        <v>52</v>
      </c>
      <c r="F135">
        <v>25</v>
      </c>
      <c r="G135" t="s">
        <v>61</v>
      </c>
      <c r="H135" t="s">
        <v>30</v>
      </c>
      <c r="I135">
        <v>1</v>
      </c>
      <c r="J135" t="s">
        <v>68</v>
      </c>
      <c r="K135">
        <v>558</v>
      </c>
      <c r="L135" t="s">
        <v>66</v>
      </c>
      <c r="M135">
        <v>3</v>
      </c>
      <c r="N135" t="s">
        <v>44</v>
      </c>
      <c r="O135">
        <v>0.1</v>
      </c>
      <c r="P135" t="s">
        <v>59</v>
      </c>
      <c r="Q135">
        <v>11085</v>
      </c>
      <c r="R135">
        <v>16455</v>
      </c>
      <c r="S135" t="s">
        <v>44</v>
      </c>
      <c r="T135">
        <v>18883</v>
      </c>
      <c r="U135" t="s">
        <v>57</v>
      </c>
      <c r="V135">
        <v>48</v>
      </c>
      <c r="W135">
        <v>4</v>
      </c>
      <c r="X135" t="s">
        <v>50</v>
      </c>
      <c r="Y135" t="s">
        <v>38</v>
      </c>
      <c r="Z135" t="s">
        <v>39</v>
      </c>
      <c r="AA135" t="s">
        <v>40</v>
      </c>
      <c r="AB135" t="s">
        <v>35</v>
      </c>
      <c r="AC135" t="s">
        <v>36</v>
      </c>
    </row>
    <row r="136" spans="1:29" x14ac:dyDescent="0.25">
      <c r="A136">
        <v>143</v>
      </c>
      <c r="B136">
        <v>19675</v>
      </c>
      <c r="C136">
        <v>2419</v>
      </c>
      <c r="D136">
        <v>22094</v>
      </c>
      <c r="E136" t="s">
        <v>46</v>
      </c>
      <c r="F136">
        <v>41</v>
      </c>
      <c r="G136" t="s">
        <v>65</v>
      </c>
      <c r="H136" t="s">
        <v>41</v>
      </c>
      <c r="I136">
        <v>1</v>
      </c>
      <c r="J136" t="s">
        <v>68</v>
      </c>
      <c r="K136">
        <v>561</v>
      </c>
      <c r="L136" t="s">
        <v>66</v>
      </c>
      <c r="M136">
        <v>3</v>
      </c>
      <c r="N136" t="s">
        <v>44</v>
      </c>
      <c r="O136">
        <v>0.48</v>
      </c>
      <c r="P136" t="s">
        <v>70</v>
      </c>
      <c r="Q136">
        <v>17276</v>
      </c>
      <c r="R136">
        <v>27144</v>
      </c>
      <c r="S136" t="s">
        <v>44</v>
      </c>
      <c r="T136">
        <v>30782</v>
      </c>
      <c r="U136" t="s">
        <v>64</v>
      </c>
      <c r="V136">
        <v>72</v>
      </c>
      <c r="W136">
        <v>6</v>
      </c>
      <c r="X136" t="s">
        <v>50</v>
      </c>
      <c r="Y136" t="s">
        <v>45</v>
      </c>
      <c r="Z136" t="s">
        <v>39</v>
      </c>
      <c r="AA136" t="s">
        <v>40</v>
      </c>
      <c r="AB136" t="s">
        <v>48</v>
      </c>
      <c r="AC136" t="s">
        <v>36</v>
      </c>
    </row>
    <row r="137" spans="1:29" x14ac:dyDescent="0.25">
      <c r="A137">
        <v>144</v>
      </c>
      <c r="B137">
        <v>13649</v>
      </c>
      <c r="C137">
        <v>9126</v>
      </c>
      <c r="D137">
        <v>22775</v>
      </c>
      <c r="E137" t="s">
        <v>29</v>
      </c>
      <c r="F137">
        <v>40</v>
      </c>
      <c r="G137" t="s">
        <v>65</v>
      </c>
      <c r="H137" t="s">
        <v>30</v>
      </c>
      <c r="I137">
        <v>1</v>
      </c>
      <c r="J137" t="s">
        <v>68</v>
      </c>
      <c r="K137">
        <v>618</v>
      </c>
      <c r="L137" t="s">
        <v>55</v>
      </c>
      <c r="M137">
        <v>4</v>
      </c>
      <c r="N137" t="s">
        <v>44</v>
      </c>
      <c r="O137">
        <v>0.46</v>
      </c>
      <c r="P137" t="s">
        <v>70</v>
      </c>
      <c r="Q137">
        <v>10720</v>
      </c>
      <c r="R137">
        <v>28013</v>
      </c>
      <c r="S137" t="s">
        <v>44</v>
      </c>
      <c r="T137">
        <v>17979</v>
      </c>
      <c r="U137" t="s">
        <v>57</v>
      </c>
      <c r="V137">
        <v>24</v>
      </c>
      <c r="W137">
        <v>2</v>
      </c>
      <c r="X137" t="s">
        <v>37</v>
      </c>
      <c r="Y137" t="s">
        <v>32</v>
      </c>
      <c r="Z137" t="s">
        <v>39</v>
      </c>
      <c r="AA137" t="s">
        <v>40</v>
      </c>
      <c r="AB137" t="s">
        <v>43</v>
      </c>
      <c r="AC137" t="s">
        <v>36</v>
      </c>
    </row>
    <row r="138" spans="1:29" x14ac:dyDescent="0.25">
      <c r="A138">
        <v>145</v>
      </c>
      <c r="B138">
        <v>3636</v>
      </c>
      <c r="C138">
        <v>3042</v>
      </c>
      <c r="D138">
        <v>6678</v>
      </c>
      <c r="E138" t="s">
        <v>46</v>
      </c>
      <c r="F138">
        <v>24</v>
      </c>
      <c r="G138" t="s">
        <v>72</v>
      </c>
      <c r="H138" t="s">
        <v>30</v>
      </c>
      <c r="I138">
        <v>2</v>
      </c>
      <c r="J138" t="s">
        <v>62</v>
      </c>
      <c r="K138">
        <v>731</v>
      </c>
      <c r="L138" t="s">
        <v>63</v>
      </c>
      <c r="M138">
        <v>1</v>
      </c>
      <c r="N138" t="s">
        <v>44</v>
      </c>
      <c r="O138">
        <v>0.28000000000000003</v>
      </c>
      <c r="P138" t="s">
        <v>59</v>
      </c>
      <c r="Q138">
        <v>5873</v>
      </c>
      <c r="R138">
        <v>21876</v>
      </c>
      <c r="S138" t="s">
        <v>44</v>
      </c>
      <c r="T138">
        <v>34746</v>
      </c>
      <c r="U138" t="s">
        <v>64</v>
      </c>
      <c r="V138">
        <v>36</v>
      </c>
      <c r="W138">
        <v>3</v>
      </c>
      <c r="X138" t="s">
        <v>42</v>
      </c>
      <c r="Y138" t="s">
        <v>32</v>
      </c>
      <c r="Z138" t="s">
        <v>33</v>
      </c>
      <c r="AA138" t="s">
        <v>40</v>
      </c>
      <c r="AB138" t="s">
        <v>42</v>
      </c>
      <c r="AC138" t="s">
        <v>36</v>
      </c>
    </row>
    <row r="139" spans="1:29" x14ac:dyDescent="0.25">
      <c r="A139">
        <v>146</v>
      </c>
      <c r="B139">
        <v>19082</v>
      </c>
      <c r="C139">
        <v>4497</v>
      </c>
      <c r="D139">
        <v>23579</v>
      </c>
      <c r="E139" t="s">
        <v>46</v>
      </c>
      <c r="F139">
        <v>43</v>
      </c>
      <c r="G139" t="s">
        <v>65</v>
      </c>
      <c r="H139" t="s">
        <v>41</v>
      </c>
      <c r="I139">
        <v>2</v>
      </c>
      <c r="J139" t="s">
        <v>62</v>
      </c>
      <c r="K139">
        <v>793</v>
      </c>
      <c r="L139" t="s">
        <v>71</v>
      </c>
      <c r="M139">
        <v>1</v>
      </c>
      <c r="N139" t="s">
        <v>44</v>
      </c>
      <c r="O139">
        <v>0.13</v>
      </c>
      <c r="P139" t="s">
        <v>59</v>
      </c>
      <c r="Q139">
        <v>4503</v>
      </c>
      <c r="R139">
        <v>26962</v>
      </c>
      <c r="S139" t="s">
        <v>44</v>
      </c>
      <c r="T139">
        <v>1730</v>
      </c>
      <c r="U139" t="s">
        <v>73</v>
      </c>
      <c r="V139">
        <v>24</v>
      </c>
      <c r="W139">
        <v>2</v>
      </c>
      <c r="X139" t="s">
        <v>31</v>
      </c>
      <c r="Y139" t="s">
        <v>45</v>
      </c>
      <c r="Z139" t="s">
        <v>39</v>
      </c>
      <c r="AA139" t="s">
        <v>40</v>
      </c>
      <c r="AB139" t="s">
        <v>35</v>
      </c>
      <c r="AC139" t="s">
        <v>44</v>
      </c>
    </row>
    <row r="140" spans="1:29" x14ac:dyDescent="0.25">
      <c r="A140">
        <v>147</v>
      </c>
      <c r="B140">
        <v>6737</v>
      </c>
      <c r="C140">
        <v>1466</v>
      </c>
      <c r="D140">
        <v>8203</v>
      </c>
      <c r="E140" t="s">
        <v>49</v>
      </c>
      <c r="F140">
        <v>40</v>
      </c>
      <c r="G140" t="s">
        <v>65</v>
      </c>
      <c r="H140" t="s">
        <v>41</v>
      </c>
      <c r="I140">
        <v>1</v>
      </c>
      <c r="J140" t="s">
        <v>68</v>
      </c>
      <c r="K140">
        <v>731</v>
      </c>
      <c r="L140" t="s">
        <v>63</v>
      </c>
      <c r="M140">
        <v>0</v>
      </c>
      <c r="N140" t="s">
        <v>36</v>
      </c>
      <c r="O140">
        <v>0.48</v>
      </c>
      <c r="P140" t="s">
        <v>70</v>
      </c>
      <c r="Q140">
        <v>11720</v>
      </c>
      <c r="R140">
        <v>28084</v>
      </c>
      <c r="S140" t="s">
        <v>44</v>
      </c>
      <c r="T140">
        <v>1056</v>
      </c>
      <c r="U140" t="s">
        <v>73</v>
      </c>
      <c r="V140">
        <v>60</v>
      </c>
      <c r="W140">
        <v>5</v>
      </c>
      <c r="X140" t="s">
        <v>42</v>
      </c>
      <c r="Y140" t="s">
        <v>32</v>
      </c>
      <c r="Z140" t="s">
        <v>39</v>
      </c>
      <c r="AA140" t="s">
        <v>34</v>
      </c>
      <c r="AB140" t="s">
        <v>35</v>
      </c>
      <c r="AC140" t="s">
        <v>36</v>
      </c>
    </row>
    <row r="141" spans="1:29" x14ac:dyDescent="0.25">
      <c r="A141">
        <v>148</v>
      </c>
      <c r="B141">
        <v>16555</v>
      </c>
      <c r="C141">
        <v>3561</v>
      </c>
      <c r="D141">
        <v>20116</v>
      </c>
      <c r="E141" t="s">
        <v>49</v>
      </c>
      <c r="F141">
        <v>35</v>
      </c>
      <c r="G141" t="s">
        <v>65</v>
      </c>
      <c r="H141" t="s">
        <v>41</v>
      </c>
      <c r="I141">
        <v>2</v>
      </c>
      <c r="J141" t="s">
        <v>62</v>
      </c>
      <c r="K141">
        <v>577</v>
      </c>
      <c r="L141" t="s">
        <v>66</v>
      </c>
      <c r="M141">
        <v>1</v>
      </c>
      <c r="N141" t="s">
        <v>44</v>
      </c>
      <c r="O141">
        <v>0.57999999999999996</v>
      </c>
      <c r="P141" t="s">
        <v>56</v>
      </c>
      <c r="Q141">
        <v>13964</v>
      </c>
      <c r="R141">
        <v>42319</v>
      </c>
      <c r="S141" t="s">
        <v>44</v>
      </c>
      <c r="T141">
        <v>32457</v>
      </c>
      <c r="U141" t="s">
        <v>64</v>
      </c>
      <c r="V141">
        <v>84</v>
      </c>
      <c r="W141">
        <v>7</v>
      </c>
      <c r="X141" t="s">
        <v>42</v>
      </c>
      <c r="Y141" t="s">
        <v>32</v>
      </c>
      <c r="Z141" t="s">
        <v>39</v>
      </c>
      <c r="AA141" t="s">
        <v>40</v>
      </c>
      <c r="AB141" t="s">
        <v>51</v>
      </c>
      <c r="AC141" t="s">
        <v>36</v>
      </c>
    </row>
    <row r="142" spans="1:29" x14ac:dyDescent="0.25">
      <c r="A142">
        <v>149</v>
      </c>
      <c r="B142">
        <v>15877</v>
      </c>
      <c r="C142">
        <v>0</v>
      </c>
      <c r="D142">
        <v>15877</v>
      </c>
      <c r="E142" t="s">
        <v>49</v>
      </c>
      <c r="F142">
        <v>49</v>
      </c>
      <c r="G142" t="s">
        <v>53</v>
      </c>
      <c r="H142" t="s">
        <v>30</v>
      </c>
      <c r="I142">
        <v>2</v>
      </c>
      <c r="J142" t="s">
        <v>62</v>
      </c>
      <c r="K142">
        <v>605</v>
      </c>
      <c r="L142" t="s">
        <v>55</v>
      </c>
      <c r="M142">
        <v>1</v>
      </c>
      <c r="N142" t="s">
        <v>44</v>
      </c>
      <c r="O142">
        <v>0.22</v>
      </c>
      <c r="P142" t="s">
        <v>59</v>
      </c>
      <c r="Q142">
        <v>897</v>
      </c>
      <c r="R142">
        <v>21143</v>
      </c>
      <c r="S142" t="s">
        <v>44</v>
      </c>
      <c r="T142">
        <v>0</v>
      </c>
      <c r="U142" t="s">
        <v>73</v>
      </c>
      <c r="V142">
        <v>84</v>
      </c>
      <c r="W142">
        <v>7</v>
      </c>
      <c r="X142" t="s">
        <v>50</v>
      </c>
      <c r="Y142" t="s">
        <v>45</v>
      </c>
      <c r="Z142" t="s">
        <v>33</v>
      </c>
      <c r="AA142" t="s">
        <v>40</v>
      </c>
      <c r="AB142" t="s">
        <v>35</v>
      </c>
      <c r="AC142" t="s">
        <v>36</v>
      </c>
    </row>
    <row r="143" spans="1:29" x14ac:dyDescent="0.25">
      <c r="A143">
        <v>150</v>
      </c>
      <c r="B143">
        <v>2854</v>
      </c>
      <c r="C143">
        <v>5392</v>
      </c>
      <c r="D143">
        <v>8246</v>
      </c>
      <c r="E143" t="s">
        <v>29</v>
      </c>
      <c r="F143">
        <v>28</v>
      </c>
      <c r="G143" t="s">
        <v>61</v>
      </c>
      <c r="H143" t="s">
        <v>41</v>
      </c>
      <c r="I143">
        <v>1</v>
      </c>
      <c r="J143" t="s">
        <v>68</v>
      </c>
      <c r="K143">
        <v>648</v>
      </c>
      <c r="L143" t="s">
        <v>55</v>
      </c>
      <c r="M143">
        <v>4</v>
      </c>
      <c r="N143" t="s">
        <v>44</v>
      </c>
      <c r="O143">
        <v>0.26</v>
      </c>
      <c r="P143" t="s">
        <v>59</v>
      </c>
      <c r="Q143">
        <v>17094</v>
      </c>
      <c r="R143">
        <v>26091</v>
      </c>
      <c r="S143" t="s">
        <v>44</v>
      </c>
      <c r="T143">
        <v>2701</v>
      </c>
      <c r="U143" t="s">
        <v>73</v>
      </c>
      <c r="V143">
        <v>48</v>
      </c>
      <c r="W143">
        <v>4</v>
      </c>
      <c r="X143" t="s">
        <v>31</v>
      </c>
      <c r="Y143" t="s">
        <v>38</v>
      </c>
      <c r="Z143" t="s">
        <v>39</v>
      </c>
      <c r="AA143" t="s">
        <v>34</v>
      </c>
      <c r="AB143" t="s">
        <v>43</v>
      </c>
      <c r="AC143" t="s">
        <v>36</v>
      </c>
    </row>
    <row r="144" spans="1:29" x14ac:dyDescent="0.25">
      <c r="A144">
        <v>151</v>
      </c>
      <c r="B144">
        <v>7855</v>
      </c>
      <c r="C144">
        <v>7693</v>
      </c>
      <c r="D144">
        <v>15548</v>
      </c>
      <c r="E144" t="s">
        <v>49</v>
      </c>
      <c r="F144">
        <v>39</v>
      </c>
      <c r="G144" t="s">
        <v>65</v>
      </c>
      <c r="H144" t="s">
        <v>30</v>
      </c>
      <c r="I144">
        <v>3</v>
      </c>
      <c r="J144" t="s">
        <v>58</v>
      </c>
      <c r="K144">
        <v>746</v>
      </c>
      <c r="L144" t="s">
        <v>71</v>
      </c>
      <c r="M144">
        <v>3</v>
      </c>
      <c r="N144" t="s">
        <v>44</v>
      </c>
      <c r="O144">
        <v>0.19</v>
      </c>
      <c r="P144" t="s">
        <v>59</v>
      </c>
      <c r="Q144">
        <v>3695</v>
      </c>
      <c r="R144">
        <v>14179</v>
      </c>
      <c r="S144" t="s">
        <v>44</v>
      </c>
      <c r="T144">
        <v>0</v>
      </c>
      <c r="U144" t="s">
        <v>73</v>
      </c>
      <c r="V144">
        <v>12</v>
      </c>
      <c r="W144">
        <v>1</v>
      </c>
      <c r="X144" t="s">
        <v>42</v>
      </c>
      <c r="Y144" t="s">
        <v>45</v>
      </c>
      <c r="Z144" t="s">
        <v>39</v>
      </c>
      <c r="AA144" t="s">
        <v>40</v>
      </c>
      <c r="AB144" t="s">
        <v>35</v>
      </c>
      <c r="AC144" t="s">
        <v>44</v>
      </c>
    </row>
    <row r="145" spans="1:29" x14ac:dyDescent="0.25">
      <c r="A145">
        <v>152</v>
      </c>
      <c r="B145">
        <v>9392</v>
      </c>
      <c r="C145">
        <v>9374</v>
      </c>
      <c r="D145">
        <v>18766</v>
      </c>
      <c r="E145" t="s">
        <v>49</v>
      </c>
      <c r="F145">
        <v>59</v>
      </c>
      <c r="G145" t="s">
        <v>69</v>
      </c>
      <c r="H145" t="s">
        <v>30</v>
      </c>
      <c r="I145">
        <v>2</v>
      </c>
      <c r="J145" t="s">
        <v>62</v>
      </c>
      <c r="K145">
        <v>550</v>
      </c>
      <c r="L145" t="s">
        <v>66</v>
      </c>
      <c r="M145">
        <v>3</v>
      </c>
      <c r="N145" t="s">
        <v>44</v>
      </c>
      <c r="O145">
        <v>0.35</v>
      </c>
      <c r="P145" t="s">
        <v>67</v>
      </c>
      <c r="Q145">
        <v>2686</v>
      </c>
      <c r="R145">
        <v>32807</v>
      </c>
      <c r="S145" t="s">
        <v>44</v>
      </c>
      <c r="T145">
        <v>16100</v>
      </c>
      <c r="U145" t="s">
        <v>57</v>
      </c>
      <c r="V145">
        <v>36</v>
      </c>
      <c r="W145">
        <v>3</v>
      </c>
      <c r="X145" t="s">
        <v>50</v>
      </c>
      <c r="Y145" t="s">
        <v>45</v>
      </c>
      <c r="Z145" t="s">
        <v>39</v>
      </c>
      <c r="AA145" t="s">
        <v>34</v>
      </c>
      <c r="AB145" t="s">
        <v>35</v>
      </c>
      <c r="AC145" t="s">
        <v>44</v>
      </c>
    </row>
    <row r="146" spans="1:29" x14ac:dyDescent="0.25">
      <c r="A146">
        <v>153</v>
      </c>
      <c r="B146">
        <v>15949</v>
      </c>
      <c r="C146">
        <v>3223</v>
      </c>
      <c r="D146">
        <v>19172</v>
      </c>
      <c r="E146" t="s">
        <v>46</v>
      </c>
      <c r="F146">
        <v>48</v>
      </c>
      <c r="G146" t="s">
        <v>53</v>
      </c>
      <c r="H146" t="s">
        <v>30</v>
      </c>
      <c r="I146">
        <v>3</v>
      </c>
      <c r="J146" t="s">
        <v>58</v>
      </c>
      <c r="K146">
        <v>659</v>
      </c>
      <c r="L146" t="s">
        <v>55</v>
      </c>
      <c r="M146">
        <v>4</v>
      </c>
      <c r="N146" t="s">
        <v>44</v>
      </c>
      <c r="O146">
        <v>0.18</v>
      </c>
      <c r="P146" t="s">
        <v>59</v>
      </c>
      <c r="Q146">
        <v>5778</v>
      </c>
      <c r="R146">
        <v>10222</v>
      </c>
      <c r="S146" t="s">
        <v>44</v>
      </c>
      <c r="T146">
        <v>1947</v>
      </c>
      <c r="U146" t="s">
        <v>73</v>
      </c>
      <c r="V146">
        <v>24</v>
      </c>
      <c r="W146">
        <v>2</v>
      </c>
      <c r="X146" t="s">
        <v>31</v>
      </c>
      <c r="Y146" t="s">
        <v>45</v>
      </c>
      <c r="Z146" t="s">
        <v>33</v>
      </c>
      <c r="AA146" t="s">
        <v>34</v>
      </c>
      <c r="AB146" t="s">
        <v>51</v>
      </c>
      <c r="AC146" t="s">
        <v>44</v>
      </c>
    </row>
    <row r="147" spans="1:29" x14ac:dyDescent="0.25">
      <c r="A147">
        <v>154</v>
      </c>
      <c r="B147">
        <v>7791</v>
      </c>
      <c r="C147">
        <v>7138</v>
      </c>
      <c r="D147">
        <v>14929</v>
      </c>
      <c r="E147" t="s">
        <v>49</v>
      </c>
      <c r="F147">
        <v>47</v>
      </c>
      <c r="G147" t="s">
        <v>53</v>
      </c>
      <c r="H147" t="s">
        <v>30</v>
      </c>
      <c r="I147">
        <v>2</v>
      </c>
      <c r="J147" t="s">
        <v>62</v>
      </c>
      <c r="K147">
        <v>775</v>
      </c>
      <c r="L147" t="s">
        <v>71</v>
      </c>
      <c r="M147">
        <v>1</v>
      </c>
      <c r="N147" t="s">
        <v>44</v>
      </c>
      <c r="O147">
        <v>0.28000000000000003</v>
      </c>
      <c r="P147" t="s">
        <v>59</v>
      </c>
      <c r="Q147">
        <v>0</v>
      </c>
      <c r="R147">
        <v>23949</v>
      </c>
      <c r="S147" t="s">
        <v>44</v>
      </c>
      <c r="T147">
        <v>21505</v>
      </c>
      <c r="U147" t="s">
        <v>64</v>
      </c>
      <c r="V147">
        <v>48</v>
      </c>
      <c r="W147">
        <v>4</v>
      </c>
      <c r="X147" t="s">
        <v>42</v>
      </c>
      <c r="Y147" t="s">
        <v>45</v>
      </c>
      <c r="Z147" t="s">
        <v>33</v>
      </c>
      <c r="AA147" t="s">
        <v>40</v>
      </c>
      <c r="AB147" t="s">
        <v>51</v>
      </c>
      <c r="AC147" t="s">
        <v>44</v>
      </c>
    </row>
    <row r="148" spans="1:29" x14ac:dyDescent="0.25">
      <c r="A148">
        <v>155</v>
      </c>
      <c r="B148">
        <v>6931</v>
      </c>
      <c r="C148">
        <v>2667</v>
      </c>
      <c r="D148">
        <v>9598</v>
      </c>
      <c r="E148" t="s">
        <v>49</v>
      </c>
      <c r="F148">
        <v>24</v>
      </c>
      <c r="G148" t="s">
        <v>72</v>
      </c>
      <c r="H148" t="s">
        <v>30</v>
      </c>
      <c r="I148">
        <v>2</v>
      </c>
      <c r="J148" t="s">
        <v>62</v>
      </c>
      <c r="K148">
        <v>626</v>
      </c>
      <c r="L148" t="s">
        <v>55</v>
      </c>
      <c r="M148">
        <v>4</v>
      </c>
      <c r="N148" t="s">
        <v>44</v>
      </c>
      <c r="O148">
        <v>0.45</v>
      </c>
      <c r="P148" t="s">
        <v>70</v>
      </c>
      <c r="Q148">
        <v>16799</v>
      </c>
      <c r="R148">
        <v>16116</v>
      </c>
      <c r="S148" t="s">
        <v>44</v>
      </c>
      <c r="T148">
        <v>7553</v>
      </c>
      <c r="U148" t="s">
        <v>57</v>
      </c>
      <c r="V148">
        <v>24</v>
      </c>
      <c r="W148">
        <v>2</v>
      </c>
      <c r="X148" t="s">
        <v>50</v>
      </c>
      <c r="Y148" t="s">
        <v>32</v>
      </c>
      <c r="Z148" t="s">
        <v>39</v>
      </c>
      <c r="AA148" t="s">
        <v>40</v>
      </c>
      <c r="AB148" t="s">
        <v>42</v>
      </c>
      <c r="AC148" t="s">
        <v>36</v>
      </c>
    </row>
    <row r="149" spans="1:29" x14ac:dyDescent="0.25">
      <c r="A149">
        <v>156</v>
      </c>
      <c r="B149">
        <v>2202</v>
      </c>
      <c r="C149">
        <v>7980</v>
      </c>
      <c r="D149">
        <v>10182</v>
      </c>
      <c r="E149" t="s">
        <v>29</v>
      </c>
      <c r="F149">
        <v>35</v>
      </c>
      <c r="G149" t="s">
        <v>65</v>
      </c>
      <c r="H149" t="s">
        <v>41</v>
      </c>
      <c r="I149">
        <v>1</v>
      </c>
      <c r="J149" t="s">
        <v>68</v>
      </c>
      <c r="K149">
        <v>652</v>
      </c>
      <c r="L149" t="s">
        <v>55</v>
      </c>
      <c r="M149">
        <v>0</v>
      </c>
      <c r="N149" t="s">
        <v>36</v>
      </c>
      <c r="O149">
        <v>0.38</v>
      </c>
      <c r="P149" t="s">
        <v>67</v>
      </c>
      <c r="Q149">
        <v>9663</v>
      </c>
      <c r="R149">
        <v>48817</v>
      </c>
      <c r="S149" t="s">
        <v>44</v>
      </c>
      <c r="T149">
        <v>34525</v>
      </c>
      <c r="U149" t="s">
        <v>64</v>
      </c>
      <c r="V149">
        <v>48</v>
      </c>
      <c r="W149">
        <v>4</v>
      </c>
      <c r="X149" t="s">
        <v>37</v>
      </c>
      <c r="Y149" t="s">
        <v>32</v>
      </c>
      <c r="Z149" t="s">
        <v>39</v>
      </c>
      <c r="AA149" t="s">
        <v>34</v>
      </c>
      <c r="AB149" t="s">
        <v>42</v>
      </c>
      <c r="AC149" t="s">
        <v>36</v>
      </c>
    </row>
    <row r="150" spans="1:29" x14ac:dyDescent="0.25">
      <c r="A150">
        <v>157</v>
      </c>
      <c r="B150">
        <v>13447</v>
      </c>
      <c r="C150">
        <v>130</v>
      </c>
      <c r="D150">
        <v>13577</v>
      </c>
      <c r="E150" t="s">
        <v>46</v>
      </c>
      <c r="F150">
        <v>55</v>
      </c>
      <c r="G150" t="s">
        <v>69</v>
      </c>
      <c r="H150" t="s">
        <v>30</v>
      </c>
      <c r="I150">
        <v>2</v>
      </c>
      <c r="J150" t="s">
        <v>62</v>
      </c>
      <c r="K150">
        <v>655</v>
      </c>
      <c r="L150" t="s">
        <v>55</v>
      </c>
      <c r="M150">
        <v>3</v>
      </c>
      <c r="N150" t="s">
        <v>44</v>
      </c>
      <c r="O150">
        <v>0.28999999999999998</v>
      </c>
      <c r="P150" t="s">
        <v>59</v>
      </c>
      <c r="Q150">
        <v>4180</v>
      </c>
      <c r="R150">
        <v>37564</v>
      </c>
      <c r="S150" t="s">
        <v>44</v>
      </c>
      <c r="T150">
        <v>15866</v>
      </c>
      <c r="U150" t="s">
        <v>57</v>
      </c>
      <c r="V150">
        <v>84</v>
      </c>
      <c r="W150">
        <v>7</v>
      </c>
      <c r="X150" t="s">
        <v>50</v>
      </c>
      <c r="Y150" t="s">
        <v>32</v>
      </c>
      <c r="Z150" t="s">
        <v>33</v>
      </c>
      <c r="AA150" t="s">
        <v>34</v>
      </c>
      <c r="AB150" t="s">
        <v>43</v>
      </c>
      <c r="AC150" t="s">
        <v>44</v>
      </c>
    </row>
    <row r="151" spans="1:29" x14ac:dyDescent="0.25">
      <c r="A151">
        <v>158</v>
      </c>
      <c r="B151">
        <v>14688</v>
      </c>
      <c r="C151">
        <v>2983</v>
      </c>
      <c r="D151">
        <v>17671</v>
      </c>
      <c r="E151" t="s">
        <v>29</v>
      </c>
      <c r="F151">
        <v>57</v>
      </c>
      <c r="G151" t="s">
        <v>69</v>
      </c>
      <c r="H151" t="s">
        <v>41</v>
      </c>
      <c r="I151">
        <v>0</v>
      </c>
      <c r="J151" t="s">
        <v>54</v>
      </c>
      <c r="K151">
        <v>658</v>
      </c>
      <c r="L151" t="s">
        <v>55</v>
      </c>
      <c r="M151">
        <v>0</v>
      </c>
      <c r="N151" t="s">
        <v>36</v>
      </c>
      <c r="O151">
        <v>0.31</v>
      </c>
      <c r="P151" t="s">
        <v>67</v>
      </c>
      <c r="Q151">
        <v>4262</v>
      </c>
      <c r="R151">
        <v>37374</v>
      </c>
      <c r="S151" t="s">
        <v>44</v>
      </c>
      <c r="T151">
        <v>31472</v>
      </c>
      <c r="U151" t="s">
        <v>64</v>
      </c>
      <c r="V151">
        <v>60</v>
      </c>
      <c r="W151">
        <v>5</v>
      </c>
      <c r="X151" t="s">
        <v>42</v>
      </c>
      <c r="Y151" t="s">
        <v>32</v>
      </c>
      <c r="Z151" t="s">
        <v>33</v>
      </c>
      <c r="AA151" t="s">
        <v>34</v>
      </c>
      <c r="AB151" t="s">
        <v>43</v>
      </c>
      <c r="AC151" t="s">
        <v>44</v>
      </c>
    </row>
    <row r="152" spans="1:29" x14ac:dyDescent="0.25">
      <c r="A152">
        <v>159</v>
      </c>
      <c r="B152">
        <v>6389</v>
      </c>
      <c r="C152">
        <v>0</v>
      </c>
      <c r="D152">
        <v>6389</v>
      </c>
      <c r="E152" t="s">
        <v>29</v>
      </c>
      <c r="F152">
        <v>40</v>
      </c>
      <c r="G152" t="s">
        <v>65</v>
      </c>
      <c r="H152" t="s">
        <v>30</v>
      </c>
      <c r="I152">
        <v>0</v>
      </c>
      <c r="J152" t="s">
        <v>54</v>
      </c>
      <c r="K152">
        <v>661</v>
      </c>
      <c r="L152" t="s">
        <v>55</v>
      </c>
      <c r="M152">
        <v>0</v>
      </c>
      <c r="N152" t="s">
        <v>36</v>
      </c>
      <c r="O152">
        <v>0.38</v>
      </c>
      <c r="P152" t="s">
        <v>67</v>
      </c>
      <c r="Q152">
        <v>2515</v>
      </c>
      <c r="R152">
        <v>17667</v>
      </c>
      <c r="S152" t="s">
        <v>44</v>
      </c>
      <c r="T152">
        <v>6651</v>
      </c>
      <c r="U152" t="s">
        <v>57</v>
      </c>
      <c r="V152">
        <v>24</v>
      </c>
      <c r="W152">
        <v>2</v>
      </c>
      <c r="X152" t="s">
        <v>31</v>
      </c>
      <c r="Y152" t="s">
        <v>32</v>
      </c>
      <c r="Z152" t="s">
        <v>39</v>
      </c>
      <c r="AA152" t="s">
        <v>40</v>
      </c>
      <c r="AB152" t="s">
        <v>42</v>
      </c>
      <c r="AC152" t="s">
        <v>44</v>
      </c>
    </row>
    <row r="153" spans="1:29" x14ac:dyDescent="0.25">
      <c r="A153">
        <v>160</v>
      </c>
      <c r="B153">
        <v>4327</v>
      </c>
      <c r="C153">
        <v>7126</v>
      </c>
      <c r="D153">
        <v>11453</v>
      </c>
      <c r="E153" t="s">
        <v>46</v>
      </c>
      <c r="F153">
        <v>23</v>
      </c>
      <c r="G153" t="s">
        <v>72</v>
      </c>
      <c r="H153" t="s">
        <v>30</v>
      </c>
      <c r="I153">
        <v>1</v>
      </c>
      <c r="J153" t="s">
        <v>68</v>
      </c>
      <c r="K153">
        <v>607</v>
      </c>
      <c r="L153" t="s">
        <v>55</v>
      </c>
      <c r="M153">
        <v>0</v>
      </c>
      <c r="N153" t="s">
        <v>36</v>
      </c>
      <c r="O153">
        <v>0.1</v>
      </c>
      <c r="P153" t="s">
        <v>59</v>
      </c>
      <c r="Q153">
        <v>11236</v>
      </c>
      <c r="R153">
        <v>8775</v>
      </c>
      <c r="S153" t="s">
        <v>44</v>
      </c>
      <c r="T153">
        <v>8273</v>
      </c>
      <c r="U153" t="s">
        <v>57</v>
      </c>
      <c r="V153">
        <v>60</v>
      </c>
      <c r="W153">
        <v>5</v>
      </c>
      <c r="X153" t="s">
        <v>37</v>
      </c>
      <c r="Y153" t="s">
        <v>45</v>
      </c>
      <c r="Z153" t="s">
        <v>33</v>
      </c>
      <c r="AA153" t="s">
        <v>34</v>
      </c>
      <c r="AB153" t="s">
        <v>35</v>
      </c>
      <c r="AC153" t="s">
        <v>36</v>
      </c>
    </row>
    <row r="154" spans="1:29" x14ac:dyDescent="0.25">
      <c r="A154">
        <v>161</v>
      </c>
      <c r="B154">
        <v>10004</v>
      </c>
      <c r="C154">
        <v>8230</v>
      </c>
      <c r="D154">
        <v>18234</v>
      </c>
      <c r="E154" t="s">
        <v>49</v>
      </c>
      <c r="F154">
        <v>44</v>
      </c>
      <c r="G154" t="s">
        <v>65</v>
      </c>
      <c r="H154" t="s">
        <v>30</v>
      </c>
      <c r="I154">
        <v>3</v>
      </c>
      <c r="J154" t="s">
        <v>58</v>
      </c>
      <c r="K154">
        <v>627</v>
      </c>
      <c r="L154" t="s">
        <v>55</v>
      </c>
      <c r="M154">
        <v>4</v>
      </c>
      <c r="N154" t="s">
        <v>44</v>
      </c>
      <c r="O154">
        <v>0.14000000000000001</v>
      </c>
      <c r="P154" t="s">
        <v>59</v>
      </c>
      <c r="Q154">
        <v>14104</v>
      </c>
      <c r="R154">
        <v>29655</v>
      </c>
      <c r="S154" t="s">
        <v>44</v>
      </c>
      <c r="T154">
        <v>11033</v>
      </c>
      <c r="U154" t="s">
        <v>57</v>
      </c>
      <c r="V154">
        <v>72</v>
      </c>
      <c r="W154">
        <v>6</v>
      </c>
      <c r="X154" t="s">
        <v>50</v>
      </c>
      <c r="Y154" t="s">
        <v>32</v>
      </c>
      <c r="Z154" t="s">
        <v>39</v>
      </c>
      <c r="AA154" t="s">
        <v>40</v>
      </c>
      <c r="AB154" t="s">
        <v>35</v>
      </c>
      <c r="AC154" t="s">
        <v>36</v>
      </c>
    </row>
    <row r="155" spans="1:29" x14ac:dyDescent="0.25">
      <c r="A155">
        <v>162</v>
      </c>
      <c r="B155">
        <v>9777</v>
      </c>
      <c r="C155">
        <v>7694</v>
      </c>
      <c r="D155">
        <v>17471</v>
      </c>
      <c r="E155" t="s">
        <v>29</v>
      </c>
      <c r="F155">
        <v>47</v>
      </c>
      <c r="G155" t="s">
        <v>53</v>
      </c>
      <c r="H155" t="s">
        <v>30</v>
      </c>
      <c r="I155">
        <v>3</v>
      </c>
      <c r="J155" t="s">
        <v>58</v>
      </c>
      <c r="K155">
        <v>624</v>
      </c>
      <c r="L155" t="s">
        <v>55</v>
      </c>
      <c r="M155">
        <v>1</v>
      </c>
      <c r="N155" t="s">
        <v>44</v>
      </c>
      <c r="O155">
        <v>0.54</v>
      </c>
      <c r="P155" t="s">
        <v>56</v>
      </c>
      <c r="Q155">
        <v>6616</v>
      </c>
      <c r="R155">
        <v>47632</v>
      </c>
      <c r="S155" t="s">
        <v>44</v>
      </c>
      <c r="T155">
        <v>4535</v>
      </c>
      <c r="U155" t="s">
        <v>73</v>
      </c>
      <c r="V155">
        <v>72</v>
      </c>
      <c r="W155">
        <v>6</v>
      </c>
      <c r="X155" t="s">
        <v>37</v>
      </c>
      <c r="Y155" t="s">
        <v>32</v>
      </c>
      <c r="Z155" t="s">
        <v>39</v>
      </c>
      <c r="AA155" t="s">
        <v>40</v>
      </c>
      <c r="AB155" t="s">
        <v>48</v>
      </c>
      <c r="AC155" t="s">
        <v>36</v>
      </c>
    </row>
    <row r="156" spans="1:29" x14ac:dyDescent="0.25">
      <c r="A156">
        <v>163</v>
      </c>
      <c r="B156">
        <v>2197</v>
      </c>
      <c r="C156">
        <v>6640</v>
      </c>
      <c r="D156">
        <v>8837</v>
      </c>
      <c r="E156" t="s">
        <v>29</v>
      </c>
      <c r="F156">
        <v>56</v>
      </c>
      <c r="G156" t="s">
        <v>69</v>
      </c>
      <c r="H156" t="s">
        <v>30</v>
      </c>
      <c r="I156">
        <v>3</v>
      </c>
      <c r="J156" t="s">
        <v>58</v>
      </c>
      <c r="K156">
        <v>550</v>
      </c>
      <c r="L156" t="s">
        <v>66</v>
      </c>
      <c r="M156">
        <v>0</v>
      </c>
      <c r="N156" t="s">
        <v>36</v>
      </c>
      <c r="O156">
        <v>0.14000000000000001</v>
      </c>
      <c r="P156" t="s">
        <v>59</v>
      </c>
      <c r="Q156">
        <v>17376</v>
      </c>
      <c r="R156">
        <v>14193</v>
      </c>
      <c r="S156" t="s">
        <v>44</v>
      </c>
      <c r="T156">
        <v>19677</v>
      </c>
      <c r="U156" t="s">
        <v>57</v>
      </c>
      <c r="V156">
        <v>84</v>
      </c>
      <c r="W156">
        <v>7</v>
      </c>
      <c r="X156" t="s">
        <v>50</v>
      </c>
      <c r="Y156" t="s">
        <v>45</v>
      </c>
      <c r="Z156" t="s">
        <v>33</v>
      </c>
      <c r="AA156" t="s">
        <v>40</v>
      </c>
      <c r="AB156" t="s">
        <v>35</v>
      </c>
      <c r="AC156" t="s">
        <v>36</v>
      </c>
    </row>
    <row r="157" spans="1:29" x14ac:dyDescent="0.25">
      <c r="A157">
        <v>164</v>
      </c>
      <c r="B157">
        <v>3930</v>
      </c>
      <c r="C157">
        <v>5468</v>
      </c>
      <c r="D157">
        <v>9398</v>
      </c>
      <c r="E157" t="s">
        <v>46</v>
      </c>
      <c r="F157">
        <v>54</v>
      </c>
      <c r="G157" t="s">
        <v>53</v>
      </c>
      <c r="H157" t="s">
        <v>30</v>
      </c>
      <c r="I157">
        <v>0</v>
      </c>
      <c r="J157" t="s">
        <v>54</v>
      </c>
      <c r="K157">
        <v>715</v>
      </c>
      <c r="L157" t="s">
        <v>63</v>
      </c>
      <c r="M157">
        <v>2</v>
      </c>
      <c r="N157" t="s">
        <v>44</v>
      </c>
      <c r="O157">
        <v>0.45</v>
      </c>
      <c r="P157" t="s">
        <v>70</v>
      </c>
      <c r="Q157">
        <v>4370</v>
      </c>
      <c r="R157">
        <v>14676</v>
      </c>
      <c r="S157" t="s">
        <v>44</v>
      </c>
      <c r="T157">
        <v>18488</v>
      </c>
      <c r="U157" t="s">
        <v>57</v>
      </c>
      <c r="V157">
        <v>36</v>
      </c>
      <c r="W157">
        <v>3</v>
      </c>
      <c r="X157" t="s">
        <v>50</v>
      </c>
      <c r="Y157" t="s">
        <v>38</v>
      </c>
      <c r="Z157" t="s">
        <v>39</v>
      </c>
      <c r="AA157" t="s">
        <v>40</v>
      </c>
      <c r="AB157" t="s">
        <v>35</v>
      </c>
      <c r="AC157" t="s">
        <v>36</v>
      </c>
    </row>
    <row r="158" spans="1:29" x14ac:dyDescent="0.25">
      <c r="A158">
        <v>165</v>
      </c>
      <c r="B158">
        <v>13774</v>
      </c>
      <c r="C158">
        <v>920</v>
      </c>
      <c r="D158">
        <v>14694</v>
      </c>
      <c r="E158" t="s">
        <v>29</v>
      </c>
      <c r="F158">
        <v>49</v>
      </c>
      <c r="G158" t="s">
        <v>53</v>
      </c>
      <c r="H158" t="s">
        <v>30</v>
      </c>
      <c r="I158">
        <v>3</v>
      </c>
      <c r="J158" t="s">
        <v>58</v>
      </c>
      <c r="K158">
        <v>617</v>
      </c>
      <c r="L158" t="s">
        <v>55</v>
      </c>
      <c r="M158">
        <v>0</v>
      </c>
      <c r="N158" t="s">
        <v>36</v>
      </c>
      <c r="O158">
        <v>0.56000000000000005</v>
      </c>
      <c r="P158" t="s">
        <v>56</v>
      </c>
      <c r="Q158">
        <v>18157</v>
      </c>
      <c r="R158">
        <v>30776</v>
      </c>
      <c r="S158" t="s">
        <v>44</v>
      </c>
      <c r="T158">
        <v>1908</v>
      </c>
      <c r="U158" t="s">
        <v>73</v>
      </c>
      <c r="V158">
        <v>60</v>
      </c>
      <c r="W158">
        <v>5</v>
      </c>
      <c r="X158" t="s">
        <v>47</v>
      </c>
      <c r="Y158" t="s">
        <v>45</v>
      </c>
      <c r="Z158" t="s">
        <v>33</v>
      </c>
      <c r="AA158" t="s">
        <v>34</v>
      </c>
      <c r="AB158" t="s">
        <v>43</v>
      </c>
      <c r="AC158" t="s">
        <v>36</v>
      </c>
    </row>
    <row r="159" spans="1:29" x14ac:dyDescent="0.25">
      <c r="A159">
        <v>166</v>
      </c>
      <c r="B159">
        <v>17087</v>
      </c>
      <c r="C159">
        <v>7564</v>
      </c>
      <c r="D159">
        <v>24651</v>
      </c>
      <c r="E159" t="s">
        <v>29</v>
      </c>
      <c r="F159">
        <v>44</v>
      </c>
      <c r="G159" t="s">
        <v>65</v>
      </c>
      <c r="H159" t="s">
        <v>30</v>
      </c>
      <c r="I159">
        <v>3</v>
      </c>
      <c r="J159" t="s">
        <v>58</v>
      </c>
      <c r="K159">
        <v>550</v>
      </c>
      <c r="L159" t="s">
        <v>66</v>
      </c>
      <c r="M159">
        <v>2</v>
      </c>
      <c r="N159" t="s">
        <v>44</v>
      </c>
      <c r="O159">
        <v>0.24</v>
      </c>
      <c r="P159" t="s">
        <v>59</v>
      </c>
      <c r="Q159">
        <v>19945</v>
      </c>
      <c r="R159">
        <v>43225</v>
      </c>
      <c r="S159" t="s">
        <v>44</v>
      </c>
      <c r="T159">
        <v>5617</v>
      </c>
      <c r="U159" t="s">
        <v>57</v>
      </c>
      <c r="V159">
        <v>48</v>
      </c>
      <c r="W159">
        <v>4</v>
      </c>
      <c r="X159" t="s">
        <v>47</v>
      </c>
      <c r="Y159" t="s">
        <v>32</v>
      </c>
      <c r="Z159" t="s">
        <v>39</v>
      </c>
      <c r="AA159" t="s">
        <v>34</v>
      </c>
      <c r="AB159" t="s">
        <v>42</v>
      </c>
      <c r="AC159" t="s">
        <v>44</v>
      </c>
    </row>
    <row r="160" spans="1:29" x14ac:dyDescent="0.25">
      <c r="A160">
        <v>168</v>
      </c>
      <c r="B160">
        <v>13589</v>
      </c>
      <c r="C160">
        <v>9323</v>
      </c>
      <c r="D160">
        <v>22912</v>
      </c>
      <c r="E160" t="s">
        <v>29</v>
      </c>
      <c r="F160">
        <v>24</v>
      </c>
      <c r="G160" t="s">
        <v>72</v>
      </c>
      <c r="H160" t="s">
        <v>41</v>
      </c>
      <c r="I160">
        <v>3</v>
      </c>
      <c r="J160" t="s">
        <v>58</v>
      </c>
      <c r="K160">
        <v>620</v>
      </c>
      <c r="L160" t="s">
        <v>55</v>
      </c>
      <c r="M160">
        <v>1</v>
      </c>
      <c r="N160" t="s">
        <v>44</v>
      </c>
      <c r="O160">
        <v>0.38</v>
      </c>
      <c r="P160" t="s">
        <v>67</v>
      </c>
      <c r="Q160">
        <v>1756</v>
      </c>
      <c r="R160">
        <v>48812</v>
      </c>
      <c r="S160" t="s">
        <v>44</v>
      </c>
      <c r="T160">
        <v>24453</v>
      </c>
      <c r="U160" t="s">
        <v>64</v>
      </c>
      <c r="V160">
        <v>24</v>
      </c>
      <c r="W160">
        <v>2</v>
      </c>
      <c r="X160" t="s">
        <v>37</v>
      </c>
      <c r="Y160" t="s">
        <v>45</v>
      </c>
      <c r="Z160" t="s">
        <v>33</v>
      </c>
      <c r="AA160" t="s">
        <v>40</v>
      </c>
      <c r="AB160" t="s">
        <v>35</v>
      </c>
      <c r="AC160" t="s">
        <v>36</v>
      </c>
    </row>
    <row r="161" spans="1:29" x14ac:dyDescent="0.25">
      <c r="A161">
        <v>169</v>
      </c>
      <c r="B161">
        <v>17708</v>
      </c>
      <c r="C161">
        <v>8502</v>
      </c>
      <c r="D161">
        <v>26210</v>
      </c>
      <c r="E161" t="s">
        <v>29</v>
      </c>
      <c r="F161">
        <v>23</v>
      </c>
      <c r="G161" t="s">
        <v>72</v>
      </c>
      <c r="H161" t="s">
        <v>30</v>
      </c>
      <c r="I161">
        <v>0</v>
      </c>
      <c r="J161" t="s">
        <v>54</v>
      </c>
      <c r="K161">
        <v>605</v>
      </c>
      <c r="L161" t="s">
        <v>55</v>
      </c>
      <c r="M161">
        <v>2</v>
      </c>
      <c r="N161" t="s">
        <v>44</v>
      </c>
      <c r="O161">
        <v>0.54</v>
      </c>
      <c r="P161" t="s">
        <v>56</v>
      </c>
      <c r="Q161">
        <v>2373</v>
      </c>
      <c r="R161">
        <v>15066</v>
      </c>
      <c r="S161" t="s">
        <v>44</v>
      </c>
      <c r="T161">
        <v>36079</v>
      </c>
      <c r="U161" t="s">
        <v>60</v>
      </c>
      <c r="V161">
        <v>24</v>
      </c>
      <c r="W161">
        <v>2</v>
      </c>
      <c r="X161" t="s">
        <v>42</v>
      </c>
      <c r="Y161" t="s">
        <v>32</v>
      </c>
      <c r="Z161" t="s">
        <v>39</v>
      </c>
      <c r="AA161" t="s">
        <v>40</v>
      </c>
      <c r="AB161" t="s">
        <v>48</v>
      </c>
      <c r="AC161" t="s">
        <v>36</v>
      </c>
    </row>
    <row r="162" spans="1:29" x14ac:dyDescent="0.25">
      <c r="A162">
        <v>170</v>
      </c>
      <c r="B162">
        <v>19043</v>
      </c>
      <c r="C162">
        <v>8930</v>
      </c>
      <c r="D162">
        <v>27973</v>
      </c>
      <c r="E162" t="s">
        <v>29</v>
      </c>
      <c r="F162">
        <v>54</v>
      </c>
      <c r="G162" t="s">
        <v>53</v>
      </c>
      <c r="H162" t="s">
        <v>41</v>
      </c>
      <c r="I162">
        <v>0</v>
      </c>
      <c r="J162" t="s">
        <v>54</v>
      </c>
      <c r="K162">
        <v>654</v>
      </c>
      <c r="L162" t="s">
        <v>55</v>
      </c>
      <c r="M162">
        <v>3</v>
      </c>
      <c r="N162" t="s">
        <v>44</v>
      </c>
      <c r="O162">
        <v>0.35</v>
      </c>
      <c r="P162" t="s">
        <v>67</v>
      </c>
      <c r="Q162">
        <v>2576</v>
      </c>
      <c r="R162">
        <v>18895</v>
      </c>
      <c r="S162" t="s">
        <v>44</v>
      </c>
      <c r="T162">
        <v>17020</v>
      </c>
      <c r="U162" t="s">
        <v>57</v>
      </c>
      <c r="V162">
        <v>48</v>
      </c>
      <c r="W162">
        <v>4</v>
      </c>
      <c r="X162" t="s">
        <v>50</v>
      </c>
      <c r="Y162" t="s">
        <v>45</v>
      </c>
      <c r="Z162" t="s">
        <v>39</v>
      </c>
      <c r="AA162" t="s">
        <v>34</v>
      </c>
      <c r="AB162" t="s">
        <v>42</v>
      </c>
      <c r="AC162" t="s">
        <v>36</v>
      </c>
    </row>
    <row r="163" spans="1:29" x14ac:dyDescent="0.25">
      <c r="A163">
        <v>171</v>
      </c>
      <c r="B163">
        <v>4811</v>
      </c>
      <c r="C163">
        <v>3241</v>
      </c>
      <c r="D163">
        <v>8052</v>
      </c>
      <c r="E163" t="s">
        <v>29</v>
      </c>
      <c r="F163">
        <v>43</v>
      </c>
      <c r="G163" t="s">
        <v>65</v>
      </c>
      <c r="H163" t="s">
        <v>41</v>
      </c>
      <c r="I163">
        <v>0</v>
      </c>
      <c r="J163" t="s">
        <v>54</v>
      </c>
      <c r="K163">
        <v>749</v>
      </c>
      <c r="L163" t="s">
        <v>71</v>
      </c>
      <c r="M163">
        <v>1</v>
      </c>
      <c r="N163" t="s">
        <v>44</v>
      </c>
      <c r="O163">
        <v>0.47</v>
      </c>
      <c r="P163" t="s">
        <v>70</v>
      </c>
      <c r="Q163">
        <v>4184</v>
      </c>
      <c r="R163">
        <v>246</v>
      </c>
      <c r="S163" t="s">
        <v>44</v>
      </c>
      <c r="T163">
        <v>27562</v>
      </c>
      <c r="U163" t="s">
        <v>64</v>
      </c>
      <c r="V163">
        <v>12</v>
      </c>
      <c r="W163">
        <v>1</v>
      </c>
      <c r="X163" t="s">
        <v>31</v>
      </c>
      <c r="Y163" t="s">
        <v>32</v>
      </c>
      <c r="Z163" t="s">
        <v>33</v>
      </c>
      <c r="AA163" t="s">
        <v>40</v>
      </c>
      <c r="AB163" t="s">
        <v>51</v>
      </c>
      <c r="AC163" t="s">
        <v>36</v>
      </c>
    </row>
    <row r="164" spans="1:29" x14ac:dyDescent="0.25">
      <c r="A164">
        <v>172</v>
      </c>
      <c r="B164">
        <v>16243</v>
      </c>
      <c r="C164">
        <v>545</v>
      </c>
      <c r="D164">
        <v>16788</v>
      </c>
      <c r="E164" t="s">
        <v>49</v>
      </c>
      <c r="F164">
        <v>43</v>
      </c>
      <c r="G164" t="s">
        <v>65</v>
      </c>
      <c r="H164" t="s">
        <v>30</v>
      </c>
      <c r="I164">
        <v>1</v>
      </c>
      <c r="J164" t="s">
        <v>68</v>
      </c>
      <c r="K164">
        <v>650</v>
      </c>
      <c r="L164" t="s">
        <v>55</v>
      </c>
      <c r="M164">
        <v>2</v>
      </c>
      <c r="N164" t="s">
        <v>44</v>
      </c>
      <c r="O164">
        <v>0.14000000000000001</v>
      </c>
      <c r="P164" t="s">
        <v>59</v>
      </c>
      <c r="Q164">
        <v>2397</v>
      </c>
      <c r="R164">
        <v>21209</v>
      </c>
      <c r="S164" t="s">
        <v>44</v>
      </c>
      <c r="T164">
        <v>25373</v>
      </c>
      <c r="U164" t="s">
        <v>64</v>
      </c>
      <c r="V164">
        <v>12</v>
      </c>
      <c r="W164">
        <v>1</v>
      </c>
      <c r="X164" t="s">
        <v>47</v>
      </c>
      <c r="Y164" t="s">
        <v>38</v>
      </c>
      <c r="Z164" t="s">
        <v>39</v>
      </c>
      <c r="AA164" t="s">
        <v>34</v>
      </c>
      <c r="AB164" t="s">
        <v>35</v>
      </c>
      <c r="AC164" t="s">
        <v>36</v>
      </c>
    </row>
    <row r="165" spans="1:29" x14ac:dyDescent="0.25">
      <c r="A165">
        <v>173</v>
      </c>
      <c r="B165">
        <v>8546</v>
      </c>
      <c r="C165">
        <v>4346</v>
      </c>
      <c r="D165">
        <v>12892</v>
      </c>
      <c r="E165" t="s">
        <v>46</v>
      </c>
      <c r="F165">
        <v>25</v>
      </c>
      <c r="G165" t="s">
        <v>61</v>
      </c>
      <c r="H165" t="s">
        <v>41</v>
      </c>
      <c r="I165">
        <v>0</v>
      </c>
      <c r="J165" t="s">
        <v>54</v>
      </c>
      <c r="K165">
        <v>600</v>
      </c>
      <c r="L165" t="s">
        <v>55</v>
      </c>
      <c r="M165">
        <v>0</v>
      </c>
      <c r="N165" t="s">
        <v>36</v>
      </c>
      <c r="O165">
        <v>0.43</v>
      </c>
      <c r="P165" t="s">
        <v>70</v>
      </c>
      <c r="Q165">
        <v>12674</v>
      </c>
      <c r="R165">
        <v>39284</v>
      </c>
      <c r="S165" t="s">
        <v>44</v>
      </c>
      <c r="T165">
        <v>31164</v>
      </c>
      <c r="U165" t="s">
        <v>64</v>
      </c>
      <c r="V165">
        <v>24</v>
      </c>
      <c r="W165">
        <v>2</v>
      </c>
      <c r="X165" t="s">
        <v>37</v>
      </c>
      <c r="Y165" t="s">
        <v>32</v>
      </c>
      <c r="Z165" t="s">
        <v>39</v>
      </c>
      <c r="AA165" t="s">
        <v>34</v>
      </c>
      <c r="AB165" t="s">
        <v>35</v>
      </c>
      <c r="AC165" t="s">
        <v>36</v>
      </c>
    </row>
    <row r="166" spans="1:29" x14ac:dyDescent="0.25">
      <c r="A166">
        <v>174</v>
      </c>
      <c r="B166">
        <v>3986</v>
      </c>
      <c r="C166">
        <v>9996</v>
      </c>
      <c r="D166">
        <v>13982</v>
      </c>
      <c r="E166" t="s">
        <v>49</v>
      </c>
      <c r="F166">
        <v>51</v>
      </c>
      <c r="G166" t="s">
        <v>53</v>
      </c>
      <c r="H166" t="s">
        <v>30</v>
      </c>
      <c r="I166">
        <v>2</v>
      </c>
      <c r="J166" t="s">
        <v>62</v>
      </c>
      <c r="K166">
        <v>623</v>
      </c>
      <c r="L166" t="s">
        <v>55</v>
      </c>
      <c r="M166">
        <v>2</v>
      </c>
      <c r="N166" t="s">
        <v>44</v>
      </c>
      <c r="O166">
        <v>0.31</v>
      </c>
      <c r="P166" t="s">
        <v>67</v>
      </c>
      <c r="Q166">
        <v>10326</v>
      </c>
      <c r="R166">
        <v>16800</v>
      </c>
      <c r="S166" t="s">
        <v>44</v>
      </c>
      <c r="T166">
        <v>2885</v>
      </c>
      <c r="U166" t="s">
        <v>73</v>
      </c>
      <c r="V166">
        <v>84</v>
      </c>
      <c r="W166">
        <v>7</v>
      </c>
      <c r="X166" t="s">
        <v>37</v>
      </c>
      <c r="Y166" t="s">
        <v>32</v>
      </c>
      <c r="Z166" t="s">
        <v>33</v>
      </c>
      <c r="AA166" t="s">
        <v>34</v>
      </c>
      <c r="AB166" t="s">
        <v>35</v>
      </c>
      <c r="AC166" t="s">
        <v>36</v>
      </c>
    </row>
    <row r="167" spans="1:29" x14ac:dyDescent="0.25">
      <c r="A167">
        <v>175</v>
      </c>
      <c r="B167">
        <v>10338</v>
      </c>
      <c r="C167">
        <v>3810</v>
      </c>
      <c r="D167">
        <v>14148</v>
      </c>
      <c r="E167" t="s">
        <v>29</v>
      </c>
      <c r="F167">
        <v>26</v>
      </c>
      <c r="G167" t="s">
        <v>61</v>
      </c>
      <c r="H167" t="s">
        <v>41</v>
      </c>
      <c r="I167">
        <v>3</v>
      </c>
      <c r="J167" t="s">
        <v>58</v>
      </c>
      <c r="K167">
        <v>720</v>
      </c>
      <c r="L167" t="s">
        <v>63</v>
      </c>
      <c r="M167">
        <v>2</v>
      </c>
      <c r="N167" t="s">
        <v>44</v>
      </c>
      <c r="O167">
        <v>0.34</v>
      </c>
      <c r="P167" t="s">
        <v>67</v>
      </c>
      <c r="Q167">
        <v>10546</v>
      </c>
      <c r="R167">
        <v>46110</v>
      </c>
      <c r="S167" t="s">
        <v>44</v>
      </c>
      <c r="T167">
        <v>2049</v>
      </c>
      <c r="U167" t="s">
        <v>73</v>
      </c>
      <c r="V167">
        <v>84</v>
      </c>
      <c r="W167">
        <v>7</v>
      </c>
      <c r="X167" t="s">
        <v>37</v>
      </c>
      <c r="Y167" t="s">
        <v>38</v>
      </c>
      <c r="Z167" t="s">
        <v>39</v>
      </c>
      <c r="AA167" t="s">
        <v>40</v>
      </c>
      <c r="AB167" t="s">
        <v>35</v>
      </c>
      <c r="AC167" t="s">
        <v>44</v>
      </c>
    </row>
    <row r="168" spans="1:29" x14ac:dyDescent="0.25">
      <c r="A168">
        <v>176</v>
      </c>
      <c r="B168">
        <v>13411</v>
      </c>
      <c r="C168">
        <v>7206</v>
      </c>
      <c r="D168">
        <v>20617</v>
      </c>
      <c r="E168" t="s">
        <v>29</v>
      </c>
      <c r="F168">
        <v>57</v>
      </c>
      <c r="G168" t="s">
        <v>69</v>
      </c>
      <c r="H168" t="s">
        <v>41</v>
      </c>
      <c r="I168">
        <v>1</v>
      </c>
      <c r="J168" t="s">
        <v>68</v>
      </c>
      <c r="K168">
        <v>670</v>
      </c>
      <c r="L168" t="s">
        <v>55</v>
      </c>
      <c r="M168">
        <v>4</v>
      </c>
      <c r="N168" t="s">
        <v>44</v>
      </c>
      <c r="O168">
        <v>0.12</v>
      </c>
      <c r="P168" t="s">
        <v>59</v>
      </c>
      <c r="Q168">
        <v>4535</v>
      </c>
      <c r="R168">
        <v>0</v>
      </c>
      <c r="S168" t="s">
        <v>36</v>
      </c>
      <c r="T168">
        <v>2161</v>
      </c>
      <c r="U168" t="s">
        <v>73</v>
      </c>
      <c r="V168">
        <v>48</v>
      </c>
      <c r="W168">
        <v>4</v>
      </c>
      <c r="X168" t="s">
        <v>31</v>
      </c>
      <c r="Y168" t="s">
        <v>32</v>
      </c>
      <c r="Z168" t="s">
        <v>33</v>
      </c>
      <c r="AA168" t="s">
        <v>34</v>
      </c>
      <c r="AB168" t="s">
        <v>35</v>
      </c>
      <c r="AC168" t="s">
        <v>44</v>
      </c>
    </row>
    <row r="169" spans="1:29" x14ac:dyDescent="0.25">
      <c r="A169">
        <v>177</v>
      </c>
      <c r="B169">
        <v>4911</v>
      </c>
      <c r="C169">
        <v>9005</v>
      </c>
      <c r="D169">
        <v>13916</v>
      </c>
      <c r="E169" t="s">
        <v>49</v>
      </c>
      <c r="F169">
        <v>30</v>
      </c>
      <c r="G169" t="s">
        <v>61</v>
      </c>
      <c r="H169" t="s">
        <v>30</v>
      </c>
      <c r="I169">
        <v>0</v>
      </c>
      <c r="J169" t="s">
        <v>54</v>
      </c>
      <c r="K169">
        <v>692</v>
      </c>
      <c r="L169" t="s">
        <v>63</v>
      </c>
      <c r="M169">
        <v>1</v>
      </c>
      <c r="N169" t="s">
        <v>44</v>
      </c>
      <c r="O169">
        <v>0.2</v>
      </c>
      <c r="P169" t="s">
        <v>59</v>
      </c>
      <c r="Q169">
        <v>14599</v>
      </c>
      <c r="R169">
        <v>20101</v>
      </c>
      <c r="S169" t="s">
        <v>44</v>
      </c>
      <c r="T169">
        <v>1815</v>
      </c>
      <c r="U169" t="s">
        <v>73</v>
      </c>
      <c r="V169">
        <v>12</v>
      </c>
      <c r="W169">
        <v>1</v>
      </c>
      <c r="X169" t="s">
        <v>31</v>
      </c>
      <c r="Y169" t="s">
        <v>32</v>
      </c>
      <c r="Z169" t="s">
        <v>33</v>
      </c>
      <c r="AA169" t="s">
        <v>34</v>
      </c>
      <c r="AB169" t="s">
        <v>35</v>
      </c>
      <c r="AC169" t="s">
        <v>44</v>
      </c>
    </row>
    <row r="170" spans="1:29" x14ac:dyDescent="0.25">
      <c r="A170">
        <v>178</v>
      </c>
      <c r="B170">
        <v>3734</v>
      </c>
      <c r="C170">
        <v>0</v>
      </c>
      <c r="D170">
        <v>3734</v>
      </c>
      <c r="E170" t="s">
        <v>29</v>
      </c>
      <c r="F170">
        <v>27</v>
      </c>
      <c r="G170" t="s">
        <v>61</v>
      </c>
      <c r="H170" t="s">
        <v>30</v>
      </c>
      <c r="I170">
        <v>0</v>
      </c>
      <c r="J170" t="s">
        <v>54</v>
      </c>
      <c r="K170">
        <v>715</v>
      </c>
      <c r="L170" t="s">
        <v>63</v>
      </c>
      <c r="M170">
        <v>3</v>
      </c>
      <c r="N170" t="s">
        <v>44</v>
      </c>
      <c r="O170">
        <v>0.5</v>
      </c>
      <c r="P170" t="s">
        <v>70</v>
      </c>
      <c r="Q170">
        <v>0</v>
      </c>
      <c r="R170">
        <v>16491</v>
      </c>
      <c r="S170" t="s">
        <v>44</v>
      </c>
      <c r="T170">
        <v>37534</v>
      </c>
      <c r="U170" t="s">
        <v>60</v>
      </c>
      <c r="V170">
        <v>60</v>
      </c>
      <c r="W170">
        <v>5</v>
      </c>
      <c r="X170" t="s">
        <v>47</v>
      </c>
      <c r="Y170" t="s">
        <v>38</v>
      </c>
      <c r="Z170" t="s">
        <v>39</v>
      </c>
      <c r="AA170" t="s">
        <v>40</v>
      </c>
      <c r="AB170" t="s">
        <v>43</v>
      </c>
      <c r="AC170" t="s">
        <v>36</v>
      </c>
    </row>
    <row r="171" spans="1:29" x14ac:dyDescent="0.25">
      <c r="A171">
        <v>179</v>
      </c>
      <c r="B171">
        <v>10680</v>
      </c>
      <c r="C171">
        <v>0</v>
      </c>
      <c r="D171">
        <v>10680</v>
      </c>
      <c r="E171" t="s">
        <v>29</v>
      </c>
      <c r="F171">
        <v>59</v>
      </c>
      <c r="G171" t="s">
        <v>69</v>
      </c>
      <c r="H171" t="s">
        <v>30</v>
      </c>
      <c r="I171">
        <v>1</v>
      </c>
      <c r="J171" t="s">
        <v>68</v>
      </c>
      <c r="K171">
        <v>692</v>
      </c>
      <c r="L171" t="s">
        <v>63</v>
      </c>
      <c r="M171">
        <v>3</v>
      </c>
      <c r="N171" t="s">
        <v>44</v>
      </c>
      <c r="O171">
        <v>0.35</v>
      </c>
      <c r="P171" t="s">
        <v>67</v>
      </c>
      <c r="Q171">
        <v>17118</v>
      </c>
      <c r="R171">
        <v>27207</v>
      </c>
      <c r="S171" t="s">
        <v>44</v>
      </c>
      <c r="T171">
        <v>28498</v>
      </c>
      <c r="U171" t="s">
        <v>64</v>
      </c>
      <c r="V171">
        <v>24</v>
      </c>
      <c r="W171">
        <v>2</v>
      </c>
      <c r="X171" t="s">
        <v>31</v>
      </c>
      <c r="Y171" t="s">
        <v>32</v>
      </c>
      <c r="Z171" t="s">
        <v>39</v>
      </c>
      <c r="AA171" t="s">
        <v>34</v>
      </c>
      <c r="AB171" t="s">
        <v>42</v>
      </c>
      <c r="AC171" t="s">
        <v>44</v>
      </c>
    </row>
    <row r="172" spans="1:29" x14ac:dyDescent="0.25">
      <c r="A172">
        <v>180</v>
      </c>
      <c r="B172">
        <v>7759</v>
      </c>
      <c r="C172">
        <v>271</v>
      </c>
      <c r="D172">
        <v>8030</v>
      </c>
      <c r="E172" t="s">
        <v>46</v>
      </c>
      <c r="F172">
        <v>58</v>
      </c>
      <c r="G172" t="s">
        <v>69</v>
      </c>
      <c r="H172" t="s">
        <v>41</v>
      </c>
      <c r="I172">
        <v>1</v>
      </c>
      <c r="J172" t="s">
        <v>68</v>
      </c>
      <c r="K172">
        <v>554</v>
      </c>
      <c r="L172" t="s">
        <v>66</v>
      </c>
      <c r="M172">
        <v>4</v>
      </c>
      <c r="N172" t="s">
        <v>44</v>
      </c>
      <c r="O172">
        <v>0.25</v>
      </c>
      <c r="P172" t="s">
        <v>59</v>
      </c>
      <c r="Q172">
        <v>632</v>
      </c>
      <c r="R172">
        <v>41798</v>
      </c>
      <c r="S172" t="s">
        <v>44</v>
      </c>
      <c r="T172">
        <v>26037</v>
      </c>
      <c r="U172" t="s">
        <v>64</v>
      </c>
      <c r="V172">
        <v>72</v>
      </c>
      <c r="W172">
        <v>6</v>
      </c>
      <c r="X172" t="s">
        <v>47</v>
      </c>
      <c r="Y172" t="s">
        <v>32</v>
      </c>
      <c r="Z172" t="s">
        <v>33</v>
      </c>
      <c r="AA172" t="s">
        <v>40</v>
      </c>
      <c r="AB172" t="s">
        <v>51</v>
      </c>
      <c r="AC172" t="s">
        <v>36</v>
      </c>
    </row>
    <row r="173" spans="1:29" x14ac:dyDescent="0.25">
      <c r="A173">
        <v>181</v>
      </c>
      <c r="B173">
        <v>4385</v>
      </c>
      <c r="C173">
        <v>3511</v>
      </c>
      <c r="D173">
        <v>7896</v>
      </c>
      <c r="E173" t="s">
        <v>46</v>
      </c>
      <c r="F173">
        <v>41</v>
      </c>
      <c r="G173" t="s">
        <v>65</v>
      </c>
      <c r="H173" t="s">
        <v>41</v>
      </c>
      <c r="I173">
        <v>1</v>
      </c>
      <c r="J173" t="s">
        <v>68</v>
      </c>
      <c r="K173">
        <v>770</v>
      </c>
      <c r="L173" t="s">
        <v>71</v>
      </c>
      <c r="M173">
        <v>0</v>
      </c>
      <c r="N173" t="s">
        <v>36</v>
      </c>
      <c r="O173">
        <v>0.28999999999999998</v>
      </c>
      <c r="P173" t="s">
        <v>59</v>
      </c>
      <c r="Q173">
        <v>13280</v>
      </c>
      <c r="R173">
        <v>20897</v>
      </c>
      <c r="S173" t="s">
        <v>44</v>
      </c>
      <c r="T173">
        <v>37007</v>
      </c>
      <c r="U173" t="s">
        <v>60</v>
      </c>
      <c r="V173">
        <v>60</v>
      </c>
      <c r="W173">
        <v>5</v>
      </c>
      <c r="X173" t="s">
        <v>31</v>
      </c>
      <c r="Y173" t="s">
        <v>32</v>
      </c>
      <c r="Z173" t="s">
        <v>39</v>
      </c>
      <c r="AA173" t="s">
        <v>40</v>
      </c>
      <c r="AB173" t="s">
        <v>35</v>
      </c>
      <c r="AC173" t="s">
        <v>36</v>
      </c>
    </row>
    <row r="174" spans="1:29" x14ac:dyDescent="0.25">
      <c r="A174">
        <v>182</v>
      </c>
      <c r="B174">
        <v>13111</v>
      </c>
      <c r="C174">
        <v>1771</v>
      </c>
      <c r="D174">
        <v>14882</v>
      </c>
      <c r="E174" t="s">
        <v>29</v>
      </c>
      <c r="F174">
        <v>40</v>
      </c>
      <c r="G174" t="s">
        <v>65</v>
      </c>
      <c r="H174" t="s">
        <v>30</v>
      </c>
      <c r="I174">
        <v>0</v>
      </c>
      <c r="J174" t="s">
        <v>54</v>
      </c>
      <c r="K174">
        <v>632</v>
      </c>
      <c r="L174" t="s">
        <v>55</v>
      </c>
      <c r="M174">
        <v>2</v>
      </c>
      <c r="N174" t="s">
        <v>44</v>
      </c>
      <c r="O174">
        <v>0.53</v>
      </c>
      <c r="P174" t="s">
        <v>56</v>
      </c>
      <c r="Q174">
        <v>14746</v>
      </c>
      <c r="R174">
        <v>29492</v>
      </c>
      <c r="S174" t="s">
        <v>44</v>
      </c>
      <c r="T174">
        <v>14942</v>
      </c>
      <c r="U174" t="s">
        <v>57</v>
      </c>
      <c r="V174">
        <v>48</v>
      </c>
      <c r="W174">
        <v>4</v>
      </c>
      <c r="X174" t="s">
        <v>31</v>
      </c>
      <c r="Y174" t="s">
        <v>32</v>
      </c>
      <c r="Z174" t="s">
        <v>39</v>
      </c>
      <c r="AA174" t="s">
        <v>34</v>
      </c>
      <c r="AB174" t="s">
        <v>43</v>
      </c>
      <c r="AC174" t="s">
        <v>36</v>
      </c>
    </row>
    <row r="175" spans="1:29" x14ac:dyDescent="0.25">
      <c r="A175">
        <v>183</v>
      </c>
      <c r="B175">
        <v>6736</v>
      </c>
      <c r="C175">
        <v>9454</v>
      </c>
      <c r="D175">
        <v>16190</v>
      </c>
      <c r="E175" t="s">
        <v>29</v>
      </c>
      <c r="F175">
        <v>40</v>
      </c>
      <c r="G175" t="s">
        <v>65</v>
      </c>
      <c r="H175" t="s">
        <v>30</v>
      </c>
      <c r="I175">
        <v>0</v>
      </c>
      <c r="J175" t="s">
        <v>54</v>
      </c>
      <c r="K175">
        <v>731</v>
      </c>
      <c r="L175" t="s">
        <v>63</v>
      </c>
      <c r="M175">
        <v>4</v>
      </c>
      <c r="N175" t="s">
        <v>44</v>
      </c>
      <c r="O175">
        <v>0.47</v>
      </c>
      <c r="P175" t="s">
        <v>70</v>
      </c>
      <c r="Q175">
        <v>4268</v>
      </c>
      <c r="R175">
        <v>1421</v>
      </c>
      <c r="S175" t="s">
        <v>44</v>
      </c>
      <c r="T175">
        <v>28278</v>
      </c>
      <c r="U175" t="s">
        <v>64</v>
      </c>
      <c r="V175">
        <v>72</v>
      </c>
      <c r="W175">
        <v>6</v>
      </c>
      <c r="X175" t="s">
        <v>31</v>
      </c>
      <c r="Y175" t="s">
        <v>32</v>
      </c>
      <c r="Z175" t="s">
        <v>39</v>
      </c>
      <c r="AA175" t="s">
        <v>34</v>
      </c>
      <c r="AB175" t="s">
        <v>35</v>
      </c>
      <c r="AC175" t="s">
        <v>36</v>
      </c>
    </row>
    <row r="176" spans="1:29" x14ac:dyDescent="0.25">
      <c r="A176">
        <v>184</v>
      </c>
      <c r="B176">
        <v>3802</v>
      </c>
      <c r="C176">
        <v>4361</v>
      </c>
      <c r="D176">
        <v>8163</v>
      </c>
      <c r="E176" t="s">
        <v>52</v>
      </c>
      <c r="F176">
        <v>42</v>
      </c>
      <c r="G176" t="s">
        <v>65</v>
      </c>
      <c r="H176" t="s">
        <v>30</v>
      </c>
      <c r="I176">
        <v>2</v>
      </c>
      <c r="J176" t="s">
        <v>62</v>
      </c>
      <c r="K176">
        <v>600</v>
      </c>
      <c r="L176" t="s">
        <v>55</v>
      </c>
      <c r="M176">
        <v>0</v>
      </c>
      <c r="N176" t="s">
        <v>36</v>
      </c>
      <c r="O176">
        <v>0.24</v>
      </c>
      <c r="P176" t="s">
        <v>59</v>
      </c>
      <c r="Q176">
        <v>19285</v>
      </c>
      <c r="R176">
        <v>32015</v>
      </c>
      <c r="S176" t="s">
        <v>44</v>
      </c>
      <c r="T176">
        <v>9272</v>
      </c>
      <c r="U176" t="s">
        <v>57</v>
      </c>
      <c r="V176">
        <v>60</v>
      </c>
      <c r="W176">
        <v>5</v>
      </c>
      <c r="X176" t="s">
        <v>47</v>
      </c>
      <c r="Y176" t="s">
        <v>45</v>
      </c>
      <c r="Z176" t="s">
        <v>39</v>
      </c>
      <c r="AA176" t="s">
        <v>34</v>
      </c>
      <c r="AB176" t="s">
        <v>43</v>
      </c>
      <c r="AC176" t="s">
        <v>36</v>
      </c>
    </row>
    <row r="177" spans="1:29" x14ac:dyDescent="0.25">
      <c r="A177">
        <v>185</v>
      </c>
      <c r="B177">
        <v>10155</v>
      </c>
      <c r="C177">
        <v>7069</v>
      </c>
      <c r="D177">
        <v>17224</v>
      </c>
      <c r="E177" t="s">
        <v>29</v>
      </c>
      <c r="F177">
        <v>40</v>
      </c>
      <c r="G177" t="s">
        <v>65</v>
      </c>
      <c r="H177" t="s">
        <v>30</v>
      </c>
      <c r="I177">
        <v>2</v>
      </c>
      <c r="J177" t="s">
        <v>62</v>
      </c>
      <c r="K177">
        <v>559</v>
      </c>
      <c r="L177" t="s">
        <v>66</v>
      </c>
      <c r="M177">
        <v>1</v>
      </c>
      <c r="N177" t="s">
        <v>44</v>
      </c>
      <c r="O177">
        <v>0.16</v>
      </c>
      <c r="P177" t="s">
        <v>59</v>
      </c>
      <c r="Q177">
        <v>18047</v>
      </c>
      <c r="R177">
        <v>12970</v>
      </c>
      <c r="S177" t="s">
        <v>44</v>
      </c>
      <c r="T177">
        <v>34637</v>
      </c>
      <c r="U177" t="s">
        <v>64</v>
      </c>
      <c r="V177">
        <v>12</v>
      </c>
      <c r="W177">
        <v>1</v>
      </c>
      <c r="X177" t="s">
        <v>50</v>
      </c>
      <c r="Y177" t="s">
        <v>45</v>
      </c>
      <c r="Z177" t="s">
        <v>39</v>
      </c>
      <c r="AA177" t="s">
        <v>40</v>
      </c>
      <c r="AB177" t="s">
        <v>43</v>
      </c>
      <c r="AC177" t="s">
        <v>36</v>
      </c>
    </row>
    <row r="178" spans="1:29" x14ac:dyDescent="0.25">
      <c r="A178">
        <v>186</v>
      </c>
      <c r="B178">
        <v>10120</v>
      </c>
      <c r="C178">
        <v>920</v>
      </c>
      <c r="D178">
        <v>11040</v>
      </c>
      <c r="E178" t="s">
        <v>46</v>
      </c>
      <c r="F178">
        <v>48</v>
      </c>
      <c r="G178" t="s">
        <v>53</v>
      </c>
      <c r="H178" t="s">
        <v>41</v>
      </c>
      <c r="I178">
        <v>3</v>
      </c>
      <c r="J178" t="s">
        <v>58</v>
      </c>
      <c r="K178">
        <v>689</v>
      </c>
      <c r="L178" t="s">
        <v>63</v>
      </c>
      <c r="M178">
        <v>1</v>
      </c>
      <c r="N178" t="s">
        <v>44</v>
      </c>
      <c r="O178">
        <v>0.23</v>
      </c>
      <c r="P178" t="s">
        <v>59</v>
      </c>
      <c r="Q178">
        <v>15321</v>
      </c>
      <c r="R178">
        <v>7283</v>
      </c>
      <c r="S178" t="s">
        <v>44</v>
      </c>
      <c r="T178">
        <v>39294</v>
      </c>
      <c r="U178" t="s">
        <v>60</v>
      </c>
      <c r="V178">
        <v>84</v>
      </c>
      <c r="W178">
        <v>7</v>
      </c>
      <c r="X178" t="s">
        <v>47</v>
      </c>
      <c r="Y178" t="s">
        <v>32</v>
      </c>
      <c r="Z178" t="s">
        <v>33</v>
      </c>
      <c r="AA178" t="s">
        <v>40</v>
      </c>
      <c r="AB178" t="s">
        <v>43</v>
      </c>
      <c r="AC178" t="s">
        <v>44</v>
      </c>
    </row>
    <row r="179" spans="1:29" x14ac:dyDescent="0.25">
      <c r="A179">
        <v>187</v>
      </c>
      <c r="B179">
        <v>8616</v>
      </c>
      <c r="C179">
        <v>8190</v>
      </c>
      <c r="D179">
        <v>16806</v>
      </c>
      <c r="E179" t="s">
        <v>49</v>
      </c>
      <c r="F179">
        <v>32</v>
      </c>
      <c r="G179" t="s">
        <v>61</v>
      </c>
      <c r="H179" t="s">
        <v>30</v>
      </c>
      <c r="I179">
        <v>0</v>
      </c>
      <c r="J179" t="s">
        <v>54</v>
      </c>
      <c r="K179">
        <v>795</v>
      </c>
      <c r="L179" t="s">
        <v>71</v>
      </c>
      <c r="M179">
        <v>1</v>
      </c>
      <c r="N179" t="s">
        <v>44</v>
      </c>
      <c r="O179">
        <v>0.56000000000000005</v>
      </c>
      <c r="P179" t="s">
        <v>56</v>
      </c>
      <c r="Q179">
        <v>10207</v>
      </c>
      <c r="R179">
        <v>28488</v>
      </c>
      <c r="S179" t="s">
        <v>44</v>
      </c>
      <c r="T179">
        <v>8741</v>
      </c>
      <c r="U179" t="s">
        <v>57</v>
      </c>
      <c r="V179">
        <v>12</v>
      </c>
      <c r="W179">
        <v>1</v>
      </c>
      <c r="X179" t="s">
        <v>50</v>
      </c>
      <c r="Y179" t="s">
        <v>32</v>
      </c>
      <c r="Z179" t="s">
        <v>33</v>
      </c>
      <c r="AA179" t="s">
        <v>34</v>
      </c>
      <c r="AB179" t="s">
        <v>51</v>
      </c>
      <c r="AC179" t="s">
        <v>36</v>
      </c>
    </row>
    <row r="180" spans="1:29" x14ac:dyDescent="0.25">
      <c r="A180">
        <v>188</v>
      </c>
      <c r="B180">
        <v>16257</v>
      </c>
      <c r="C180">
        <v>3430</v>
      </c>
      <c r="D180">
        <v>19687</v>
      </c>
      <c r="E180" t="s">
        <v>52</v>
      </c>
      <c r="F180">
        <v>58</v>
      </c>
      <c r="G180" t="s">
        <v>69</v>
      </c>
      <c r="H180" t="s">
        <v>30</v>
      </c>
      <c r="I180">
        <v>0</v>
      </c>
      <c r="J180" t="s">
        <v>54</v>
      </c>
      <c r="K180">
        <v>550</v>
      </c>
      <c r="L180" t="s">
        <v>66</v>
      </c>
      <c r="M180">
        <v>2</v>
      </c>
      <c r="N180" t="s">
        <v>44</v>
      </c>
      <c r="O180">
        <v>0.39</v>
      </c>
      <c r="P180" t="s">
        <v>67</v>
      </c>
      <c r="Q180">
        <v>5591</v>
      </c>
      <c r="R180">
        <v>15945</v>
      </c>
      <c r="S180" t="s">
        <v>44</v>
      </c>
      <c r="T180">
        <v>5694</v>
      </c>
      <c r="U180" t="s">
        <v>57</v>
      </c>
      <c r="V180">
        <v>72</v>
      </c>
      <c r="W180">
        <v>6</v>
      </c>
      <c r="X180" t="s">
        <v>37</v>
      </c>
      <c r="Y180" t="s">
        <v>38</v>
      </c>
      <c r="Z180" t="s">
        <v>39</v>
      </c>
      <c r="AA180" t="s">
        <v>40</v>
      </c>
      <c r="AB180" t="s">
        <v>51</v>
      </c>
      <c r="AC180" t="s">
        <v>36</v>
      </c>
    </row>
    <row r="181" spans="1:29" x14ac:dyDescent="0.25">
      <c r="A181">
        <v>189</v>
      </c>
      <c r="B181">
        <v>16486</v>
      </c>
      <c r="C181">
        <v>4435</v>
      </c>
      <c r="D181">
        <v>20921</v>
      </c>
      <c r="E181" t="s">
        <v>29</v>
      </c>
      <c r="F181">
        <v>56</v>
      </c>
      <c r="G181" t="s">
        <v>69</v>
      </c>
      <c r="H181" t="s">
        <v>30</v>
      </c>
      <c r="I181">
        <v>1</v>
      </c>
      <c r="J181" t="s">
        <v>68</v>
      </c>
      <c r="K181">
        <v>644</v>
      </c>
      <c r="L181" t="s">
        <v>55</v>
      </c>
      <c r="M181">
        <v>0</v>
      </c>
      <c r="N181" t="s">
        <v>36</v>
      </c>
      <c r="O181">
        <v>0.37</v>
      </c>
      <c r="P181" t="s">
        <v>67</v>
      </c>
      <c r="Q181">
        <v>16226</v>
      </c>
      <c r="R181">
        <v>255</v>
      </c>
      <c r="S181" t="s">
        <v>44</v>
      </c>
      <c r="T181">
        <v>31306</v>
      </c>
      <c r="U181" t="s">
        <v>64</v>
      </c>
      <c r="V181">
        <v>36</v>
      </c>
      <c r="W181">
        <v>3</v>
      </c>
      <c r="X181" t="s">
        <v>37</v>
      </c>
      <c r="Y181" t="s">
        <v>38</v>
      </c>
      <c r="Z181" t="s">
        <v>39</v>
      </c>
      <c r="AA181" t="s">
        <v>40</v>
      </c>
      <c r="AB181" t="s">
        <v>42</v>
      </c>
      <c r="AC181" t="s">
        <v>36</v>
      </c>
    </row>
    <row r="182" spans="1:29" x14ac:dyDescent="0.25">
      <c r="A182">
        <v>190</v>
      </c>
      <c r="B182">
        <v>18646</v>
      </c>
      <c r="C182">
        <v>3760</v>
      </c>
      <c r="D182">
        <v>22406</v>
      </c>
      <c r="E182" t="s">
        <v>49</v>
      </c>
      <c r="F182">
        <v>25</v>
      </c>
      <c r="G182" t="s">
        <v>61</v>
      </c>
      <c r="H182" t="s">
        <v>41</v>
      </c>
      <c r="I182">
        <v>1</v>
      </c>
      <c r="J182" t="s">
        <v>68</v>
      </c>
      <c r="K182">
        <v>695</v>
      </c>
      <c r="L182" t="s">
        <v>63</v>
      </c>
      <c r="M182">
        <v>4</v>
      </c>
      <c r="N182" t="s">
        <v>44</v>
      </c>
      <c r="O182">
        <v>0.4</v>
      </c>
      <c r="P182" t="s">
        <v>67</v>
      </c>
      <c r="Q182">
        <v>0</v>
      </c>
      <c r="R182">
        <v>11019</v>
      </c>
      <c r="S182" t="s">
        <v>44</v>
      </c>
      <c r="T182">
        <v>2934</v>
      </c>
      <c r="U182" t="s">
        <v>73</v>
      </c>
      <c r="V182">
        <v>84</v>
      </c>
      <c r="W182">
        <v>7</v>
      </c>
      <c r="X182" t="s">
        <v>42</v>
      </c>
      <c r="Y182" t="s">
        <v>32</v>
      </c>
      <c r="Z182" t="s">
        <v>39</v>
      </c>
      <c r="AA182" t="s">
        <v>40</v>
      </c>
      <c r="AB182" t="s">
        <v>51</v>
      </c>
      <c r="AC182" t="s">
        <v>36</v>
      </c>
    </row>
    <row r="183" spans="1:29" x14ac:dyDescent="0.25">
      <c r="A183">
        <v>191</v>
      </c>
      <c r="B183">
        <v>16075</v>
      </c>
      <c r="C183">
        <v>2050</v>
      </c>
      <c r="D183">
        <v>18125</v>
      </c>
      <c r="E183" t="s">
        <v>46</v>
      </c>
      <c r="F183">
        <v>33</v>
      </c>
      <c r="G183" t="s">
        <v>61</v>
      </c>
      <c r="H183" t="s">
        <v>30</v>
      </c>
      <c r="I183">
        <v>3</v>
      </c>
      <c r="J183" t="s">
        <v>58</v>
      </c>
      <c r="K183">
        <v>629</v>
      </c>
      <c r="L183" t="s">
        <v>55</v>
      </c>
      <c r="M183">
        <v>4</v>
      </c>
      <c r="N183" t="s">
        <v>44</v>
      </c>
      <c r="O183">
        <v>0.28000000000000003</v>
      </c>
      <c r="P183" t="s">
        <v>59</v>
      </c>
      <c r="Q183">
        <v>8572</v>
      </c>
      <c r="R183">
        <v>15487</v>
      </c>
      <c r="S183" t="s">
        <v>44</v>
      </c>
      <c r="T183">
        <v>22556</v>
      </c>
      <c r="U183" t="s">
        <v>64</v>
      </c>
      <c r="V183">
        <v>24</v>
      </c>
      <c r="W183">
        <v>2</v>
      </c>
      <c r="X183" t="s">
        <v>50</v>
      </c>
      <c r="Y183" t="s">
        <v>38</v>
      </c>
      <c r="Z183" t="s">
        <v>39</v>
      </c>
      <c r="AA183" t="s">
        <v>40</v>
      </c>
      <c r="AB183" t="s">
        <v>42</v>
      </c>
      <c r="AC183" t="s">
        <v>36</v>
      </c>
    </row>
    <row r="184" spans="1:29" x14ac:dyDescent="0.25">
      <c r="A184">
        <v>193</v>
      </c>
      <c r="B184">
        <v>18371</v>
      </c>
      <c r="C184">
        <v>8567</v>
      </c>
      <c r="D184">
        <v>26938</v>
      </c>
      <c r="E184" t="s">
        <v>29</v>
      </c>
      <c r="F184">
        <v>50</v>
      </c>
      <c r="G184" t="s">
        <v>53</v>
      </c>
      <c r="H184" t="s">
        <v>30</v>
      </c>
      <c r="I184">
        <v>1</v>
      </c>
      <c r="J184" t="s">
        <v>68</v>
      </c>
      <c r="K184">
        <v>585</v>
      </c>
      <c r="L184" t="s">
        <v>55</v>
      </c>
      <c r="M184">
        <v>0</v>
      </c>
      <c r="N184" t="s">
        <v>36</v>
      </c>
      <c r="O184">
        <v>0.36</v>
      </c>
      <c r="P184" t="s">
        <v>67</v>
      </c>
      <c r="Q184">
        <v>19466</v>
      </c>
      <c r="R184">
        <v>19346</v>
      </c>
      <c r="S184" t="s">
        <v>44</v>
      </c>
      <c r="T184">
        <v>0</v>
      </c>
      <c r="U184" t="s">
        <v>73</v>
      </c>
      <c r="V184">
        <v>48</v>
      </c>
      <c r="W184">
        <v>4</v>
      </c>
      <c r="X184" t="s">
        <v>50</v>
      </c>
      <c r="Y184" t="s">
        <v>32</v>
      </c>
      <c r="Z184" t="s">
        <v>33</v>
      </c>
      <c r="AA184" t="s">
        <v>34</v>
      </c>
      <c r="AB184" t="s">
        <v>43</v>
      </c>
      <c r="AC184" t="s">
        <v>36</v>
      </c>
    </row>
    <row r="185" spans="1:29" x14ac:dyDescent="0.25">
      <c r="A185">
        <v>194</v>
      </c>
      <c r="B185">
        <v>13835</v>
      </c>
      <c r="C185">
        <v>2033</v>
      </c>
      <c r="D185">
        <v>15868</v>
      </c>
      <c r="E185" t="s">
        <v>49</v>
      </c>
      <c r="F185">
        <v>57</v>
      </c>
      <c r="G185" t="s">
        <v>69</v>
      </c>
      <c r="H185" t="s">
        <v>30</v>
      </c>
      <c r="I185">
        <v>1</v>
      </c>
      <c r="J185" t="s">
        <v>68</v>
      </c>
      <c r="K185">
        <v>574</v>
      </c>
      <c r="L185" t="s">
        <v>66</v>
      </c>
      <c r="M185">
        <v>0</v>
      </c>
      <c r="N185" t="s">
        <v>36</v>
      </c>
      <c r="O185">
        <v>0.16</v>
      </c>
      <c r="P185" t="s">
        <v>59</v>
      </c>
      <c r="Q185">
        <v>0</v>
      </c>
      <c r="R185">
        <v>35050</v>
      </c>
      <c r="S185" t="s">
        <v>44</v>
      </c>
      <c r="T185">
        <v>30158</v>
      </c>
      <c r="U185" t="s">
        <v>64</v>
      </c>
      <c r="V185">
        <v>24</v>
      </c>
      <c r="W185">
        <v>2</v>
      </c>
      <c r="X185" t="s">
        <v>37</v>
      </c>
      <c r="Y185" t="s">
        <v>32</v>
      </c>
      <c r="Z185" t="s">
        <v>33</v>
      </c>
      <c r="AA185" t="s">
        <v>40</v>
      </c>
      <c r="AB185" t="s">
        <v>43</v>
      </c>
      <c r="AC185" t="s">
        <v>36</v>
      </c>
    </row>
    <row r="186" spans="1:29" x14ac:dyDescent="0.25">
      <c r="A186">
        <v>195</v>
      </c>
      <c r="B186">
        <v>0</v>
      </c>
      <c r="C186">
        <v>6467</v>
      </c>
      <c r="D186">
        <v>6467</v>
      </c>
      <c r="E186" t="s">
        <v>29</v>
      </c>
      <c r="F186">
        <v>45</v>
      </c>
      <c r="G186" t="s">
        <v>53</v>
      </c>
      <c r="H186" t="s">
        <v>30</v>
      </c>
      <c r="I186">
        <v>0</v>
      </c>
      <c r="J186" t="s">
        <v>54</v>
      </c>
      <c r="K186">
        <v>764</v>
      </c>
      <c r="L186" t="s">
        <v>71</v>
      </c>
      <c r="M186">
        <v>0</v>
      </c>
      <c r="N186" t="s">
        <v>36</v>
      </c>
      <c r="O186">
        <v>0.16</v>
      </c>
      <c r="P186" t="s">
        <v>59</v>
      </c>
      <c r="Q186">
        <v>8007</v>
      </c>
      <c r="R186">
        <v>8744</v>
      </c>
      <c r="S186" t="s">
        <v>44</v>
      </c>
      <c r="T186">
        <v>21293</v>
      </c>
      <c r="U186" t="s">
        <v>64</v>
      </c>
      <c r="V186">
        <v>48</v>
      </c>
      <c r="W186">
        <v>4</v>
      </c>
      <c r="X186" t="s">
        <v>47</v>
      </c>
      <c r="Y186" t="s">
        <v>32</v>
      </c>
      <c r="Z186" t="s">
        <v>39</v>
      </c>
      <c r="AA186" t="s">
        <v>40</v>
      </c>
      <c r="AB186" t="s">
        <v>42</v>
      </c>
      <c r="AC186" t="s">
        <v>44</v>
      </c>
    </row>
    <row r="187" spans="1:29" x14ac:dyDescent="0.25">
      <c r="A187">
        <v>196</v>
      </c>
      <c r="B187">
        <v>4049</v>
      </c>
      <c r="C187">
        <v>145</v>
      </c>
      <c r="D187">
        <v>4194</v>
      </c>
      <c r="E187" t="s">
        <v>29</v>
      </c>
      <c r="F187">
        <v>47</v>
      </c>
      <c r="G187" t="s">
        <v>53</v>
      </c>
      <c r="H187" t="s">
        <v>30</v>
      </c>
      <c r="I187">
        <v>0</v>
      </c>
      <c r="J187" t="s">
        <v>54</v>
      </c>
      <c r="K187">
        <v>753</v>
      </c>
      <c r="L187" t="s">
        <v>71</v>
      </c>
      <c r="M187">
        <v>3</v>
      </c>
      <c r="N187" t="s">
        <v>44</v>
      </c>
      <c r="O187">
        <v>0.37</v>
      </c>
      <c r="P187" t="s">
        <v>67</v>
      </c>
      <c r="Q187">
        <v>15903</v>
      </c>
      <c r="R187">
        <v>24756</v>
      </c>
      <c r="S187" t="s">
        <v>44</v>
      </c>
      <c r="T187">
        <v>34932</v>
      </c>
      <c r="U187" t="s">
        <v>64</v>
      </c>
      <c r="V187">
        <v>84</v>
      </c>
      <c r="W187">
        <v>7</v>
      </c>
      <c r="X187" t="s">
        <v>42</v>
      </c>
      <c r="Y187" t="s">
        <v>38</v>
      </c>
      <c r="Z187" t="s">
        <v>39</v>
      </c>
      <c r="AA187" t="s">
        <v>40</v>
      </c>
      <c r="AB187" t="s">
        <v>35</v>
      </c>
      <c r="AC187" t="s">
        <v>36</v>
      </c>
    </row>
    <row r="188" spans="1:29" x14ac:dyDescent="0.25">
      <c r="A188">
        <v>198</v>
      </c>
      <c r="B188">
        <v>16589</v>
      </c>
      <c r="C188">
        <v>7832</v>
      </c>
      <c r="D188">
        <v>24421</v>
      </c>
      <c r="E188" t="s">
        <v>49</v>
      </c>
      <c r="F188">
        <v>56</v>
      </c>
      <c r="G188" t="s">
        <v>69</v>
      </c>
      <c r="H188" t="s">
        <v>41</v>
      </c>
      <c r="I188">
        <v>0</v>
      </c>
      <c r="J188" t="s">
        <v>54</v>
      </c>
      <c r="K188">
        <v>713</v>
      </c>
      <c r="L188" t="s">
        <v>63</v>
      </c>
      <c r="M188">
        <v>1</v>
      </c>
      <c r="N188" t="s">
        <v>44</v>
      </c>
      <c r="O188">
        <v>0.25</v>
      </c>
      <c r="P188" t="s">
        <v>59</v>
      </c>
      <c r="Q188">
        <v>4261</v>
      </c>
      <c r="R188">
        <v>25146</v>
      </c>
      <c r="S188" t="s">
        <v>44</v>
      </c>
      <c r="T188">
        <v>4066</v>
      </c>
      <c r="U188" t="s">
        <v>73</v>
      </c>
      <c r="V188">
        <v>48</v>
      </c>
      <c r="W188">
        <v>4</v>
      </c>
      <c r="X188" t="s">
        <v>50</v>
      </c>
      <c r="Y188" t="s">
        <v>45</v>
      </c>
      <c r="Z188" t="s">
        <v>39</v>
      </c>
      <c r="AA188" t="s">
        <v>40</v>
      </c>
      <c r="AB188" t="s">
        <v>48</v>
      </c>
      <c r="AC188" t="s">
        <v>44</v>
      </c>
    </row>
    <row r="189" spans="1:29" x14ac:dyDescent="0.25">
      <c r="A189">
        <v>199</v>
      </c>
      <c r="B189">
        <v>9158</v>
      </c>
      <c r="C189">
        <v>8623</v>
      </c>
      <c r="D189">
        <v>17781</v>
      </c>
      <c r="E189" t="s">
        <v>49</v>
      </c>
      <c r="F189">
        <v>59</v>
      </c>
      <c r="G189" t="s">
        <v>69</v>
      </c>
      <c r="H189" t="s">
        <v>41</v>
      </c>
      <c r="I189">
        <v>3</v>
      </c>
      <c r="J189" t="s">
        <v>58</v>
      </c>
      <c r="K189">
        <v>650</v>
      </c>
      <c r="L189" t="s">
        <v>55</v>
      </c>
      <c r="M189">
        <v>0</v>
      </c>
      <c r="N189" t="s">
        <v>36</v>
      </c>
      <c r="O189">
        <v>0.53</v>
      </c>
      <c r="P189" t="s">
        <v>56</v>
      </c>
      <c r="Q189">
        <v>2389</v>
      </c>
      <c r="R189">
        <v>42687</v>
      </c>
      <c r="S189" t="s">
        <v>44</v>
      </c>
      <c r="T189">
        <v>22256</v>
      </c>
      <c r="U189" t="s">
        <v>64</v>
      </c>
      <c r="V189">
        <v>12</v>
      </c>
      <c r="W189">
        <v>1</v>
      </c>
      <c r="X189" t="s">
        <v>42</v>
      </c>
      <c r="Y189" t="s">
        <v>32</v>
      </c>
      <c r="Z189" t="s">
        <v>39</v>
      </c>
      <c r="AA189" t="s">
        <v>40</v>
      </c>
      <c r="AB189" t="s">
        <v>42</v>
      </c>
      <c r="AC189" t="s">
        <v>36</v>
      </c>
    </row>
    <row r="190" spans="1:29" x14ac:dyDescent="0.25">
      <c r="A190">
        <v>200</v>
      </c>
      <c r="B190">
        <v>12248</v>
      </c>
      <c r="C190">
        <v>8896</v>
      </c>
      <c r="D190">
        <v>21144</v>
      </c>
      <c r="E190" t="s">
        <v>49</v>
      </c>
      <c r="F190">
        <v>36</v>
      </c>
      <c r="G190" t="s">
        <v>65</v>
      </c>
      <c r="H190" t="s">
        <v>41</v>
      </c>
      <c r="I190">
        <v>1</v>
      </c>
      <c r="J190" t="s">
        <v>68</v>
      </c>
      <c r="K190">
        <v>744</v>
      </c>
      <c r="L190" t="s">
        <v>71</v>
      </c>
      <c r="M190">
        <v>0</v>
      </c>
      <c r="N190" t="s">
        <v>36</v>
      </c>
      <c r="O190">
        <v>0.48</v>
      </c>
      <c r="P190" t="s">
        <v>70</v>
      </c>
      <c r="Q190">
        <v>19937</v>
      </c>
      <c r="R190">
        <v>46103</v>
      </c>
      <c r="S190" t="s">
        <v>44</v>
      </c>
      <c r="T190">
        <v>36105</v>
      </c>
      <c r="U190" t="s">
        <v>60</v>
      </c>
      <c r="V190">
        <v>60</v>
      </c>
      <c r="W190">
        <v>5</v>
      </c>
      <c r="X190" t="s">
        <v>47</v>
      </c>
      <c r="Y190" t="s">
        <v>45</v>
      </c>
      <c r="Z190" t="s">
        <v>33</v>
      </c>
      <c r="AA190" t="s">
        <v>34</v>
      </c>
      <c r="AB190" t="s">
        <v>35</v>
      </c>
      <c r="AC190" t="s">
        <v>36</v>
      </c>
    </row>
    <row r="191" spans="1:29" x14ac:dyDescent="0.25">
      <c r="A191">
        <v>201</v>
      </c>
      <c r="B191">
        <v>9400</v>
      </c>
      <c r="C191">
        <v>8173</v>
      </c>
      <c r="D191">
        <v>17573</v>
      </c>
      <c r="E191" t="s">
        <v>29</v>
      </c>
      <c r="F191">
        <v>42</v>
      </c>
      <c r="G191" t="s">
        <v>65</v>
      </c>
      <c r="H191" t="s">
        <v>30</v>
      </c>
      <c r="I191">
        <v>0</v>
      </c>
      <c r="J191" t="s">
        <v>54</v>
      </c>
      <c r="K191">
        <v>558</v>
      </c>
      <c r="L191" t="s">
        <v>66</v>
      </c>
      <c r="M191">
        <v>4</v>
      </c>
      <c r="N191" t="s">
        <v>44</v>
      </c>
      <c r="O191">
        <v>0.22</v>
      </c>
      <c r="P191" t="s">
        <v>59</v>
      </c>
      <c r="Q191">
        <v>13939</v>
      </c>
      <c r="R191">
        <v>21976</v>
      </c>
      <c r="S191" t="s">
        <v>44</v>
      </c>
      <c r="T191">
        <v>0</v>
      </c>
      <c r="U191" t="s">
        <v>73</v>
      </c>
      <c r="V191">
        <v>12</v>
      </c>
      <c r="W191">
        <v>1</v>
      </c>
      <c r="X191" t="s">
        <v>50</v>
      </c>
      <c r="Y191" t="s">
        <v>45</v>
      </c>
      <c r="Z191" t="s">
        <v>33</v>
      </c>
      <c r="AA191" t="s">
        <v>34</v>
      </c>
      <c r="AB191" t="s">
        <v>35</v>
      </c>
      <c r="AC191" t="s">
        <v>36</v>
      </c>
    </row>
    <row r="192" spans="1:29" x14ac:dyDescent="0.25">
      <c r="A192">
        <v>202</v>
      </c>
      <c r="B192">
        <v>11874</v>
      </c>
      <c r="C192">
        <v>2632</v>
      </c>
      <c r="D192">
        <v>14506</v>
      </c>
      <c r="E192" t="s">
        <v>29</v>
      </c>
      <c r="F192">
        <v>41</v>
      </c>
      <c r="G192" t="s">
        <v>65</v>
      </c>
      <c r="H192" t="s">
        <v>41</v>
      </c>
      <c r="I192">
        <v>3</v>
      </c>
      <c r="J192" t="s">
        <v>58</v>
      </c>
      <c r="K192">
        <v>550</v>
      </c>
      <c r="L192" t="s">
        <v>66</v>
      </c>
      <c r="M192">
        <v>4</v>
      </c>
      <c r="N192" t="s">
        <v>44</v>
      </c>
      <c r="O192">
        <v>0.12</v>
      </c>
      <c r="P192" t="s">
        <v>59</v>
      </c>
      <c r="Q192">
        <v>0</v>
      </c>
      <c r="R192">
        <v>591</v>
      </c>
      <c r="S192" t="s">
        <v>44</v>
      </c>
      <c r="T192">
        <v>3460</v>
      </c>
      <c r="U192" t="s">
        <v>73</v>
      </c>
      <c r="V192">
        <v>12</v>
      </c>
      <c r="W192">
        <v>1</v>
      </c>
      <c r="X192" t="s">
        <v>47</v>
      </c>
      <c r="Y192" t="s">
        <v>38</v>
      </c>
      <c r="Z192" t="s">
        <v>33</v>
      </c>
      <c r="AA192" t="s">
        <v>40</v>
      </c>
      <c r="AB192" t="s">
        <v>51</v>
      </c>
      <c r="AC192" t="s">
        <v>36</v>
      </c>
    </row>
    <row r="193" spans="1:29" x14ac:dyDescent="0.25">
      <c r="A193">
        <v>203</v>
      </c>
      <c r="B193">
        <v>17151</v>
      </c>
      <c r="C193">
        <v>4494</v>
      </c>
      <c r="D193">
        <v>21645</v>
      </c>
      <c r="E193" t="s">
        <v>46</v>
      </c>
      <c r="F193">
        <v>41</v>
      </c>
      <c r="G193" t="s">
        <v>65</v>
      </c>
      <c r="H193" t="s">
        <v>30</v>
      </c>
      <c r="I193">
        <v>0</v>
      </c>
      <c r="J193" t="s">
        <v>54</v>
      </c>
      <c r="K193">
        <v>602</v>
      </c>
      <c r="L193" t="s">
        <v>55</v>
      </c>
      <c r="M193">
        <v>1</v>
      </c>
      <c r="N193" t="s">
        <v>44</v>
      </c>
      <c r="O193">
        <v>0.15</v>
      </c>
      <c r="P193" t="s">
        <v>59</v>
      </c>
      <c r="Q193">
        <v>9399</v>
      </c>
      <c r="R193">
        <v>6277</v>
      </c>
      <c r="S193" t="s">
        <v>44</v>
      </c>
      <c r="T193">
        <v>7820</v>
      </c>
      <c r="U193" t="s">
        <v>57</v>
      </c>
      <c r="V193">
        <v>84</v>
      </c>
      <c r="W193">
        <v>7</v>
      </c>
      <c r="X193" t="s">
        <v>50</v>
      </c>
      <c r="Y193" t="s">
        <v>32</v>
      </c>
      <c r="Z193" t="s">
        <v>33</v>
      </c>
      <c r="AA193" t="s">
        <v>34</v>
      </c>
      <c r="AB193" t="s">
        <v>48</v>
      </c>
      <c r="AC193" t="s">
        <v>36</v>
      </c>
    </row>
    <row r="194" spans="1:29" x14ac:dyDescent="0.25">
      <c r="A194">
        <v>205</v>
      </c>
      <c r="B194">
        <v>6499</v>
      </c>
      <c r="C194">
        <v>7511</v>
      </c>
      <c r="D194">
        <v>14010</v>
      </c>
      <c r="E194" t="s">
        <v>29</v>
      </c>
      <c r="F194">
        <v>36</v>
      </c>
      <c r="G194" t="s">
        <v>65</v>
      </c>
      <c r="H194" t="s">
        <v>30</v>
      </c>
      <c r="I194">
        <v>0</v>
      </c>
      <c r="J194" t="s">
        <v>54</v>
      </c>
      <c r="K194">
        <v>550</v>
      </c>
      <c r="L194" t="s">
        <v>66</v>
      </c>
      <c r="M194">
        <v>1</v>
      </c>
      <c r="N194" t="s">
        <v>44</v>
      </c>
      <c r="O194">
        <v>0.2</v>
      </c>
      <c r="P194" t="s">
        <v>59</v>
      </c>
      <c r="Q194">
        <v>2239</v>
      </c>
      <c r="R194">
        <v>43907</v>
      </c>
      <c r="S194" t="s">
        <v>44</v>
      </c>
      <c r="T194">
        <v>17191</v>
      </c>
      <c r="U194" t="s">
        <v>57</v>
      </c>
      <c r="V194">
        <v>12</v>
      </c>
      <c r="W194">
        <v>1</v>
      </c>
      <c r="X194" t="s">
        <v>50</v>
      </c>
      <c r="Y194" t="s">
        <v>32</v>
      </c>
      <c r="Z194" t="s">
        <v>39</v>
      </c>
      <c r="AA194" t="s">
        <v>40</v>
      </c>
      <c r="AB194" t="s">
        <v>51</v>
      </c>
      <c r="AC194" t="s">
        <v>44</v>
      </c>
    </row>
    <row r="195" spans="1:29" x14ac:dyDescent="0.25">
      <c r="A195">
        <v>206</v>
      </c>
      <c r="B195">
        <v>8295</v>
      </c>
      <c r="C195">
        <v>9155</v>
      </c>
      <c r="D195">
        <v>17450</v>
      </c>
      <c r="E195" t="s">
        <v>46</v>
      </c>
      <c r="F195">
        <v>51</v>
      </c>
      <c r="G195" t="s">
        <v>53</v>
      </c>
      <c r="H195" t="s">
        <v>30</v>
      </c>
      <c r="I195">
        <v>1</v>
      </c>
      <c r="J195" t="s">
        <v>68</v>
      </c>
      <c r="K195">
        <v>712</v>
      </c>
      <c r="L195" t="s">
        <v>63</v>
      </c>
      <c r="M195">
        <v>4</v>
      </c>
      <c r="N195" t="s">
        <v>44</v>
      </c>
      <c r="O195">
        <v>0.28999999999999998</v>
      </c>
      <c r="P195" t="s">
        <v>59</v>
      </c>
      <c r="Q195">
        <v>10559</v>
      </c>
      <c r="R195">
        <v>347</v>
      </c>
      <c r="S195" t="s">
        <v>44</v>
      </c>
      <c r="T195">
        <v>20095</v>
      </c>
      <c r="U195" t="s">
        <v>64</v>
      </c>
      <c r="V195">
        <v>24</v>
      </c>
      <c r="W195">
        <v>2</v>
      </c>
      <c r="X195" t="s">
        <v>31</v>
      </c>
      <c r="Y195" t="s">
        <v>45</v>
      </c>
      <c r="Z195" t="s">
        <v>39</v>
      </c>
      <c r="AA195" t="s">
        <v>40</v>
      </c>
      <c r="AB195" t="s">
        <v>51</v>
      </c>
      <c r="AC195" t="s">
        <v>44</v>
      </c>
    </row>
    <row r="196" spans="1:29" x14ac:dyDescent="0.25">
      <c r="A196">
        <v>207</v>
      </c>
      <c r="B196">
        <v>14183</v>
      </c>
      <c r="C196">
        <v>1828</v>
      </c>
      <c r="D196">
        <v>16011</v>
      </c>
      <c r="E196" t="s">
        <v>48</v>
      </c>
      <c r="F196">
        <v>30</v>
      </c>
      <c r="G196" t="s">
        <v>61</v>
      </c>
      <c r="H196" t="s">
        <v>41</v>
      </c>
      <c r="I196">
        <v>2</v>
      </c>
      <c r="J196" t="s">
        <v>62</v>
      </c>
      <c r="K196">
        <v>612</v>
      </c>
      <c r="L196" t="s">
        <v>55</v>
      </c>
      <c r="M196">
        <v>4</v>
      </c>
      <c r="N196" t="s">
        <v>44</v>
      </c>
      <c r="O196">
        <v>0.35</v>
      </c>
      <c r="P196" t="s">
        <v>67</v>
      </c>
      <c r="Q196">
        <v>2627</v>
      </c>
      <c r="R196">
        <v>24741</v>
      </c>
      <c r="S196" t="s">
        <v>44</v>
      </c>
      <c r="T196">
        <v>11529</v>
      </c>
      <c r="U196" t="s">
        <v>57</v>
      </c>
      <c r="V196">
        <v>48</v>
      </c>
      <c r="W196">
        <v>4</v>
      </c>
      <c r="X196" t="s">
        <v>47</v>
      </c>
      <c r="Y196" t="s">
        <v>45</v>
      </c>
      <c r="Z196" t="s">
        <v>39</v>
      </c>
      <c r="AA196" t="s">
        <v>40</v>
      </c>
      <c r="AB196" t="s">
        <v>35</v>
      </c>
      <c r="AC196" t="s">
        <v>36</v>
      </c>
    </row>
    <row r="197" spans="1:29" x14ac:dyDescent="0.25">
      <c r="A197">
        <v>208</v>
      </c>
      <c r="B197">
        <v>14874</v>
      </c>
      <c r="C197">
        <v>9130</v>
      </c>
      <c r="D197">
        <v>24004</v>
      </c>
      <c r="E197" t="s">
        <v>49</v>
      </c>
      <c r="F197">
        <v>40</v>
      </c>
      <c r="G197" t="s">
        <v>65</v>
      </c>
      <c r="H197" t="s">
        <v>30</v>
      </c>
      <c r="I197">
        <v>0</v>
      </c>
      <c r="J197" t="s">
        <v>54</v>
      </c>
      <c r="K197">
        <v>670</v>
      </c>
      <c r="L197" t="s">
        <v>55</v>
      </c>
      <c r="M197">
        <v>3</v>
      </c>
      <c r="N197" t="s">
        <v>44</v>
      </c>
      <c r="O197">
        <v>0.46</v>
      </c>
      <c r="P197" t="s">
        <v>70</v>
      </c>
      <c r="Q197">
        <v>6618</v>
      </c>
      <c r="R197">
        <v>37211</v>
      </c>
      <c r="S197" t="s">
        <v>44</v>
      </c>
      <c r="T197">
        <v>33175</v>
      </c>
      <c r="U197" t="s">
        <v>64</v>
      </c>
      <c r="V197">
        <v>84</v>
      </c>
      <c r="W197">
        <v>7</v>
      </c>
      <c r="X197" t="s">
        <v>50</v>
      </c>
      <c r="Y197" t="s">
        <v>32</v>
      </c>
      <c r="Z197" t="s">
        <v>39</v>
      </c>
      <c r="AA197" t="s">
        <v>40</v>
      </c>
      <c r="AB197" t="s">
        <v>51</v>
      </c>
      <c r="AC197" t="s">
        <v>36</v>
      </c>
    </row>
    <row r="198" spans="1:29" x14ac:dyDescent="0.25">
      <c r="A198">
        <v>209</v>
      </c>
      <c r="B198">
        <v>7539</v>
      </c>
      <c r="C198">
        <v>4805</v>
      </c>
      <c r="D198">
        <v>12344</v>
      </c>
      <c r="E198" t="s">
        <v>49</v>
      </c>
      <c r="F198">
        <v>54</v>
      </c>
      <c r="G198" t="s">
        <v>53</v>
      </c>
      <c r="H198" t="s">
        <v>30</v>
      </c>
      <c r="I198">
        <v>3</v>
      </c>
      <c r="J198" t="s">
        <v>58</v>
      </c>
      <c r="K198">
        <v>796</v>
      </c>
      <c r="L198" t="s">
        <v>71</v>
      </c>
      <c r="M198">
        <v>1</v>
      </c>
      <c r="N198" t="s">
        <v>44</v>
      </c>
      <c r="O198">
        <v>0.16</v>
      </c>
      <c r="P198" t="s">
        <v>59</v>
      </c>
      <c r="Q198">
        <v>12123</v>
      </c>
      <c r="R198">
        <v>43856</v>
      </c>
      <c r="S198" t="s">
        <v>44</v>
      </c>
      <c r="T198">
        <v>18675</v>
      </c>
      <c r="U198" t="s">
        <v>57</v>
      </c>
      <c r="V198">
        <v>12</v>
      </c>
      <c r="W198">
        <v>1</v>
      </c>
      <c r="X198" t="s">
        <v>37</v>
      </c>
      <c r="Y198" t="s">
        <v>45</v>
      </c>
      <c r="Z198" t="s">
        <v>39</v>
      </c>
      <c r="AA198" t="s">
        <v>34</v>
      </c>
      <c r="AB198" t="s">
        <v>35</v>
      </c>
      <c r="AC198" t="s">
        <v>44</v>
      </c>
    </row>
    <row r="199" spans="1:29" x14ac:dyDescent="0.25">
      <c r="A199">
        <v>210</v>
      </c>
      <c r="B199">
        <v>11637</v>
      </c>
      <c r="C199">
        <v>806</v>
      </c>
      <c r="D199">
        <v>12443</v>
      </c>
      <c r="E199" t="s">
        <v>48</v>
      </c>
      <c r="F199">
        <v>29</v>
      </c>
      <c r="G199" t="s">
        <v>61</v>
      </c>
      <c r="H199" t="s">
        <v>41</v>
      </c>
      <c r="I199">
        <v>1</v>
      </c>
      <c r="J199" t="s">
        <v>68</v>
      </c>
      <c r="K199">
        <v>775</v>
      </c>
      <c r="L199" t="s">
        <v>71</v>
      </c>
      <c r="M199">
        <v>1</v>
      </c>
      <c r="N199" t="s">
        <v>44</v>
      </c>
      <c r="O199">
        <v>0.3</v>
      </c>
      <c r="P199" t="s">
        <v>59</v>
      </c>
      <c r="Q199">
        <v>0</v>
      </c>
      <c r="R199">
        <v>41542</v>
      </c>
      <c r="S199" t="s">
        <v>44</v>
      </c>
      <c r="T199">
        <v>6374</v>
      </c>
      <c r="U199" t="s">
        <v>57</v>
      </c>
      <c r="V199">
        <v>72</v>
      </c>
      <c r="W199">
        <v>6</v>
      </c>
      <c r="X199" t="s">
        <v>37</v>
      </c>
      <c r="Y199" t="s">
        <v>32</v>
      </c>
      <c r="Z199" t="s">
        <v>39</v>
      </c>
      <c r="AA199" t="s">
        <v>34</v>
      </c>
      <c r="AB199" t="s">
        <v>43</v>
      </c>
      <c r="AC199" t="s">
        <v>44</v>
      </c>
    </row>
    <row r="200" spans="1:29" x14ac:dyDescent="0.25">
      <c r="A200">
        <v>211</v>
      </c>
      <c r="B200">
        <v>17586</v>
      </c>
      <c r="C200">
        <v>9655</v>
      </c>
      <c r="D200">
        <v>27241</v>
      </c>
      <c r="E200" t="s">
        <v>29</v>
      </c>
      <c r="F200">
        <v>37</v>
      </c>
      <c r="G200" t="s">
        <v>65</v>
      </c>
      <c r="H200" t="s">
        <v>30</v>
      </c>
      <c r="I200">
        <v>1</v>
      </c>
      <c r="J200" t="s">
        <v>68</v>
      </c>
      <c r="K200">
        <v>654</v>
      </c>
      <c r="L200" t="s">
        <v>55</v>
      </c>
      <c r="M200">
        <v>0</v>
      </c>
      <c r="N200" t="s">
        <v>36</v>
      </c>
      <c r="O200">
        <v>0.34</v>
      </c>
      <c r="P200" t="s">
        <v>67</v>
      </c>
      <c r="Q200">
        <v>8015</v>
      </c>
      <c r="R200">
        <v>6869</v>
      </c>
      <c r="S200" t="s">
        <v>44</v>
      </c>
      <c r="T200">
        <v>26976</v>
      </c>
      <c r="U200" t="s">
        <v>64</v>
      </c>
      <c r="V200">
        <v>48</v>
      </c>
      <c r="W200">
        <v>4</v>
      </c>
      <c r="X200" t="s">
        <v>42</v>
      </c>
      <c r="Y200" t="s">
        <v>38</v>
      </c>
      <c r="Z200" t="s">
        <v>39</v>
      </c>
      <c r="AA200" t="s">
        <v>40</v>
      </c>
      <c r="AB200" t="s">
        <v>43</v>
      </c>
      <c r="AC200" t="s">
        <v>44</v>
      </c>
    </row>
    <row r="201" spans="1:29" x14ac:dyDescent="0.25">
      <c r="A201">
        <v>212</v>
      </c>
      <c r="B201">
        <v>4557</v>
      </c>
      <c r="C201">
        <v>7486</v>
      </c>
      <c r="D201">
        <v>12043</v>
      </c>
      <c r="E201" t="s">
        <v>46</v>
      </c>
      <c r="F201">
        <v>31</v>
      </c>
      <c r="G201" t="s">
        <v>61</v>
      </c>
      <c r="H201" t="s">
        <v>30</v>
      </c>
      <c r="I201">
        <v>3</v>
      </c>
      <c r="J201" t="s">
        <v>58</v>
      </c>
      <c r="K201">
        <v>755</v>
      </c>
      <c r="L201" t="s">
        <v>71</v>
      </c>
      <c r="M201">
        <v>0</v>
      </c>
      <c r="N201" t="s">
        <v>36</v>
      </c>
      <c r="O201">
        <v>0.37</v>
      </c>
      <c r="P201" t="s">
        <v>67</v>
      </c>
      <c r="Q201">
        <v>3130</v>
      </c>
      <c r="R201">
        <v>28082</v>
      </c>
      <c r="S201" t="s">
        <v>44</v>
      </c>
      <c r="T201">
        <v>14142</v>
      </c>
      <c r="U201" t="s">
        <v>57</v>
      </c>
      <c r="V201">
        <v>60</v>
      </c>
      <c r="W201">
        <v>5</v>
      </c>
      <c r="X201" t="s">
        <v>37</v>
      </c>
      <c r="Y201" t="s">
        <v>32</v>
      </c>
      <c r="Z201" t="s">
        <v>39</v>
      </c>
      <c r="AA201" t="s">
        <v>34</v>
      </c>
      <c r="AB201" t="s">
        <v>42</v>
      </c>
      <c r="AC201" t="s">
        <v>44</v>
      </c>
    </row>
    <row r="202" spans="1:29" x14ac:dyDescent="0.25">
      <c r="A202">
        <v>213</v>
      </c>
      <c r="B202">
        <v>7592</v>
      </c>
      <c r="C202">
        <v>8202</v>
      </c>
      <c r="D202">
        <v>15794</v>
      </c>
      <c r="E202" t="s">
        <v>48</v>
      </c>
      <c r="F202">
        <v>52</v>
      </c>
      <c r="G202" t="s">
        <v>53</v>
      </c>
      <c r="H202" t="s">
        <v>30</v>
      </c>
      <c r="I202">
        <v>0</v>
      </c>
      <c r="J202" t="s">
        <v>54</v>
      </c>
      <c r="K202">
        <v>553</v>
      </c>
      <c r="L202" t="s">
        <v>66</v>
      </c>
      <c r="M202">
        <v>3</v>
      </c>
      <c r="N202" t="s">
        <v>44</v>
      </c>
      <c r="O202">
        <v>0.51</v>
      </c>
      <c r="P202" t="s">
        <v>56</v>
      </c>
      <c r="Q202">
        <v>16480</v>
      </c>
      <c r="R202">
        <v>22080</v>
      </c>
      <c r="S202" t="s">
        <v>44</v>
      </c>
      <c r="T202">
        <v>13204</v>
      </c>
      <c r="U202" t="s">
        <v>57</v>
      </c>
      <c r="V202">
        <v>48</v>
      </c>
      <c r="W202">
        <v>4</v>
      </c>
      <c r="X202" t="s">
        <v>31</v>
      </c>
      <c r="Y202" t="s">
        <v>45</v>
      </c>
      <c r="Z202" t="s">
        <v>39</v>
      </c>
      <c r="AA202" t="s">
        <v>34</v>
      </c>
      <c r="AB202" t="s">
        <v>35</v>
      </c>
      <c r="AC202" t="s">
        <v>36</v>
      </c>
    </row>
    <row r="203" spans="1:29" x14ac:dyDescent="0.25">
      <c r="A203">
        <v>214</v>
      </c>
      <c r="B203">
        <v>18482</v>
      </c>
      <c r="C203">
        <v>1868</v>
      </c>
      <c r="D203">
        <v>20350</v>
      </c>
      <c r="E203" t="s">
        <v>29</v>
      </c>
      <c r="F203">
        <v>30</v>
      </c>
      <c r="G203" t="s">
        <v>61</v>
      </c>
      <c r="H203" t="s">
        <v>41</v>
      </c>
      <c r="I203">
        <v>2</v>
      </c>
      <c r="J203" t="s">
        <v>62</v>
      </c>
      <c r="K203">
        <v>642</v>
      </c>
      <c r="L203" t="s">
        <v>55</v>
      </c>
      <c r="M203">
        <v>2</v>
      </c>
      <c r="N203" t="s">
        <v>44</v>
      </c>
      <c r="O203">
        <v>0.19</v>
      </c>
      <c r="P203" t="s">
        <v>59</v>
      </c>
      <c r="Q203">
        <v>14831</v>
      </c>
      <c r="R203">
        <v>28979</v>
      </c>
      <c r="S203" t="s">
        <v>44</v>
      </c>
      <c r="T203">
        <v>8394</v>
      </c>
      <c r="U203" t="s">
        <v>57</v>
      </c>
      <c r="V203">
        <v>84</v>
      </c>
      <c r="W203">
        <v>7</v>
      </c>
      <c r="X203" t="s">
        <v>37</v>
      </c>
      <c r="Y203" t="s">
        <v>38</v>
      </c>
      <c r="Z203" t="s">
        <v>39</v>
      </c>
      <c r="AA203" t="s">
        <v>40</v>
      </c>
      <c r="AB203" t="s">
        <v>43</v>
      </c>
      <c r="AC203" t="s">
        <v>36</v>
      </c>
    </row>
    <row r="204" spans="1:29" x14ac:dyDescent="0.25">
      <c r="A204">
        <v>215</v>
      </c>
      <c r="B204">
        <v>4200</v>
      </c>
      <c r="C204">
        <v>7878</v>
      </c>
      <c r="D204">
        <v>12078</v>
      </c>
      <c r="E204" t="s">
        <v>49</v>
      </c>
      <c r="F204">
        <v>40</v>
      </c>
      <c r="G204" t="s">
        <v>65</v>
      </c>
      <c r="H204" t="s">
        <v>41</v>
      </c>
      <c r="I204">
        <v>0</v>
      </c>
      <c r="J204" t="s">
        <v>54</v>
      </c>
      <c r="K204">
        <v>718</v>
      </c>
      <c r="L204" t="s">
        <v>63</v>
      </c>
      <c r="M204">
        <v>2</v>
      </c>
      <c r="N204" t="s">
        <v>44</v>
      </c>
      <c r="O204">
        <v>0.5</v>
      </c>
      <c r="P204" t="s">
        <v>70</v>
      </c>
      <c r="Q204">
        <v>2708</v>
      </c>
      <c r="R204">
        <v>19422</v>
      </c>
      <c r="S204" t="s">
        <v>44</v>
      </c>
      <c r="T204">
        <v>34593</v>
      </c>
      <c r="U204" t="s">
        <v>64</v>
      </c>
      <c r="V204">
        <v>72</v>
      </c>
      <c r="W204">
        <v>6</v>
      </c>
      <c r="X204" t="s">
        <v>37</v>
      </c>
      <c r="Y204" t="s">
        <v>32</v>
      </c>
      <c r="Z204" t="s">
        <v>39</v>
      </c>
      <c r="AA204" t="s">
        <v>40</v>
      </c>
      <c r="AB204" t="s">
        <v>51</v>
      </c>
      <c r="AC204" t="s">
        <v>36</v>
      </c>
    </row>
    <row r="205" spans="1:29" x14ac:dyDescent="0.25">
      <c r="A205">
        <v>216</v>
      </c>
      <c r="B205">
        <v>16172</v>
      </c>
      <c r="C205">
        <v>5690</v>
      </c>
      <c r="D205">
        <v>21862</v>
      </c>
      <c r="E205" t="s">
        <v>46</v>
      </c>
      <c r="F205">
        <v>37</v>
      </c>
      <c r="G205" t="s">
        <v>65</v>
      </c>
      <c r="H205" t="s">
        <v>30</v>
      </c>
      <c r="I205">
        <v>3</v>
      </c>
      <c r="J205" t="s">
        <v>58</v>
      </c>
      <c r="K205">
        <v>722</v>
      </c>
      <c r="L205" t="s">
        <v>63</v>
      </c>
      <c r="M205">
        <v>2</v>
      </c>
      <c r="N205" t="s">
        <v>44</v>
      </c>
      <c r="O205">
        <v>0.45</v>
      </c>
      <c r="P205" t="s">
        <v>70</v>
      </c>
      <c r="Q205">
        <v>5397</v>
      </c>
      <c r="R205">
        <v>35613</v>
      </c>
      <c r="S205" t="s">
        <v>44</v>
      </c>
      <c r="T205">
        <v>12652</v>
      </c>
      <c r="U205" t="s">
        <v>57</v>
      </c>
      <c r="V205">
        <v>84</v>
      </c>
      <c r="W205">
        <v>7</v>
      </c>
      <c r="X205" t="s">
        <v>37</v>
      </c>
      <c r="Y205" t="s">
        <v>45</v>
      </c>
      <c r="Z205" t="s">
        <v>39</v>
      </c>
      <c r="AA205" t="s">
        <v>34</v>
      </c>
      <c r="AB205" t="s">
        <v>51</v>
      </c>
      <c r="AC205" t="s">
        <v>36</v>
      </c>
    </row>
    <row r="206" spans="1:29" x14ac:dyDescent="0.25">
      <c r="A206">
        <v>217</v>
      </c>
      <c r="B206">
        <v>4961</v>
      </c>
      <c r="C206">
        <v>7827</v>
      </c>
      <c r="D206">
        <v>12788</v>
      </c>
      <c r="E206" t="s">
        <v>46</v>
      </c>
      <c r="F206">
        <v>24</v>
      </c>
      <c r="G206" t="s">
        <v>72</v>
      </c>
      <c r="H206" t="s">
        <v>30</v>
      </c>
      <c r="I206">
        <v>1</v>
      </c>
      <c r="J206" t="s">
        <v>68</v>
      </c>
      <c r="K206">
        <v>727</v>
      </c>
      <c r="L206" t="s">
        <v>63</v>
      </c>
      <c r="M206">
        <v>1</v>
      </c>
      <c r="N206" t="s">
        <v>44</v>
      </c>
      <c r="O206">
        <v>0.38</v>
      </c>
      <c r="P206" t="s">
        <v>67</v>
      </c>
      <c r="Q206">
        <v>11528</v>
      </c>
      <c r="R206">
        <v>22993</v>
      </c>
      <c r="S206" t="s">
        <v>44</v>
      </c>
      <c r="T206">
        <v>34740</v>
      </c>
      <c r="U206" t="s">
        <v>64</v>
      </c>
      <c r="V206">
        <v>84</v>
      </c>
      <c r="W206">
        <v>7</v>
      </c>
      <c r="X206" t="s">
        <v>50</v>
      </c>
      <c r="Y206" t="s">
        <v>32</v>
      </c>
      <c r="Z206" t="s">
        <v>33</v>
      </c>
      <c r="AA206" t="s">
        <v>34</v>
      </c>
      <c r="AB206" t="s">
        <v>35</v>
      </c>
      <c r="AC206" t="s">
        <v>36</v>
      </c>
    </row>
    <row r="207" spans="1:29" x14ac:dyDescent="0.25">
      <c r="A207">
        <v>218</v>
      </c>
      <c r="B207">
        <v>16207</v>
      </c>
      <c r="C207">
        <v>0</v>
      </c>
      <c r="D207">
        <v>16207</v>
      </c>
      <c r="E207" t="s">
        <v>46</v>
      </c>
      <c r="F207">
        <v>45</v>
      </c>
      <c r="G207" t="s">
        <v>53</v>
      </c>
      <c r="H207" t="s">
        <v>30</v>
      </c>
      <c r="I207">
        <v>2</v>
      </c>
      <c r="J207" t="s">
        <v>62</v>
      </c>
      <c r="K207">
        <v>550</v>
      </c>
      <c r="L207" t="s">
        <v>66</v>
      </c>
      <c r="M207">
        <v>1</v>
      </c>
      <c r="N207" t="s">
        <v>44</v>
      </c>
      <c r="O207">
        <v>0.45</v>
      </c>
      <c r="P207" t="s">
        <v>70</v>
      </c>
      <c r="Q207">
        <v>16840</v>
      </c>
      <c r="R207">
        <v>12386</v>
      </c>
      <c r="S207" t="s">
        <v>44</v>
      </c>
      <c r="T207">
        <v>1443</v>
      </c>
      <c r="U207" t="s">
        <v>73</v>
      </c>
      <c r="V207">
        <v>72</v>
      </c>
      <c r="W207">
        <v>6</v>
      </c>
      <c r="X207" t="s">
        <v>42</v>
      </c>
      <c r="Y207" t="s">
        <v>32</v>
      </c>
      <c r="Z207" t="s">
        <v>39</v>
      </c>
      <c r="AA207" t="s">
        <v>34</v>
      </c>
      <c r="AB207" t="s">
        <v>43</v>
      </c>
      <c r="AC207" t="s">
        <v>36</v>
      </c>
    </row>
    <row r="208" spans="1:29" x14ac:dyDescent="0.25">
      <c r="A208">
        <v>219</v>
      </c>
      <c r="B208">
        <v>13969</v>
      </c>
      <c r="C208">
        <v>9076</v>
      </c>
      <c r="D208">
        <v>23045</v>
      </c>
      <c r="E208" t="s">
        <v>48</v>
      </c>
      <c r="F208">
        <v>41</v>
      </c>
      <c r="G208" t="s">
        <v>65</v>
      </c>
      <c r="H208" t="s">
        <v>41</v>
      </c>
      <c r="I208">
        <v>1</v>
      </c>
      <c r="J208" t="s">
        <v>68</v>
      </c>
      <c r="K208">
        <v>577</v>
      </c>
      <c r="L208" t="s">
        <v>66</v>
      </c>
      <c r="M208">
        <v>4</v>
      </c>
      <c r="N208" t="s">
        <v>44</v>
      </c>
      <c r="O208">
        <v>0.31</v>
      </c>
      <c r="P208" t="s">
        <v>67</v>
      </c>
      <c r="Q208">
        <v>0</v>
      </c>
      <c r="R208">
        <v>34033</v>
      </c>
      <c r="S208" t="s">
        <v>44</v>
      </c>
      <c r="T208">
        <v>24903</v>
      </c>
      <c r="U208" t="s">
        <v>64</v>
      </c>
      <c r="V208">
        <v>60</v>
      </c>
      <c r="W208">
        <v>5</v>
      </c>
      <c r="X208" t="s">
        <v>47</v>
      </c>
      <c r="Y208" t="s">
        <v>45</v>
      </c>
      <c r="Z208" t="s">
        <v>39</v>
      </c>
      <c r="AA208" t="s">
        <v>34</v>
      </c>
      <c r="AB208" t="s">
        <v>35</v>
      </c>
      <c r="AC208" t="s">
        <v>36</v>
      </c>
    </row>
    <row r="209" spans="1:29" x14ac:dyDescent="0.25">
      <c r="A209">
        <v>220</v>
      </c>
      <c r="B209">
        <v>4869</v>
      </c>
      <c r="C209">
        <v>3564</v>
      </c>
      <c r="D209">
        <v>8433</v>
      </c>
      <c r="E209" t="s">
        <v>49</v>
      </c>
      <c r="F209">
        <v>57</v>
      </c>
      <c r="G209" t="s">
        <v>69</v>
      </c>
      <c r="H209" t="s">
        <v>30</v>
      </c>
      <c r="I209">
        <v>3</v>
      </c>
      <c r="J209" t="s">
        <v>58</v>
      </c>
      <c r="K209">
        <v>719</v>
      </c>
      <c r="L209" t="s">
        <v>63</v>
      </c>
      <c r="M209">
        <v>1</v>
      </c>
      <c r="N209" t="s">
        <v>44</v>
      </c>
      <c r="O209">
        <v>0.17</v>
      </c>
      <c r="P209" t="s">
        <v>59</v>
      </c>
      <c r="Q209">
        <v>4368</v>
      </c>
      <c r="R209">
        <v>45213</v>
      </c>
      <c r="S209" t="s">
        <v>44</v>
      </c>
      <c r="T209">
        <v>34522</v>
      </c>
      <c r="U209" t="s">
        <v>64</v>
      </c>
      <c r="V209">
        <v>72</v>
      </c>
      <c r="W209">
        <v>6</v>
      </c>
      <c r="X209" t="s">
        <v>42</v>
      </c>
      <c r="Y209" t="s">
        <v>45</v>
      </c>
      <c r="Z209" t="s">
        <v>39</v>
      </c>
      <c r="AA209" t="s">
        <v>40</v>
      </c>
      <c r="AB209" t="s">
        <v>43</v>
      </c>
      <c r="AC209" t="s">
        <v>36</v>
      </c>
    </row>
    <row r="210" spans="1:29" x14ac:dyDescent="0.25">
      <c r="A210">
        <v>221</v>
      </c>
      <c r="B210">
        <v>19340</v>
      </c>
      <c r="C210">
        <v>1389</v>
      </c>
      <c r="D210">
        <v>20729</v>
      </c>
      <c r="E210" t="s">
        <v>29</v>
      </c>
      <c r="F210">
        <v>58</v>
      </c>
      <c r="G210" t="s">
        <v>69</v>
      </c>
      <c r="H210" t="s">
        <v>30</v>
      </c>
      <c r="I210">
        <v>0</v>
      </c>
      <c r="J210" t="s">
        <v>54</v>
      </c>
      <c r="K210">
        <v>629</v>
      </c>
      <c r="L210" t="s">
        <v>55</v>
      </c>
      <c r="M210">
        <v>1</v>
      </c>
      <c r="N210" t="s">
        <v>44</v>
      </c>
      <c r="O210">
        <v>0.43</v>
      </c>
      <c r="P210" t="s">
        <v>70</v>
      </c>
      <c r="Q210">
        <v>11179</v>
      </c>
      <c r="R210">
        <v>12938</v>
      </c>
      <c r="S210" t="s">
        <v>44</v>
      </c>
      <c r="T210">
        <v>29180</v>
      </c>
      <c r="U210" t="s">
        <v>64</v>
      </c>
      <c r="V210">
        <v>24</v>
      </c>
      <c r="W210">
        <v>2</v>
      </c>
      <c r="X210" t="s">
        <v>31</v>
      </c>
      <c r="Y210" t="s">
        <v>38</v>
      </c>
      <c r="Z210" t="s">
        <v>33</v>
      </c>
      <c r="AA210" t="s">
        <v>40</v>
      </c>
      <c r="AB210" t="s">
        <v>51</v>
      </c>
      <c r="AC210" t="s">
        <v>36</v>
      </c>
    </row>
    <row r="211" spans="1:29" x14ac:dyDescent="0.25">
      <c r="A211">
        <v>222</v>
      </c>
      <c r="B211">
        <v>15992</v>
      </c>
      <c r="C211">
        <v>0</v>
      </c>
      <c r="D211">
        <v>15992</v>
      </c>
      <c r="E211" t="s">
        <v>49</v>
      </c>
      <c r="F211">
        <v>21</v>
      </c>
      <c r="G211" t="s">
        <v>72</v>
      </c>
      <c r="H211" t="s">
        <v>30</v>
      </c>
      <c r="I211">
        <v>2</v>
      </c>
      <c r="J211" t="s">
        <v>62</v>
      </c>
      <c r="K211">
        <v>625</v>
      </c>
      <c r="L211" t="s">
        <v>55</v>
      </c>
      <c r="M211">
        <v>1</v>
      </c>
      <c r="N211" t="s">
        <v>44</v>
      </c>
      <c r="O211">
        <v>0.36</v>
      </c>
      <c r="P211" t="s">
        <v>67</v>
      </c>
      <c r="Q211">
        <v>12076</v>
      </c>
      <c r="R211">
        <v>11159</v>
      </c>
      <c r="S211" t="s">
        <v>44</v>
      </c>
      <c r="T211">
        <v>22119</v>
      </c>
      <c r="U211" t="s">
        <v>64</v>
      </c>
      <c r="V211">
        <v>84</v>
      </c>
      <c r="W211">
        <v>7</v>
      </c>
      <c r="X211" t="s">
        <v>50</v>
      </c>
      <c r="Y211" t="s">
        <v>38</v>
      </c>
      <c r="Z211" t="s">
        <v>39</v>
      </c>
      <c r="AA211" t="s">
        <v>40</v>
      </c>
      <c r="AB211" t="s">
        <v>35</v>
      </c>
      <c r="AC211" t="s">
        <v>36</v>
      </c>
    </row>
    <row r="212" spans="1:29" x14ac:dyDescent="0.25">
      <c r="A212">
        <v>223</v>
      </c>
      <c r="B212">
        <v>7699</v>
      </c>
      <c r="C212">
        <v>824</v>
      </c>
      <c r="D212">
        <v>8523</v>
      </c>
      <c r="E212" t="s">
        <v>29</v>
      </c>
      <c r="F212">
        <v>45</v>
      </c>
      <c r="G212" t="s">
        <v>53</v>
      </c>
      <c r="H212" t="s">
        <v>30</v>
      </c>
      <c r="I212">
        <v>1</v>
      </c>
      <c r="J212" t="s">
        <v>68</v>
      </c>
      <c r="K212">
        <v>665</v>
      </c>
      <c r="L212" t="s">
        <v>55</v>
      </c>
      <c r="M212">
        <v>3</v>
      </c>
      <c r="N212" t="s">
        <v>44</v>
      </c>
      <c r="O212">
        <v>0.42</v>
      </c>
      <c r="P212" t="s">
        <v>70</v>
      </c>
      <c r="Q212">
        <v>18321</v>
      </c>
      <c r="R212">
        <v>2274</v>
      </c>
      <c r="S212" t="s">
        <v>44</v>
      </c>
      <c r="T212">
        <v>11363</v>
      </c>
      <c r="U212" t="s">
        <v>57</v>
      </c>
      <c r="V212">
        <v>48</v>
      </c>
      <c r="W212">
        <v>4</v>
      </c>
      <c r="X212" t="s">
        <v>50</v>
      </c>
      <c r="Y212" t="s">
        <v>45</v>
      </c>
      <c r="Z212" t="s">
        <v>33</v>
      </c>
      <c r="AA212" t="s">
        <v>40</v>
      </c>
      <c r="AB212" t="s">
        <v>48</v>
      </c>
      <c r="AC212" t="s">
        <v>36</v>
      </c>
    </row>
    <row r="213" spans="1:29" x14ac:dyDescent="0.25">
      <c r="A213">
        <v>224</v>
      </c>
      <c r="B213">
        <v>5987</v>
      </c>
      <c r="C213">
        <v>0</v>
      </c>
      <c r="D213">
        <v>5987</v>
      </c>
      <c r="E213" t="s">
        <v>29</v>
      </c>
      <c r="F213">
        <v>56</v>
      </c>
      <c r="G213" t="s">
        <v>69</v>
      </c>
      <c r="H213" t="s">
        <v>30</v>
      </c>
      <c r="I213">
        <v>1</v>
      </c>
      <c r="J213" t="s">
        <v>68</v>
      </c>
      <c r="K213">
        <v>618</v>
      </c>
      <c r="L213" t="s">
        <v>55</v>
      </c>
      <c r="M213">
        <v>1</v>
      </c>
      <c r="N213" t="s">
        <v>44</v>
      </c>
      <c r="O213">
        <v>0.27</v>
      </c>
      <c r="P213" t="s">
        <v>59</v>
      </c>
      <c r="Q213">
        <v>13948</v>
      </c>
      <c r="R213">
        <v>18854</v>
      </c>
      <c r="S213" t="s">
        <v>44</v>
      </c>
      <c r="T213">
        <v>39164</v>
      </c>
      <c r="U213" t="s">
        <v>60</v>
      </c>
      <c r="V213">
        <v>84</v>
      </c>
      <c r="W213">
        <v>7</v>
      </c>
      <c r="X213" t="s">
        <v>37</v>
      </c>
      <c r="Y213" t="s">
        <v>45</v>
      </c>
      <c r="Z213" t="s">
        <v>33</v>
      </c>
      <c r="AA213" t="s">
        <v>34</v>
      </c>
      <c r="AB213" t="s">
        <v>51</v>
      </c>
      <c r="AC213" t="s">
        <v>36</v>
      </c>
    </row>
    <row r="214" spans="1:29" x14ac:dyDescent="0.25">
      <c r="A214">
        <v>225</v>
      </c>
      <c r="B214">
        <v>15446</v>
      </c>
      <c r="C214">
        <v>936</v>
      </c>
      <c r="D214">
        <v>16382</v>
      </c>
      <c r="E214" t="s">
        <v>29</v>
      </c>
      <c r="F214">
        <v>37</v>
      </c>
      <c r="G214" t="s">
        <v>65</v>
      </c>
      <c r="H214" t="s">
        <v>41</v>
      </c>
      <c r="I214">
        <v>1</v>
      </c>
      <c r="J214" t="s">
        <v>68</v>
      </c>
      <c r="K214">
        <v>647</v>
      </c>
      <c r="L214" t="s">
        <v>55</v>
      </c>
      <c r="M214">
        <v>0</v>
      </c>
      <c r="N214" t="s">
        <v>36</v>
      </c>
      <c r="O214">
        <v>0.55000000000000004</v>
      </c>
      <c r="P214" t="s">
        <v>56</v>
      </c>
      <c r="Q214">
        <v>17530</v>
      </c>
      <c r="R214">
        <v>31815</v>
      </c>
      <c r="S214" t="s">
        <v>44</v>
      </c>
      <c r="T214">
        <v>32541</v>
      </c>
      <c r="U214" t="s">
        <v>64</v>
      </c>
      <c r="V214">
        <v>72</v>
      </c>
      <c r="W214">
        <v>6</v>
      </c>
      <c r="X214" t="s">
        <v>37</v>
      </c>
      <c r="Y214" t="s">
        <v>38</v>
      </c>
      <c r="Z214" t="s">
        <v>33</v>
      </c>
      <c r="AA214" t="s">
        <v>34</v>
      </c>
      <c r="AB214" t="s">
        <v>42</v>
      </c>
      <c r="AC214" t="s">
        <v>36</v>
      </c>
    </row>
    <row r="215" spans="1:29" x14ac:dyDescent="0.25">
      <c r="A215">
        <v>226</v>
      </c>
      <c r="B215">
        <v>3218</v>
      </c>
      <c r="C215">
        <v>6402</v>
      </c>
      <c r="D215">
        <v>9620</v>
      </c>
      <c r="E215" t="s">
        <v>29</v>
      </c>
      <c r="F215">
        <v>44</v>
      </c>
      <c r="G215" t="s">
        <v>65</v>
      </c>
      <c r="H215" t="s">
        <v>30</v>
      </c>
      <c r="I215">
        <v>0</v>
      </c>
      <c r="J215" t="s">
        <v>54</v>
      </c>
      <c r="K215">
        <v>783</v>
      </c>
      <c r="L215" t="s">
        <v>71</v>
      </c>
      <c r="M215">
        <v>0</v>
      </c>
      <c r="N215" t="s">
        <v>36</v>
      </c>
      <c r="O215">
        <v>0.39</v>
      </c>
      <c r="P215" t="s">
        <v>67</v>
      </c>
      <c r="Q215">
        <v>13824</v>
      </c>
      <c r="R215">
        <v>10482</v>
      </c>
      <c r="S215" t="s">
        <v>44</v>
      </c>
      <c r="T215">
        <v>4465</v>
      </c>
      <c r="U215" t="s">
        <v>73</v>
      </c>
      <c r="V215">
        <v>60</v>
      </c>
      <c r="W215">
        <v>5</v>
      </c>
      <c r="X215" t="s">
        <v>31</v>
      </c>
      <c r="Y215" t="s">
        <v>32</v>
      </c>
      <c r="Z215" t="s">
        <v>39</v>
      </c>
      <c r="AA215" t="s">
        <v>34</v>
      </c>
      <c r="AB215" t="s">
        <v>42</v>
      </c>
      <c r="AC215" t="s">
        <v>44</v>
      </c>
    </row>
    <row r="216" spans="1:29" x14ac:dyDescent="0.25">
      <c r="A216">
        <v>227</v>
      </c>
      <c r="B216">
        <v>0</v>
      </c>
      <c r="C216">
        <v>3845</v>
      </c>
      <c r="D216">
        <v>3845</v>
      </c>
      <c r="E216" t="s">
        <v>29</v>
      </c>
      <c r="F216">
        <v>22</v>
      </c>
      <c r="G216" t="s">
        <v>72</v>
      </c>
      <c r="H216" t="s">
        <v>30</v>
      </c>
      <c r="I216">
        <v>2</v>
      </c>
      <c r="J216" t="s">
        <v>62</v>
      </c>
      <c r="K216">
        <v>550</v>
      </c>
      <c r="L216" t="s">
        <v>66</v>
      </c>
      <c r="M216">
        <v>4</v>
      </c>
      <c r="N216" t="s">
        <v>44</v>
      </c>
      <c r="O216">
        <v>0.14000000000000001</v>
      </c>
      <c r="P216" t="s">
        <v>59</v>
      </c>
      <c r="Q216">
        <v>4299</v>
      </c>
      <c r="R216">
        <v>18961</v>
      </c>
      <c r="S216" t="s">
        <v>44</v>
      </c>
      <c r="T216">
        <v>3711</v>
      </c>
      <c r="U216" t="s">
        <v>73</v>
      </c>
      <c r="V216">
        <v>60</v>
      </c>
      <c r="W216">
        <v>5</v>
      </c>
      <c r="X216" t="s">
        <v>50</v>
      </c>
      <c r="Y216" t="s">
        <v>32</v>
      </c>
      <c r="Z216" t="s">
        <v>39</v>
      </c>
      <c r="AA216" t="s">
        <v>40</v>
      </c>
      <c r="AB216" t="s">
        <v>43</v>
      </c>
      <c r="AC216" t="s">
        <v>36</v>
      </c>
    </row>
    <row r="217" spans="1:29" x14ac:dyDescent="0.25">
      <c r="A217">
        <v>228</v>
      </c>
      <c r="B217">
        <v>13296</v>
      </c>
      <c r="C217">
        <v>1796</v>
      </c>
      <c r="D217">
        <v>15092</v>
      </c>
      <c r="E217" t="s">
        <v>48</v>
      </c>
      <c r="F217">
        <v>40</v>
      </c>
      <c r="G217" t="s">
        <v>65</v>
      </c>
      <c r="H217" t="s">
        <v>41</v>
      </c>
      <c r="I217">
        <v>0</v>
      </c>
      <c r="J217" t="s">
        <v>54</v>
      </c>
      <c r="K217">
        <v>716</v>
      </c>
      <c r="L217" t="s">
        <v>63</v>
      </c>
      <c r="M217">
        <v>3</v>
      </c>
      <c r="N217" t="s">
        <v>44</v>
      </c>
      <c r="O217">
        <v>0.32</v>
      </c>
      <c r="P217" t="s">
        <v>67</v>
      </c>
      <c r="Q217">
        <v>14120</v>
      </c>
      <c r="R217">
        <v>20044</v>
      </c>
      <c r="S217" t="s">
        <v>44</v>
      </c>
      <c r="T217">
        <v>26198</v>
      </c>
      <c r="U217" t="s">
        <v>64</v>
      </c>
      <c r="V217">
        <v>12</v>
      </c>
      <c r="W217">
        <v>1</v>
      </c>
      <c r="X217" t="s">
        <v>47</v>
      </c>
      <c r="Y217" t="s">
        <v>32</v>
      </c>
      <c r="Z217" t="s">
        <v>39</v>
      </c>
      <c r="AA217" t="s">
        <v>40</v>
      </c>
      <c r="AB217" t="s">
        <v>42</v>
      </c>
      <c r="AC217" t="s">
        <v>44</v>
      </c>
    </row>
    <row r="218" spans="1:29" x14ac:dyDescent="0.25">
      <c r="A218">
        <v>229</v>
      </c>
      <c r="B218">
        <v>6555</v>
      </c>
      <c r="C218">
        <v>0</v>
      </c>
      <c r="D218">
        <v>6555</v>
      </c>
      <c r="E218" t="s">
        <v>49</v>
      </c>
      <c r="F218">
        <v>52</v>
      </c>
      <c r="G218" t="s">
        <v>53</v>
      </c>
      <c r="H218" t="s">
        <v>41</v>
      </c>
      <c r="I218">
        <v>0</v>
      </c>
      <c r="J218" t="s">
        <v>54</v>
      </c>
      <c r="K218">
        <v>645</v>
      </c>
      <c r="L218" t="s">
        <v>55</v>
      </c>
      <c r="M218">
        <v>0</v>
      </c>
      <c r="N218" t="s">
        <v>36</v>
      </c>
      <c r="O218">
        <v>0.48</v>
      </c>
      <c r="P218" t="s">
        <v>70</v>
      </c>
      <c r="Q218">
        <v>8118</v>
      </c>
      <c r="R218">
        <v>33836</v>
      </c>
      <c r="S218" t="s">
        <v>44</v>
      </c>
      <c r="T218">
        <v>23488</v>
      </c>
      <c r="U218" t="s">
        <v>64</v>
      </c>
      <c r="V218">
        <v>12</v>
      </c>
      <c r="W218">
        <v>1</v>
      </c>
      <c r="X218" t="s">
        <v>42</v>
      </c>
      <c r="Y218" t="s">
        <v>38</v>
      </c>
      <c r="Z218" t="s">
        <v>39</v>
      </c>
      <c r="AA218" t="s">
        <v>40</v>
      </c>
      <c r="AB218" t="s">
        <v>43</v>
      </c>
      <c r="AC218" t="s">
        <v>36</v>
      </c>
    </row>
    <row r="219" spans="1:29" x14ac:dyDescent="0.25">
      <c r="A219">
        <v>230</v>
      </c>
      <c r="B219">
        <v>11146</v>
      </c>
      <c r="C219">
        <v>7214</v>
      </c>
      <c r="D219">
        <v>18360</v>
      </c>
      <c r="E219" t="s">
        <v>46</v>
      </c>
      <c r="F219">
        <v>59</v>
      </c>
      <c r="G219" t="s">
        <v>69</v>
      </c>
      <c r="H219" t="s">
        <v>30</v>
      </c>
      <c r="I219">
        <v>0</v>
      </c>
      <c r="J219" t="s">
        <v>54</v>
      </c>
      <c r="K219">
        <v>767</v>
      </c>
      <c r="L219" t="s">
        <v>71</v>
      </c>
      <c r="M219">
        <v>3</v>
      </c>
      <c r="N219" t="s">
        <v>44</v>
      </c>
      <c r="O219">
        <v>0.5</v>
      </c>
      <c r="P219" t="s">
        <v>70</v>
      </c>
      <c r="Q219">
        <v>10756</v>
      </c>
      <c r="R219">
        <v>21975</v>
      </c>
      <c r="S219" t="s">
        <v>44</v>
      </c>
      <c r="T219">
        <v>39515</v>
      </c>
      <c r="U219" t="s">
        <v>60</v>
      </c>
      <c r="V219">
        <v>12</v>
      </c>
      <c r="W219">
        <v>1</v>
      </c>
      <c r="X219" t="s">
        <v>50</v>
      </c>
      <c r="Y219" t="s">
        <v>45</v>
      </c>
      <c r="Z219" t="s">
        <v>39</v>
      </c>
      <c r="AA219" t="s">
        <v>40</v>
      </c>
      <c r="AB219" t="s">
        <v>51</v>
      </c>
      <c r="AC219" t="s">
        <v>36</v>
      </c>
    </row>
    <row r="220" spans="1:29" x14ac:dyDescent="0.25">
      <c r="A220">
        <v>231</v>
      </c>
      <c r="B220">
        <v>10050</v>
      </c>
      <c r="C220">
        <v>726</v>
      </c>
      <c r="D220">
        <v>10776</v>
      </c>
      <c r="E220" t="s">
        <v>29</v>
      </c>
      <c r="F220">
        <v>40</v>
      </c>
      <c r="G220" t="s">
        <v>65</v>
      </c>
      <c r="H220" t="s">
        <v>30</v>
      </c>
      <c r="I220">
        <v>0</v>
      </c>
      <c r="J220" t="s">
        <v>54</v>
      </c>
      <c r="K220">
        <v>566</v>
      </c>
      <c r="L220" t="s">
        <v>66</v>
      </c>
      <c r="M220">
        <v>3</v>
      </c>
      <c r="N220" t="s">
        <v>44</v>
      </c>
      <c r="O220">
        <v>0.35</v>
      </c>
      <c r="P220" t="s">
        <v>67</v>
      </c>
      <c r="Q220">
        <v>7953</v>
      </c>
      <c r="R220">
        <v>14706</v>
      </c>
      <c r="S220" t="s">
        <v>44</v>
      </c>
      <c r="T220">
        <v>24608</v>
      </c>
      <c r="U220" t="s">
        <v>64</v>
      </c>
      <c r="V220">
        <v>72</v>
      </c>
      <c r="W220">
        <v>6</v>
      </c>
      <c r="X220" t="s">
        <v>47</v>
      </c>
      <c r="Y220" t="s">
        <v>45</v>
      </c>
      <c r="Z220" t="s">
        <v>33</v>
      </c>
      <c r="AA220" t="s">
        <v>34</v>
      </c>
      <c r="AB220" t="s">
        <v>42</v>
      </c>
      <c r="AC220" t="s">
        <v>36</v>
      </c>
    </row>
    <row r="221" spans="1:29" x14ac:dyDescent="0.25">
      <c r="A221">
        <v>232</v>
      </c>
      <c r="B221">
        <v>14757</v>
      </c>
      <c r="C221">
        <v>2736</v>
      </c>
      <c r="D221">
        <v>17493</v>
      </c>
      <c r="E221" t="s">
        <v>48</v>
      </c>
      <c r="F221">
        <v>21</v>
      </c>
      <c r="G221" t="s">
        <v>72</v>
      </c>
      <c r="H221" t="s">
        <v>30</v>
      </c>
      <c r="I221">
        <v>3</v>
      </c>
      <c r="J221" t="s">
        <v>58</v>
      </c>
      <c r="K221">
        <v>661</v>
      </c>
      <c r="L221" t="s">
        <v>55</v>
      </c>
      <c r="M221">
        <v>4</v>
      </c>
      <c r="N221" t="s">
        <v>44</v>
      </c>
      <c r="O221">
        <v>0.55000000000000004</v>
      </c>
      <c r="P221" t="s">
        <v>56</v>
      </c>
      <c r="Q221">
        <v>4784</v>
      </c>
      <c r="R221">
        <v>5974</v>
      </c>
      <c r="S221" t="s">
        <v>44</v>
      </c>
      <c r="T221">
        <v>28898</v>
      </c>
      <c r="U221" t="s">
        <v>64</v>
      </c>
      <c r="V221">
        <v>48</v>
      </c>
      <c r="W221">
        <v>4</v>
      </c>
      <c r="X221" t="s">
        <v>47</v>
      </c>
      <c r="Y221" t="s">
        <v>32</v>
      </c>
      <c r="Z221" t="s">
        <v>33</v>
      </c>
      <c r="AA221" t="s">
        <v>40</v>
      </c>
      <c r="AB221" t="s">
        <v>51</v>
      </c>
      <c r="AC221" t="s">
        <v>36</v>
      </c>
    </row>
    <row r="222" spans="1:29" x14ac:dyDescent="0.25">
      <c r="A222">
        <v>233</v>
      </c>
      <c r="B222">
        <v>19429</v>
      </c>
      <c r="C222">
        <v>1913</v>
      </c>
      <c r="D222">
        <v>21342</v>
      </c>
      <c r="E222" t="s">
        <v>48</v>
      </c>
      <c r="F222">
        <v>43</v>
      </c>
      <c r="G222" t="s">
        <v>65</v>
      </c>
      <c r="H222" t="s">
        <v>41</v>
      </c>
      <c r="I222">
        <v>3</v>
      </c>
      <c r="J222" t="s">
        <v>58</v>
      </c>
      <c r="K222">
        <v>640</v>
      </c>
      <c r="L222" t="s">
        <v>55</v>
      </c>
      <c r="M222">
        <v>3</v>
      </c>
      <c r="N222" t="s">
        <v>44</v>
      </c>
      <c r="O222">
        <v>0.23</v>
      </c>
      <c r="P222" t="s">
        <v>59</v>
      </c>
      <c r="Q222">
        <v>15185</v>
      </c>
      <c r="R222">
        <v>10928</v>
      </c>
      <c r="S222" t="s">
        <v>44</v>
      </c>
      <c r="T222">
        <v>2919</v>
      </c>
      <c r="U222" t="s">
        <v>73</v>
      </c>
      <c r="V222">
        <v>24</v>
      </c>
      <c r="W222">
        <v>2</v>
      </c>
      <c r="X222" t="s">
        <v>42</v>
      </c>
      <c r="Y222" t="s">
        <v>38</v>
      </c>
      <c r="Z222" t="s">
        <v>39</v>
      </c>
      <c r="AA222" t="s">
        <v>34</v>
      </c>
      <c r="AB222" t="s">
        <v>51</v>
      </c>
      <c r="AC222" t="s">
        <v>36</v>
      </c>
    </row>
    <row r="223" spans="1:29" x14ac:dyDescent="0.25">
      <c r="A223">
        <v>234</v>
      </c>
      <c r="B223">
        <v>8893</v>
      </c>
      <c r="C223">
        <v>9788</v>
      </c>
      <c r="D223">
        <v>18681</v>
      </c>
      <c r="E223" t="s">
        <v>49</v>
      </c>
      <c r="F223">
        <v>59</v>
      </c>
      <c r="G223" t="s">
        <v>69</v>
      </c>
      <c r="H223" t="s">
        <v>30</v>
      </c>
      <c r="I223">
        <v>0</v>
      </c>
      <c r="J223" t="s">
        <v>54</v>
      </c>
      <c r="K223">
        <v>637</v>
      </c>
      <c r="L223" t="s">
        <v>55</v>
      </c>
      <c r="M223">
        <v>1</v>
      </c>
      <c r="N223" t="s">
        <v>44</v>
      </c>
      <c r="O223">
        <v>0.35</v>
      </c>
      <c r="P223" t="s">
        <v>67</v>
      </c>
      <c r="Q223">
        <v>9024</v>
      </c>
      <c r="R223">
        <v>21213</v>
      </c>
      <c r="S223" t="s">
        <v>44</v>
      </c>
      <c r="T223">
        <v>32171</v>
      </c>
      <c r="U223" t="s">
        <v>64</v>
      </c>
      <c r="V223">
        <v>72</v>
      </c>
      <c r="W223">
        <v>6</v>
      </c>
      <c r="X223" t="s">
        <v>47</v>
      </c>
      <c r="Y223" t="s">
        <v>32</v>
      </c>
      <c r="Z223" t="s">
        <v>39</v>
      </c>
      <c r="AA223" t="s">
        <v>34</v>
      </c>
      <c r="AB223" t="s">
        <v>35</v>
      </c>
      <c r="AC223" t="s">
        <v>36</v>
      </c>
    </row>
    <row r="224" spans="1:29" x14ac:dyDescent="0.25">
      <c r="A224">
        <v>235</v>
      </c>
      <c r="B224">
        <v>16373</v>
      </c>
      <c r="C224">
        <v>7657</v>
      </c>
      <c r="D224">
        <v>24030</v>
      </c>
      <c r="E224" t="s">
        <v>29</v>
      </c>
      <c r="F224">
        <v>37</v>
      </c>
      <c r="G224" t="s">
        <v>65</v>
      </c>
      <c r="H224" t="s">
        <v>41</v>
      </c>
      <c r="I224">
        <v>0</v>
      </c>
      <c r="J224" t="s">
        <v>54</v>
      </c>
      <c r="K224">
        <v>712</v>
      </c>
      <c r="L224" t="s">
        <v>63</v>
      </c>
      <c r="M224">
        <v>3</v>
      </c>
      <c r="N224" t="s">
        <v>44</v>
      </c>
      <c r="O224">
        <v>0.55000000000000004</v>
      </c>
      <c r="P224" t="s">
        <v>56</v>
      </c>
      <c r="Q224">
        <v>14674</v>
      </c>
      <c r="R224">
        <v>1950</v>
      </c>
      <c r="S224" t="s">
        <v>44</v>
      </c>
      <c r="T224">
        <v>21599</v>
      </c>
      <c r="U224" t="s">
        <v>64</v>
      </c>
      <c r="V224">
        <v>84</v>
      </c>
      <c r="W224">
        <v>7</v>
      </c>
      <c r="X224" t="s">
        <v>31</v>
      </c>
      <c r="Y224" t="s">
        <v>45</v>
      </c>
      <c r="Z224" t="s">
        <v>33</v>
      </c>
      <c r="AA224" t="s">
        <v>40</v>
      </c>
      <c r="AB224" t="s">
        <v>35</v>
      </c>
      <c r="AC224" t="s">
        <v>36</v>
      </c>
    </row>
    <row r="225" spans="1:29" x14ac:dyDescent="0.25">
      <c r="A225">
        <v>236</v>
      </c>
      <c r="B225">
        <v>16565</v>
      </c>
      <c r="C225">
        <v>2466</v>
      </c>
      <c r="D225">
        <v>19031</v>
      </c>
      <c r="E225" t="s">
        <v>29</v>
      </c>
      <c r="F225">
        <v>54</v>
      </c>
      <c r="G225" t="s">
        <v>53</v>
      </c>
      <c r="H225" t="s">
        <v>41</v>
      </c>
      <c r="I225">
        <v>0</v>
      </c>
      <c r="J225" t="s">
        <v>54</v>
      </c>
      <c r="K225">
        <v>723</v>
      </c>
      <c r="L225" t="s">
        <v>63</v>
      </c>
      <c r="M225">
        <v>4</v>
      </c>
      <c r="N225" t="s">
        <v>44</v>
      </c>
      <c r="O225">
        <v>0.55000000000000004</v>
      </c>
      <c r="P225" t="s">
        <v>56</v>
      </c>
      <c r="Q225">
        <v>17845</v>
      </c>
      <c r="R225">
        <v>19477</v>
      </c>
      <c r="S225" t="s">
        <v>44</v>
      </c>
      <c r="T225">
        <v>17965</v>
      </c>
      <c r="U225" t="s">
        <v>57</v>
      </c>
      <c r="V225">
        <v>12</v>
      </c>
      <c r="W225">
        <v>1</v>
      </c>
      <c r="X225" t="s">
        <v>47</v>
      </c>
      <c r="Y225" t="s">
        <v>32</v>
      </c>
      <c r="Z225" t="s">
        <v>39</v>
      </c>
      <c r="AA225" t="s">
        <v>40</v>
      </c>
      <c r="AB225" t="s">
        <v>51</v>
      </c>
      <c r="AC225" t="s">
        <v>36</v>
      </c>
    </row>
    <row r="226" spans="1:29" x14ac:dyDescent="0.25">
      <c r="A226">
        <v>237</v>
      </c>
      <c r="B226">
        <v>5436</v>
      </c>
      <c r="C226">
        <v>9041</v>
      </c>
      <c r="D226">
        <v>14477</v>
      </c>
      <c r="E226" t="s">
        <v>29</v>
      </c>
      <c r="F226">
        <v>49</v>
      </c>
      <c r="G226" t="s">
        <v>53</v>
      </c>
      <c r="H226" t="s">
        <v>30</v>
      </c>
      <c r="I226">
        <v>3</v>
      </c>
      <c r="J226" t="s">
        <v>58</v>
      </c>
      <c r="K226">
        <v>719</v>
      </c>
      <c r="L226" t="s">
        <v>63</v>
      </c>
      <c r="M226">
        <v>4</v>
      </c>
      <c r="N226" t="s">
        <v>44</v>
      </c>
      <c r="O226">
        <v>0.44</v>
      </c>
      <c r="P226" t="s">
        <v>70</v>
      </c>
      <c r="Q226">
        <v>11708</v>
      </c>
      <c r="R226">
        <v>10411</v>
      </c>
      <c r="S226" t="s">
        <v>44</v>
      </c>
      <c r="T226">
        <v>15434</v>
      </c>
      <c r="U226" t="s">
        <v>57</v>
      </c>
      <c r="V226">
        <v>60</v>
      </c>
      <c r="W226">
        <v>5</v>
      </c>
      <c r="X226" t="s">
        <v>31</v>
      </c>
      <c r="Y226" t="s">
        <v>32</v>
      </c>
      <c r="Z226" t="s">
        <v>39</v>
      </c>
      <c r="AA226" t="s">
        <v>34</v>
      </c>
      <c r="AB226" t="s">
        <v>35</v>
      </c>
      <c r="AC226" t="s">
        <v>36</v>
      </c>
    </row>
    <row r="227" spans="1:29" x14ac:dyDescent="0.25">
      <c r="A227">
        <v>238</v>
      </c>
      <c r="B227">
        <v>10754</v>
      </c>
      <c r="C227">
        <v>7312</v>
      </c>
      <c r="D227">
        <v>18066</v>
      </c>
      <c r="E227" t="s">
        <v>29</v>
      </c>
      <c r="F227">
        <v>29</v>
      </c>
      <c r="G227" t="s">
        <v>61</v>
      </c>
      <c r="H227" t="s">
        <v>30</v>
      </c>
      <c r="I227">
        <v>0</v>
      </c>
      <c r="J227" t="s">
        <v>54</v>
      </c>
      <c r="K227">
        <v>795</v>
      </c>
      <c r="L227" t="s">
        <v>71</v>
      </c>
      <c r="M227">
        <v>0</v>
      </c>
      <c r="N227" t="s">
        <v>36</v>
      </c>
      <c r="O227">
        <v>0.53</v>
      </c>
      <c r="P227" t="s">
        <v>56</v>
      </c>
      <c r="Q227">
        <v>1159</v>
      </c>
      <c r="R227">
        <v>21695</v>
      </c>
      <c r="S227" t="s">
        <v>44</v>
      </c>
      <c r="T227">
        <v>37649</v>
      </c>
      <c r="U227" t="s">
        <v>60</v>
      </c>
      <c r="V227">
        <v>72</v>
      </c>
      <c r="W227">
        <v>6</v>
      </c>
      <c r="X227" t="s">
        <v>47</v>
      </c>
      <c r="Y227" t="s">
        <v>45</v>
      </c>
      <c r="Z227" t="s">
        <v>39</v>
      </c>
      <c r="AA227" t="s">
        <v>40</v>
      </c>
      <c r="AB227" t="s">
        <v>43</v>
      </c>
      <c r="AC227" t="s">
        <v>36</v>
      </c>
    </row>
    <row r="228" spans="1:29" x14ac:dyDescent="0.25">
      <c r="A228">
        <v>239</v>
      </c>
      <c r="B228">
        <v>12677</v>
      </c>
      <c r="C228">
        <v>8194</v>
      </c>
      <c r="D228">
        <v>20871</v>
      </c>
      <c r="E228" t="s">
        <v>29</v>
      </c>
      <c r="F228">
        <v>33</v>
      </c>
      <c r="G228" t="s">
        <v>61</v>
      </c>
      <c r="H228" t="s">
        <v>30</v>
      </c>
      <c r="I228">
        <v>0</v>
      </c>
      <c r="J228" t="s">
        <v>54</v>
      </c>
      <c r="K228">
        <v>716</v>
      </c>
      <c r="L228" t="s">
        <v>63</v>
      </c>
      <c r="M228">
        <v>0</v>
      </c>
      <c r="N228" t="s">
        <v>36</v>
      </c>
      <c r="O228">
        <v>0.14000000000000001</v>
      </c>
      <c r="P228" t="s">
        <v>59</v>
      </c>
      <c r="Q228">
        <v>386</v>
      </c>
      <c r="R228">
        <v>46156</v>
      </c>
      <c r="S228" t="s">
        <v>44</v>
      </c>
      <c r="T228">
        <v>2999</v>
      </c>
      <c r="U228" t="s">
        <v>73</v>
      </c>
      <c r="V228">
        <v>60</v>
      </c>
      <c r="W228">
        <v>5</v>
      </c>
      <c r="X228" t="s">
        <v>37</v>
      </c>
      <c r="Y228" t="s">
        <v>38</v>
      </c>
      <c r="Z228" t="s">
        <v>33</v>
      </c>
      <c r="AA228" t="s">
        <v>34</v>
      </c>
      <c r="AB228" t="s">
        <v>43</v>
      </c>
      <c r="AC228" t="s">
        <v>44</v>
      </c>
    </row>
    <row r="229" spans="1:29" x14ac:dyDescent="0.25">
      <c r="A229">
        <v>240</v>
      </c>
      <c r="B229">
        <v>7895</v>
      </c>
      <c r="C229">
        <v>7906</v>
      </c>
      <c r="D229">
        <v>15801</v>
      </c>
      <c r="E229" t="s">
        <v>48</v>
      </c>
      <c r="F229">
        <v>26</v>
      </c>
      <c r="G229" t="s">
        <v>61</v>
      </c>
      <c r="H229" t="s">
        <v>30</v>
      </c>
      <c r="I229">
        <v>1</v>
      </c>
      <c r="J229" t="s">
        <v>68</v>
      </c>
      <c r="K229">
        <v>639</v>
      </c>
      <c r="L229" t="s">
        <v>55</v>
      </c>
      <c r="M229">
        <v>1</v>
      </c>
      <c r="N229" t="s">
        <v>44</v>
      </c>
      <c r="O229">
        <v>0.53</v>
      </c>
      <c r="P229" t="s">
        <v>56</v>
      </c>
      <c r="Q229">
        <v>7192</v>
      </c>
      <c r="R229">
        <v>17771</v>
      </c>
      <c r="S229" t="s">
        <v>44</v>
      </c>
      <c r="T229">
        <v>15849</v>
      </c>
      <c r="U229" t="s">
        <v>57</v>
      </c>
      <c r="V229">
        <v>84</v>
      </c>
      <c r="W229">
        <v>7</v>
      </c>
      <c r="X229" t="s">
        <v>42</v>
      </c>
      <c r="Y229" t="s">
        <v>32</v>
      </c>
      <c r="Z229" t="s">
        <v>39</v>
      </c>
      <c r="AA229" t="s">
        <v>40</v>
      </c>
      <c r="AB229" t="s">
        <v>35</v>
      </c>
      <c r="AC229" t="s">
        <v>36</v>
      </c>
    </row>
    <row r="230" spans="1:29" x14ac:dyDescent="0.25">
      <c r="A230">
        <v>241</v>
      </c>
      <c r="B230">
        <v>18609</v>
      </c>
      <c r="C230">
        <v>4876</v>
      </c>
      <c r="D230">
        <v>23485</v>
      </c>
      <c r="E230" t="s">
        <v>29</v>
      </c>
      <c r="F230">
        <v>26</v>
      </c>
      <c r="G230" t="s">
        <v>61</v>
      </c>
      <c r="H230" t="s">
        <v>30</v>
      </c>
      <c r="I230">
        <v>0</v>
      </c>
      <c r="J230" t="s">
        <v>54</v>
      </c>
      <c r="K230">
        <v>598</v>
      </c>
      <c r="L230" t="s">
        <v>55</v>
      </c>
      <c r="M230">
        <v>0</v>
      </c>
      <c r="N230" t="s">
        <v>36</v>
      </c>
      <c r="O230">
        <v>0.26</v>
      </c>
      <c r="P230" t="s">
        <v>59</v>
      </c>
      <c r="Q230">
        <v>10745</v>
      </c>
      <c r="R230">
        <v>4274</v>
      </c>
      <c r="S230" t="s">
        <v>44</v>
      </c>
      <c r="T230">
        <v>11903</v>
      </c>
      <c r="U230" t="s">
        <v>57</v>
      </c>
      <c r="V230">
        <v>60</v>
      </c>
      <c r="W230">
        <v>5</v>
      </c>
      <c r="X230" t="s">
        <v>31</v>
      </c>
      <c r="Y230" t="s">
        <v>32</v>
      </c>
      <c r="Z230" t="s">
        <v>33</v>
      </c>
      <c r="AA230" t="s">
        <v>40</v>
      </c>
      <c r="AB230" t="s">
        <v>35</v>
      </c>
      <c r="AC230" t="s">
        <v>36</v>
      </c>
    </row>
    <row r="231" spans="1:29" x14ac:dyDescent="0.25">
      <c r="A231">
        <v>242</v>
      </c>
      <c r="B231">
        <v>17636</v>
      </c>
      <c r="C231">
        <v>7287</v>
      </c>
      <c r="D231">
        <v>24923</v>
      </c>
      <c r="E231" t="s">
        <v>29</v>
      </c>
      <c r="F231">
        <v>40</v>
      </c>
      <c r="G231" t="s">
        <v>65</v>
      </c>
      <c r="H231" t="s">
        <v>41</v>
      </c>
      <c r="I231">
        <v>1</v>
      </c>
      <c r="J231" t="s">
        <v>68</v>
      </c>
      <c r="K231">
        <v>739</v>
      </c>
      <c r="L231" t="s">
        <v>63</v>
      </c>
      <c r="M231">
        <v>2</v>
      </c>
      <c r="N231" t="s">
        <v>44</v>
      </c>
      <c r="O231">
        <v>0.19</v>
      </c>
      <c r="P231" t="s">
        <v>59</v>
      </c>
      <c r="Q231">
        <v>9910</v>
      </c>
      <c r="R231">
        <v>35053</v>
      </c>
      <c r="S231" t="s">
        <v>44</v>
      </c>
      <c r="T231">
        <v>6445</v>
      </c>
      <c r="U231" t="s">
        <v>57</v>
      </c>
      <c r="V231">
        <v>60</v>
      </c>
      <c r="W231">
        <v>5</v>
      </c>
      <c r="X231" t="s">
        <v>47</v>
      </c>
      <c r="Y231" t="s">
        <v>32</v>
      </c>
      <c r="Z231" t="s">
        <v>39</v>
      </c>
      <c r="AA231" t="s">
        <v>40</v>
      </c>
      <c r="AB231" t="s">
        <v>51</v>
      </c>
      <c r="AC231" t="s">
        <v>44</v>
      </c>
    </row>
    <row r="232" spans="1:29" x14ac:dyDescent="0.25">
      <c r="A232">
        <v>243</v>
      </c>
      <c r="B232">
        <v>0</v>
      </c>
      <c r="C232">
        <v>892</v>
      </c>
      <c r="D232">
        <v>892</v>
      </c>
      <c r="E232" t="s">
        <v>29</v>
      </c>
      <c r="F232">
        <v>23</v>
      </c>
      <c r="G232" t="s">
        <v>72</v>
      </c>
      <c r="H232" t="s">
        <v>41</v>
      </c>
      <c r="I232">
        <v>0</v>
      </c>
      <c r="J232" t="s">
        <v>54</v>
      </c>
      <c r="K232">
        <v>587</v>
      </c>
      <c r="L232" t="s">
        <v>55</v>
      </c>
      <c r="M232">
        <v>0</v>
      </c>
      <c r="N232" t="s">
        <v>36</v>
      </c>
      <c r="O232">
        <v>0.22</v>
      </c>
      <c r="P232" t="s">
        <v>59</v>
      </c>
      <c r="Q232">
        <v>3409</v>
      </c>
      <c r="R232">
        <v>7045</v>
      </c>
      <c r="S232" t="s">
        <v>44</v>
      </c>
      <c r="T232">
        <v>36396</v>
      </c>
      <c r="U232" t="s">
        <v>60</v>
      </c>
      <c r="V232">
        <v>36</v>
      </c>
      <c r="W232">
        <v>3</v>
      </c>
      <c r="X232" t="s">
        <v>47</v>
      </c>
      <c r="Y232" t="s">
        <v>32</v>
      </c>
      <c r="Z232" t="s">
        <v>39</v>
      </c>
      <c r="AA232" t="s">
        <v>40</v>
      </c>
      <c r="AB232" t="s">
        <v>42</v>
      </c>
      <c r="AC232" t="s">
        <v>36</v>
      </c>
    </row>
    <row r="233" spans="1:29" x14ac:dyDescent="0.25">
      <c r="A233">
        <v>244</v>
      </c>
      <c r="B233">
        <v>11151</v>
      </c>
      <c r="C233">
        <v>0</v>
      </c>
      <c r="D233">
        <v>11151</v>
      </c>
      <c r="E233" t="s">
        <v>52</v>
      </c>
      <c r="F233">
        <v>37</v>
      </c>
      <c r="G233" t="s">
        <v>65</v>
      </c>
      <c r="H233" t="s">
        <v>30</v>
      </c>
      <c r="I233">
        <v>2</v>
      </c>
      <c r="J233" t="s">
        <v>62</v>
      </c>
      <c r="K233">
        <v>700</v>
      </c>
      <c r="L233" t="s">
        <v>63</v>
      </c>
      <c r="M233">
        <v>3</v>
      </c>
      <c r="N233" t="s">
        <v>44</v>
      </c>
      <c r="O233">
        <v>0.31</v>
      </c>
      <c r="P233" t="s">
        <v>67</v>
      </c>
      <c r="Q233">
        <v>17073</v>
      </c>
      <c r="R233">
        <v>29714</v>
      </c>
      <c r="S233" t="s">
        <v>44</v>
      </c>
      <c r="T233">
        <v>19040</v>
      </c>
      <c r="U233" t="s">
        <v>57</v>
      </c>
      <c r="V233">
        <v>48</v>
      </c>
      <c r="W233">
        <v>4</v>
      </c>
      <c r="X233" t="s">
        <v>47</v>
      </c>
      <c r="Y233" t="s">
        <v>32</v>
      </c>
      <c r="Z233" t="s">
        <v>39</v>
      </c>
      <c r="AA233" t="s">
        <v>34</v>
      </c>
      <c r="AB233" t="s">
        <v>43</v>
      </c>
      <c r="AC233" t="s">
        <v>44</v>
      </c>
    </row>
    <row r="234" spans="1:29" x14ac:dyDescent="0.25">
      <c r="A234">
        <v>245</v>
      </c>
      <c r="B234">
        <v>7600</v>
      </c>
      <c r="C234">
        <v>1933</v>
      </c>
      <c r="D234">
        <v>9533</v>
      </c>
      <c r="E234" t="s">
        <v>29</v>
      </c>
      <c r="F234">
        <v>32</v>
      </c>
      <c r="G234" t="s">
        <v>61</v>
      </c>
      <c r="H234" t="s">
        <v>41</v>
      </c>
      <c r="I234">
        <v>3</v>
      </c>
      <c r="J234" t="s">
        <v>58</v>
      </c>
      <c r="K234">
        <v>699</v>
      </c>
      <c r="L234" t="s">
        <v>63</v>
      </c>
      <c r="M234">
        <v>4</v>
      </c>
      <c r="N234" t="s">
        <v>44</v>
      </c>
      <c r="O234">
        <v>0.23</v>
      </c>
      <c r="P234" t="s">
        <v>59</v>
      </c>
      <c r="Q234">
        <v>13180</v>
      </c>
      <c r="R234">
        <v>34386</v>
      </c>
      <c r="S234" t="s">
        <v>44</v>
      </c>
      <c r="T234">
        <v>1246</v>
      </c>
      <c r="U234" t="s">
        <v>73</v>
      </c>
      <c r="V234">
        <v>24</v>
      </c>
      <c r="W234">
        <v>2</v>
      </c>
      <c r="X234" t="s">
        <v>31</v>
      </c>
      <c r="Y234" t="s">
        <v>45</v>
      </c>
      <c r="Z234" t="s">
        <v>39</v>
      </c>
      <c r="AA234" t="s">
        <v>40</v>
      </c>
      <c r="AB234" t="s">
        <v>48</v>
      </c>
      <c r="AC234" t="s">
        <v>44</v>
      </c>
    </row>
    <row r="235" spans="1:29" x14ac:dyDescent="0.25">
      <c r="A235">
        <v>246</v>
      </c>
      <c r="B235">
        <v>9996</v>
      </c>
      <c r="C235">
        <v>1380</v>
      </c>
      <c r="D235">
        <v>11376</v>
      </c>
      <c r="E235" t="s">
        <v>29</v>
      </c>
      <c r="F235">
        <v>21</v>
      </c>
      <c r="G235" t="s">
        <v>72</v>
      </c>
      <c r="H235" t="s">
        <v>30</v>
      </c>
      <c r="I235">
        <v>1</v>
      </c>
      <c r="J235" t="s">
        <v>68</v>
      </c>
      <c r="K235">
        <v>681</v>
      </c>
      <c r="L235" t="s">
        <v>63</v>
      </c>
      <c r="M235">
        <v>2</v>
      </c>
      <c r="N235" t="s">
        <v>44</v>
      </c>
      <c r="O235">
        <v>0.26</v>
      </c>
      <c r="P235" t="s">
        <v>59</v>
      </c>
      <c r="Q235">
        <v>17336</v>
      </c>
      <c r="R235">
        <v>43747</v>
      </c>
      <c r="S235" t="s">
        <v>44</v>
      </c>
      <c r="T235">
        <v>32153</v>
      </c>
      <c r="U235" t="s">
        <v>64</v>
      </c>
      <c r="V235">
        <v>48</v>
      </c>
      <c r="W235">
        <v>4</v>
      </c>
      <c r="X235" t="s">
        <v>47</v>
      </c>
      <c r="Y235" t="s">
        <v>38</v>
      </c>
      <c r="Z235" t="s">
        <v>39</v>
      </c>
      <c r="AA235" t="s">
        <v>34</v>
      </c>
      <c r="AB235" t="s">
        <v>35</v>
      </c>
      <c r="AC235" t="s">
        <v>44</v>
      </c>
    </row>
    <row r="236" spans="1:29" x14ac:dyDescent="0.25">
      <c r="A236">
        <v>247</v>
      </c>
      <c r="B236">
        <v>11007</v>
      </c>
      <c r="C236">
        <v>1290</v>
      </c>
      <c r="D236">
        <v>12297</v>
      </c>
      <c r="E236" t="s">
        <v>29</v>
      </c>
      <c r="F236">
        <v>37</v>
      </c>
      <c r="G236" t="s">
        <v>65</v>
      </c>
      <c r="H236" t="s">
        <v>30</v>
      </c>
      <c r="I236">
        <v>3</v>
      </c>
      <c r="J236" t="s">
        <v>58</v>
      </c>
      <c r="K236">
        <v>726</v>
      </c>
      <c r="L236" t="s">
        <v>63</v>
      </c>
      <c r="M236">
        <v>1</v>
      </c>
      <c r="N236" t="s">
        <v>44</v>
      </c>
      <c r="O236">
        <v>0.17</v>
      </c>
      <c r="P236" t="s">
        <v>59</v>
      </c>
      <c r="Q236">
        <v>6142</v>
      </c>
      <c r="R236">
        <v>8562</v>
      </c>
      <c r="S236" t="s">
        <v>44</v>
      </c>
      <c r="T236">
        <v>6212</v>
      </c>
      <c r="U236" t="s">
        <v>57</v>
      </c>
      <c r="V236">
        <v>12</v>
      </c>
      <c r="W236">
        <v>1</v>
      </c>
      <c r="X236" t="s">
        <v>42</v>
      </c>
      <c r="Y236" t="s">
        <v>32</v>
      </c>
      <c r="Z236" t="s">
        <v>39</v>
      </c>
      <c r="AA236" t="s">
        <v>34</v>
      </c>
      <c r="AB236" t="s">
        <v>35</v>
      </c>
      <c r="AC236" t="s">
        <v>44</v>
      </c>
    </row>
    <row r="237" spans="1:29" x14ac:dyDescent="0.25">
      <c r="A237">
        <v>248</v>
      </c>
      <c r="B237">
        <v>14946</v>
      </c>
      <c r="C237">
        <v>1640</v>
      </c>
      <c r="D237">
        <v>16586</v>
      </c>
      <c r="E237" t="s">
        <v>49</v>
      </c>
      <c r="F237">
        <v>23</v>
      </c>
      <c r="G237" t="s">
        <v>72</v>
      </c>
      <c r="H237" t="s">
        <v>30</v>
      </c>
      <c r="I237">
        <v>1</v>
      </c>
      <c r="J237" t="s">
        <v>68</v>
      </c>
      <c r="K237">
        <v>608</v>
      </c>
      <c r="L237" t="s">
        <v>55</v>
      </c>
      <c r="M237">
        <v>0</v>
      </c>
      <c r="N237" t="s">
        <v>36</v>
      </c>
      <c r="O237">
        <v>0.25</v>
      </c>
      <c r="P237" t="s">
        <v>59</v>
      </c>
      <c r="Q237">
        <v>5967</v>
      </c>
      <c r="R237">
        <v>27759</v>
      </c>
      <c r="S237" t="s">
        <v>44</v>
      </c>
      <c r="T237">
        <v>4339</v>
      </c>
      <c r="U237" t="s">
        <v>73</v>
      </c>
      <c r="V237">
        <v>36</v>
      </c>
      <c r="W237">
        <v>3</v>
      </c>
      <c r="X237" t="s">
        <v>42</v>
      </c>
      <c r="Y237" t="s">
        <v>45</v>
      </c>
      <c r="Z237" t="s">
        <v>33</v>
      </c>
      <c r="AA237" t="s">
        <v>34</v>
      </c>
      <c r="AB237" t="s">
        <v>51</v>
      </c>
      <c r="AC237" t="s">
        <v>36</v>
      </c>
    </row>
    <row r="238" spans="1:29" x14ac:dyDescent="0.25">
      <c r="A238">
        <v>249</v>
      </c>
      <c r="B238">
        <v>6642</v>
      </c>
      <c r="C238">
        <v>7490</v>
      </c>
      <c r="D238">
        <v>14132</v>
      </c>
      <c r="E238" t="s">
        <v>48</v>
      </c>
      <c r="F238">
        <v>46</v>
      </c>
      <c r="G238" t="s">
        <v>53</v>
      </c>
      <c r="H238" t="s">
        <v>41</v>
      </c>
      <c r="I238">
        <v>1</v>
      </c>
      <c r="J238" t="s">
        <v>68</v>
      </c>
      <c r="K238">
        <v>750</v>
      </c>
      <c r="L238" t="s">
        <v>71</v>
      </c>
      <c r="M238">
        <v>4</v>
      </c>
      <c r="N238" t="s">
        <v>44</v>
      </c>
      <c r="O238">
        <v>0.39</v>
      </c>
      <c r="P238" t="s">
        <v>67</v>
      </c>
      <c r="Q238">
        <v>7205</v>
      </c>
      <c r="R238">
        <v>12026</v>
      </c>
      <c r="S238" t="s">
        <v>44</v>
      </c>
      <c r="T238">
        <v>24142</v>
      </c>
      <c r="U238" t="s">
        <v>64</v>
      </c>
      <c r="V238">
        <v>72</v>
      </c>
      <c r="W238">
        <v>6</v>
      </c>
      <c r="X238" t="s">
        <v>31</v>
      </c>
      <c r="Y238" t="s">
        <v>32</v>
      </c>
      <c r="Z238" t="s">
        <v>39</v>
      </c>
      <c r="AA238" t="s">
        <v>40</v>
      </c>
      <c r="AB238" t="s">
        <v>51</v>
      </c>
      <c r="AC238" t="s">
        <v>44</v>
      </c>
    </row>
    <row r="239" spans="1:29" x14ac:dyDescent="0.25">
      <c r="A239">
        <v>250</v>
      </c>
      <c r="B239">
        <v>13312</v>
      </c>
      <c r="C239">
        <v>9179</v>
      </c>
      <c r="D239">
        <v>22491</v>
      </c>
      <c r="E239" t="s">
        <v>29</v>
      </c>
      <c r="F239">
        <v>35</v>
      </c>
      <c r="G239" t="s">
        <v>65</v>
      </c>
      <c r="H239" t="s">
        <v>41</v>
      </c>
      <c r="I239">
        <v>1</v>
      </c>
      <c r="J239" t="s">
        <v>68</v>
      </c>
      <c r="K239">
        <v>617</v>
      </c>
      <c r="L239" t="s">
        <v>55</v>
      </c>
      <c r="M239">
        <v>0</v>
      </c>
      <c r="N239" t="s">
        <v>36</v>
      </c>
      <c r="O239">
        <v>0.32</v>
      </c>
      <c r="P239" t="s">
        <v>67</v>
      </c>
      <c r="Q239">
        <v>16006</v>
      </c>
      <c r="R239">
        <v>0</v>
      </c>
      <c r="S239" t="s">
        <v>36</v>
      </c>
      <c r="T239">
        <v>20394</v>
      </c>
      <c r="U239" t="s">
        <v>64</v>
      </c>
      <c r="V239">
        <v>72</v>
      </c>
      <c r="W239">
        <v>6</v>
      </c>
      <c r="X239" t="s">
        <v>37</v>
      </c>
      <c r="Y239" t="s">
        <v>32</v>
      </c>
      <c r="Z239" t="s">
        <v>33</v>
      </c>
      <c r="AA239" t="s">
        <v>34</v>
      </c>
      <c r="AB239" t="s">
        <v>43</v>
      </c>
      <c r="AC239" t="s">
        <v>36</v>
      </c>
    </row>
    <row r="240" spans="1:29" x14ac:dyDescent="0.25">
      <c r="A240">
        <v>251</v>
      </c>
      <c r="B240">
        <v>9679</v>
      </c>
      <c r="C240">
        <v>1218</v>
      </c>
      <c r="D240">
        <v>10897</v>
      </c>
      <c r="E240" t="s">
        <v>29</v>
      </c>
      <c r="F240">
        <v>56</v>
      </c>
      <c r="G240" t="s">
        <v>69</v>
      </c>
      <c r="H240" t="s">
        <v>41</v>
      </c>
      <c r="I240">
        <v>2</v>
      </c>
      <c r="J240" t="s">
        <v>62</v>
      </c>
      <c r="K240">
        <v>748</v>
      </c>
      <c r="L240" t="s">
        <v>71</v>
      </c>
      <c r="M240">
        <v>1</v>
      </c>
      <c r="N240" t="s">
        <v>44</v>
      </c>
      <c r="O240">
        <v>0.27</v>
      </c>
      <c r="P240" t="s">
        <v>59</v>
      </c>
      <c r="Q240">
        <v>12109</v>
      </c>
      <c r="R240">
        <v>31589</v>
      </c>
      <c r="S240" t="s">
        <v>44</v>
      </c>
      <c r="T240">
        <v>36136</v>
      </c>
      <c r="U240" t="s">
        <v>60</v>
      </c>
      <c r="V240">
        <v>24</v>
      </c>
      <c r="W240">
        <v>2</v>
      </c>
      <c r="X240" t="s">
        <v>42</v>
      </c>
      <c r="Y240" t="s">
        <v>32</v>
      </c>
      <c r="Z240" t="s">
        <v>33</v>
      </c>
      <c r="AA240" t="s">
        <v>40</v>
      </c>
      <c r="AB240" t="s">
        <v>48</v>
      </c>
      <c r="AC240" t="s">
        <v>44</v>
      </c>
    </row>
    <row r="241" spans="1:29" x14ac:dyDescent="0.25">
      <c r="A241">
        <v>252</v>
      </c>
      <c r="B241">
        <v>10208</v>
      </c>
      <c r="C241">
        <v>5016</v>
      </c>
      <c r="D241">
        <v>15224</v>
      </c>
      <c r="E241" t="s">
        <v>49</v>
      </c>
      <c r="F241">
        <v>52</v>
      </c>
      <c r="G241" t="s">
        <v>53</v>
      </c>
      <c r="H241" t="s">
        <v>30</v>
      </c>
      <c r="I241">
        <v>0</v>
      </c>
      <c r="J241" t="s">
        <v>54</v>
      </c>
      <c r="K241">
        <v>764</v>
      </c>
      <c r="L241" t="s">
        <v>71</v>
      </c>
      <c r="M241">
        <v>1</v>
      </c>
      <c r="N241" t="s">
        <v>44</v>
      </c>
      <c r="O241">
        <v>0.47</v>
      </c>
      <c r="P241" t="s">
        <v>70</v>
      </c>
      <c r="Q241">
        <v>13034</v>
      </c>
      <c r="R241">
        <v>42663</v>
      </c>
      <c r="S241" t="s">
        <v>44</v>
      </c>
      <c r="T241">
        <v>13186</v>
      </c>
      <c r="U241" t="s">
        <v>57</v>
      </c>
      <c r="V241">
        <v>48</v>
      </c>
      <c r="W241">
        <v>4</v>
      </c>
      <c r="X241" t="s">
        <v>50</v>
      </c>
      <c r="Y241" t="s">
        <v>45</v>
      </c>
      <c r="Z241" t="s">
        <v>33</v>
      </c>
      <c r="AA241" t="s">
        <v>40</v>
      </c>
      <c r="AB241" t="s">
        <v>35</v>
      </c>
      <c r="AC241" t="s">
        <v>36</v>
      </c>
    </row>
    <row r="242" spans="1:29" x14ac:dyDescent="0.25">
      <c r="A242">
        <v>253</v>
      </c>
      <c r="B242">
        <v>12716</v>
      </c>
      <c r="C242">
        <v>6881</v>
      </c>
      <c r="D242">
        <v>19597</v>
      </c>
      <c r="E242" t="s">
        <v>29</v>
      </c>
      <c r="F242">
        <v>52</v>
      </c>
      <c r="G242" t="s">
        <v>53</v>
      </c>
      <c r="H242" t="s">
        <v>30</v>
      </c>
      <c r="I242">
        <v>1</v>
      </c>
      <c r="J242" t="s">
        <v>68</v>
      </c>
      <c r="K242">
        <v>679</v>
      </c>
      <c r="L242" t="s">
        <v>63</v>
      </c>
      <c r="M242">
        <v>2</v>
      </c>
      <c r="N242" t="s">
        <v>44</v>
      </c>
      <c r="O242">
        <v>0.55000000000000004</v>
      </c>
      <c r="P242" t="s">
        <v>56</v>
      </c>
      <c r="Q242">
        <v>2484</v>
      </c>
      <c r="R242">
        <v>0</v>
      </c>
      <c r="S242" t="s">
        <v>36</v>
      </c>
      <c r="T242">
        <v>0</v>
      </c>
      <c r="U242" t="s">
        <v>73</v>
      </c>
      <c r="V242">
        <v>60</v>
      </c>
      <c r="W242">
        <v>5</v>
      </c>
      <c r="X242" t="s">
        <v>42</v>
      </c>
      <c r="Y242" t="s">
        <v>32</v>
      </c>
      <c r="Z242" t="s">
        <v>33</v>
      </c>
      <c r="AA242" t="s">
        <v>34</v>
      </c>
      <c r="AB242" t="s">
        <v>35</v>
      </c>
      <c r="AC242" t="s">
        <v>36</v>
      </c>
    </row>
    <row r="243" spans="1:29" x14ac:dyDescent="0.25">
      <c r="A243">
        <v>254</v>
      </c>
      <c r="B243">
        <v>19453</v>
      </c>
      <c r="C243">
        <v>9547</v>
      </c>
      <c r="D243">
        <v>29000</v>
      </c>
      <c r="E243" t="s">
        <v>52</v>
      </c>
      <c r="F243">
        <v>24</v>
      </c>
      <c r="G243" t="s">
        <v>72</v>
      </c>
      <c r="H243" t="s">
        <v>30</v>
      </c>
      <c r="I243">
        <v>2</v>
      </c>
      <c r="J243" t="s">
        <v>62</v>
      </c>
      <c r="K243">
        <v>598</v>
      </c>
      <c r="L243" t="s">
        <v>55</v>
      </c>
      <c r="M243">
        <v>3</v>
      </c>
      <c r="N243" t="s">
        <v>44</v>
      </c>
      <c r="O243">
        <v>0.48</v>
      </c>
      <c r="P243" t="s">
        <v>70</v>
      </c>
      <c r="Q243">
        <v>1854</v>
      </c>
      <c r="R243">
        <v>26844</v>
      </c>
      <c r="S243" t="s">
        <v>44</v>
      </c>
      <c r="T243">
        <v>39973</v>
      </c>
      <c r="U243" t="s">
        <v>60</v>
      </c>
      <c r="V243">
        <v>84</v>
      </c>
      <c r="W243">
        <v>7</v>
      </c>
      <c r="X243" t="s">
        <v>50</v>
      </c>
      <c r="Y243" t="s">
        <v>32</v>
      </c>
      <c r="Z243" t="s">
        <v>39</v>
      </c>
      <c r="AA243" t="s">
        <v>40</v>
      </c>
      <c r="AB243" t="s">
        <v>35</v>
      </c>
      <c r="AC243" t="s">
        <v>36</v>
      </c>
    </row>
    <row r="244" spans="1:29" x14ac:dyDescent="0.25">
      <c r="A244">
        <v>255</v>
      </c>
      <c r="B244">
        <v>5444</v>
      </c>
      <c r="C244">
        <v>9752</v>
      </c>
      <c r="D244">
        <v>15196</v>
      </c>
      <c r="E244" t="s">
        <v>49</v>
      </c>
      <c r="F244">
        <v>38</v>
      </c>
      <c r="G244" t="s">
        <v>65</v>
      </c>
      <c r="H244" t="s">
        <v>30</v>
      </c>
      <c r="I244">
        <v>0</v>
      </c>
      <c r="J244" t="s">
        <v>54</v>
      </c>
      <c r="K244">
        <v>550</v>
      </c>
      <c r="L244" t="s">
        <v>66</v>
      </c>
      <c r="M244">
        <v>0</v>
      </c>
      <c r="N244" t="s">
        <v>36</v>
      </c>
      <c r="O244">
        <v>0.27</v>
      </c>
      <c r="P244" t="s">
        <v>59</v>
      </c>
      <c r="Q244">
        <v>11631</v>
      </c>
      <c r="R244">
        <v>23447</v>
      </c>
      <c r="S244" t="s">
        <v>44</v>
      </c>
      <c r="T244">
        <v>5395</v>
      </c>
      <c r="U244" t="s">
        <v>57</v>
      </c>
      <c r="V244">
        <v>12</v>
      </c>
      <c r="W244">
        <v>1</v>
      </c>
      <c r="X244" t="s">
        <v>31</v>
      </c>
      <c r="Y244" t="s">
        <v>32</v>
      </c>
      <c r="Z244" t="s">
        <v>39</v>
      </c>
      <c r="AA244" t="s">
        <v>34</v>
      </c>
      <c r="AB244" t="s">
        <v>51</v>
      </c>
      <c r="AC244" t="s">
        <v>44</v>
      </c>
    </row>
    <row r="245" spans="1:29" x14ac:dyDescent="0.25">
      <c r="A245">
        <v>256</v>
      </c>
      <c r="B245">
        <v>12757</v>
      </c>
      <c r="C245">
        <v>9610</v>
      </c>
      <c r="D245">
        <v>22367</v>
      </c>
      <c r="E245" t="s">
        <v>29</v>
      </c>
      <c r="F245">
        <v>39</v>
      </c>
      <c r="G245" t="s">
        <v>65</v>
      </c>
      <c r="H245" t="s">
        <v>41</v>
      </c>
      <c r="I245">
        <v>0</v>
      </c>
      <c r="J245" t="s">
        <v>54</v>
      </c>
      <c r="K245">
        <v>781</v>
      </c>
      <c r="L245" t="s">
        <v>71</v>
      </c>
      <c r="M245">
        <v>2</v>
      </c>
      <c r="N245" t="s">
        <v>44</v>
      </c>
      <c r="O245">
        <v>0.47</v>
      </c>
      <c r="P245" t="s">
        <v>70</v>
      </c>
      <c r="Q245">
        <v>19615</v>
      </c>
      <c r="R245">
        <v>24879</v>
      </c>
      <c r="S245" t="s">
        <v>44</v>
      </c>
      <c r="T245">
        <v>16290</v>
      </c>
      <c r="U245" t="s">
        <v>57</v>
      </c>
      <c r="V245">
        <v>48</v>
      </c>
      <c r="W245">
        <v>4</v>
      </c>
      <c r="X245" t="s">
        <v>37</v>
      </c>
      <c r="Y245" t="s">
        <v>32</v>
      </c>
      <c r="Z245" t="s">
        <v>33</v>
      </c>
      <c r="AA245" t="s">
        <v>40</v>
      </c>
      <c r="AB245" t="s">
        <v>35</v>
      </c>
      <c r="AC245" t="s">
        <v>36</v>
      </c>
    </row>
    <row r="246" spans="1:29" x14ac:dyDescent="0.25">
      <c r="A246">
        <v>257</v>
      </c>
      <c r="B246">
        <v>16434</v>
      </c>
      <c r="C246">
        <v>954</v>
      </c>
      <c r="D246">
        <v>17388</v>
      </c>
      <c r="E246" t="s">
        <v>46</v>
      </c>
      <c r="F246">
        <v>55</v>
      </c>
      <c r="G246" t="s">
        <v>69</v>
      </c>
      <c r="H246" t="s">
        <v>41</v>
      </c>
      <c r="I246">
        <v>1</v>
      </c>
      <c r="J246" t="s">
        <v>68</v>
      </c>
      <c r="K246">
        <v>796</v>
      </c>
      <c r="L246" t="s">
        <v>71</v>
      </c>
      <c r="M246">
        <v>4</v>
      </c>
      <c r="N246" t="s">
        <v>44</v>
      </c>
      <c r="O246">
        <v>0.18</v>
      </c>
      <c r="P246" t="s">
        <v>59</v>
      </c>
      <c r="Q246">
        <v>2597</v>
      </c>
      <c r="R246">
        <v>11966</v>
      </c>
      <c r="S246" t="s">
        <v>44</v>
      </c>
      <c r="T246">
        <v>23151</v>
      </c>
      <c r="U246" t="s">
        <v>64</v>
      </c>
      <c r="V246">
        <v>24</v>
      </c>
      <c r="W246">
        <v>2</v>
      </c>
      <c r="X246" t="s">
        <v>50</v>
      </c>
      <c r="Y246" t="s">
        <v>32</v>
      </c>
      <c r="Z246" t="s">
        <v>33</v>
      </c>
      <c r="AA246" t="s">
        <v>34</v>
      </c>
      <c r="AB246" t="s">
        <v>35</v>
      </c>
      <c r="AC246" t="s">
        <v>44</v>
      </c>
    </row>
    <row r="247" spans="1:29" x14ac:dyDescent="0.25">
      <c r="A247">
        <v>258</v>
      </c>
      <c r="B247">
        <v>3060</v>
      </c>
      <c r="C247">
        <v>9175</v>
      </c>
      <c r="D247">
        <v>12235</v>
      </c>
      <c r="E247" t="s">
        <v>46</v>
      </c>
      <c r="F247">
        <v>34</v>
      </c>
      <c r="G247" t="s">
        <v>61</v>
      </c>
      <c r="H247" t="s">
        <v>41</v>
      </c>
      <c r="I247">
        <v>2</v>
      </c>
      <c r="J247" t="s">
        <v>62</v>
      </c>
      <c r="K247">
        <v>675</v>
      </c>
      <c r="L247" t="s">
        <v>63</v>
      </c>
      <c r="M247">
        <v>3</v>
      </c>
      <c r="N247" t="s">
        <v>44</v>
      </c>
      <c r="O247">
        <v>0.17</v>
      </c>
      <c r="P247" t="s">
        <v>59</v>
      </c>
      <c r="Q247">
        <v>7829</v>
      </c>
      <c r="R247">
        <v>17732</v>
      </c>
      <c r="S247" t="s">
        <v>44</v>
      </c>
      <c r="T247">
        <v>4691</v>
      </c>
      <c r="U247" t="s">
        <v>73</v>
      </c>
      <c r="V247">
        <v>36</v>
      </c>
      <c r="W247">
        <v>3</v>
      </c>
      <c r="X247" t="s">
        <v>50</v>
      </c>
      <c r="Y247" t="s">
        <v>38</v>
      </c>
      <c r="Z247" t="s">
        <v>33</v>
      </c>
      <c r="AA247" t="s">
        <v>40</v>
      </c>
      <c r="AB247" t="s">
        <v>51</v>
      </c>
      <c r="AC247" t="s">
        <v>44</v>
      </c>
    </row>
    <row r="248" spans="1:29" x14ac:dyDescent="0.25">
      <c r="A248">
        <v>259</v>
      </c>
      <c r="B248">
        <v>5420</v>
      </c>
      <c r="C248">
        <v>7291</v>
      </c>
      <c r="D248">
        <v>12711</v>
      </c>
      <c r="E248" t="s">
        <v>29</v>
      </c>
      <c r="F248">
        <v>53</v>
      </c>
      <c r="G248" t="s">
        <v>53</v>
      </c>
      <c r="H248" t="s">
        <v>30</v>
      </c>
      <c r="I248">
        <v>0</v>
      </c>
      <c r="J248" t="s">
        <v>54</v>
      </c>
      <c r="K248">
        <v>550</v>
      </c>
      <c r="L248" t="s">
        <v>66</v>
      </c>
      <c r="M248">
        <v>2</v>
      </c>
      <c r="N248" t="s">
        <v>44</v>
      </c>
      <c r="O248">
        <v>0.27</v>
      </c>
      <c r="P248" t="s">
        <v>59</v>
      </c>
      <c r="Q248">
        <v>8186</v>
      </c>
      <c r="R248">
        <v>5289</v>
      </c>
      <c r="S248" t="s">
        <v>44</v>
      </c>
      <c r="T248">
        <v>8470</v>
      </c>
      <c r="U248" t="s">
        <v>57</v>
      </c>
      <c r="V248">
        <v>12</v>
      </c>
      <c r="W248">
        <v>1</v>
      </c>
      <c r="X248" t="s">
        <v>42</v>
      </c>
      <c r="Y248" t="s">
        <v>45</v>
      </c>
      <c r="Z248" t="s">
        <v>39</v>
      </c>
      <c r="AA248" t="s">
        <v>34</v>
      </c>
      <c r="AB248" t="s">
        <v>43</v>
      </c>
      <c r="AC248" t="s">
        <v>44</v>
      </c>
    </row>
    <row r="249" spans="1:29" x14ac:dyDescent="0.25">
      <c r="A249">
        <v>260</v>
      </c>
      <c r="B249">
        <v>2301</v>
      </c>
      <c r="C249">
        <v>974</v>
      </c>
      <c r="D249">
        <v>3275</v>
      </c>
      <c r="E249" t="s">
        <v>29</v>
      </c>
      <c r="F249">
        <v>34</v>
      </c>
      <c r="G249" t="s">
        <v>61</v>
      </c>
      <c r="H249" t="s">
        <v>30</v>
      </c>
      <c r="I249">
        <v>2</v>
      </c>
      <c r="J249" t="s">
        <v>62</v>
      </c>
      <c r="K249">
        <v>788</v>
      </c>
      <c r="L249" t="s">
        <v>71</v>
      </c>
      <c r="M249">
        <v>0</v>
      </c>
      <c r="N249" t="s">
        <v>36</v>
      </c>
      <c r="O249">
        <v>0.5</v>
      </c>
      <c r="P249" t="s">
        <v>70</v>
      </c>
      <c r="Q249">
        <v>3983</v>
      </c>
      <c r="R249">
        <v>20012</v>
      </c>
      <c r="S249" t="s">
        <v>44</v>
      </c>
      <c r="T249">
        <v>4841</v>
      </c>
      <c r="U249" t="s">
        <v>73</v>
      </c>
      <c r="V249">
        <v>24</v>
      </c>
      <c r="W249">
        <v>2</v>
      </c>
      <c r="X249" t="s">
        <v>50</v>
      </c>
      <c r="Y249" t="s">
        <v>32</v>
      </c>
      <c r="Z249" t="s">
        <v>39</v>
      </c>
      <c r="AA249" t="s">
        <v>34</v>
      </c>
      <c r="AB249" t="s">
        <v>43</v>
      </c>
      <c r="AC249" t="s">
        <v>36</v>
      </c>
    </row>
    <row r="250" spans="1:29" x14ac:dyDescent="0.25">
      <c r="A250">
        <v>261</v>
      </c>
      <c r="B250">
        <v>14468</v>
      </c>
      <c r="C250">
        <v>4133</v>
      </c>
      <c r="D250">
        <v>18601</v>
      </c>
      <c r="E250" t="s">
        <v>49</v>
      </c>
      <c r="F250">
        <v>54</v>
      </c>
      <c r="G250" t="s">
        <v>53</v>
      </c>
      <c r="H250" t="s">
        <v>30</v>
      </c>
      <c r="I250">
        <v>0</v>
      </c>
      <c r="J250" t="s">
        <v>54</v>
      </c>
      <c r="K250">
        <v>708</v>
      </c>
      <c r="L250" t="s">
        <v>63</v>
      </c>
      <c r="M250">
        <v>1</v>
      </c>
      <c r="N250" t="s">
        <v>44</v>
      </c>
      <c r="O250">
        <v>0.22</v>
      </c>
      <c r="P250" t="s">
        <v>59</v>
      </c>
      <c r="Q250">
        <v>6684</v>
      </c>
      <c r="R250">
        <v>18812</v>
      </c>
      <c r="S250" t="s">
        <v>44</v>
      </c>
      <c r="T250">
        <v>38116</v>
      </c>
      <c r="U250" t="s">
        <v>60</v>
      </c>
      <c r="V250">
        <v>72</v>
      </c>
      <c r="W250">
        <v>6</v>
      </c>
      <c r="X250" t="s">
        <v>31</v>
      </c>
      <c r="Y250" t="s">
        <v>32</v>
      </c>
      <c r="Z250" t="s">
        <v>39</v>
      </c>
      <c r="AA250" t="s">
        <v>40</v>
      </c>
      <c r="AB250" t="s">
        <v>35</v>
      </c>
      <c r="AC250" t="s">
        <v>44</v>
      </c>
    </row>
    <row r="251" spans="1:29" x14ac:dyDescent="0.25">
      <c r="A251">
        <v>262</v>
      </c>
      <c r="B251">
        <v>18990</v>
      </c>
      <c r="C251">
        <v>5370</v>
      </c>
      <c r="D251">
        <v>24360</v>
      </c>
      <c r="E251" t="s">
        <v>29</v>
      </c>
      <c r="F251">
        <v>24</v>
      </c>
      <c r="G251" t="s">
        <v>72</v>
      </c>
      <c r="H251" t="s">
        <v>30</v>
      </c>
      <c r="I251">
        <v>0</v>
      </c>
      <c r="J251" t="s">
        <v>54</v>
      </c>
      <c r="K251">
        <v>660</v>
      </c>
      <c r="L251" t="s">
        <v>55</v>
      </c>
      <c r="M251">
        <v>4</v>
      </c>
      <c r="N251" t="s">
        <v>44</v>
      </c>
      <c r="O251">
        <v>0.13</v>
      </c>
      <c r="P251" t="s">
        <v>59</v>
      </c>
      <c r="Q251">
        <v>10383</v>
      </c>
      <c r="R251">
        <v>35801</v>
      </c>
      <c r="S251" t="s">
        <v>44</v>
      </c>
      <c r="T251">
        <v>18776</v>
      </c>
      <c r="U251" t="s">
        <v>57</v>
      </c>
      <c r="V251">
        <v>12</v>
      </c>
      <c r="W251">
        <v>1</v>
      </c>
      <c r="X251" t="s">
        <v>31</v>
      </c>
      <c r="Y251" t="s">
        <v>32</v>
      </c>
      <c r="Z251" t="s">
        <v>33</v>
      </c>
      <c r="AA251" t="s">
        <v>40</v>
      </c>
      <c r="AB251" t="s">
        <v>42</v>
      </c>
      <c r="AC251" t="s">
        <v>44</v>
      </c>
    </row>
    <row r="252" spans="1:29" x14ac:dyDescent="0.25">
      <c r="A252">
        <v>263</v>
      </c>
      <c r="B252">
        <v>0</v>
      </c>
      <c r="C252">
        <v>3972</v>
      </c>
      <c r="D252">
        <v>3972</v>
      </c>
      <c r="E252" t="s">
        <v>29</v>
      </c>
      <c r="F252">
        <v>44</v>
      </c>
      <c r="G252" t="s">
        <v>65</v>
      </c>
      <c r="H252" t="s">
        <v>30</v>
      </c>
      <c r="I252">
        <v>3</v>
      </c>
      <c r="J252" t="s">
        <v>58</v>
      </c>
      <c r="K252">
        <v>717</v>
      </c>
      <c r="L252" t="s">
        <v>63</v>
      </c>
      <c r="M252">
        <v>0</v>
      </c>
      <c r="N252" t="s">
        <v>36</v>
      </c>
      <c r="O252">
        <v>0.17</v>
      </c>
      <c r="P252" t="s">
        <v>59</v>
      </c>
      <c r="Q252">
        <v>17040</v>
      </c>
      <c r="R252">
        <v>41628</v>
      </c>
      <c r="S252" t="s">
        <v>44</v>
      </c>
      <c r="T252">
        <v>7060</v>
      </c>
      <c r="U252" t="s">
        <v>57</v>
      </c>
      <c r="V252">
        <v>24</v>
      </c>
      <c r="W252">
        <v>2</v>
      </c>
      <c r="X252" t="s">
        <v>31</v>
      </c>
      <c r="Y252" t="s">
        <v>32</v>
      </c>
      <c r="Z252" t="s">
        <v>39</v>
      </c>
      <c r="AA252" t="s">
        <v>34</v>
      </c>
      <c r="AB252" t="s">
        <v>43</v>
      </c>
      <c r="AC252" t="s">
        <v>44</v>
      </c>
    </row>
    <row r="253" spans="1:29" x14ac:dyDescent="0.25">
      <c r="A253">
        <v>264</v>
      </c>
      <c r="B253">
        <v>2190</v>
      </c>
      <c r="C253">
        <v>5295</v>
      </c>
      <c r="D253">
        <v>7485</v>
      </c>
      <c r="E253" t="s">
        <v>49</v>
      </c>
      <c r="F253">
        <v>49</v>
      </c>
      <c r="G253" t="s">
        <v>53</v>
      </c>
      <c r="H253" t="s">
        <v>41</v>
      </c>
      <c r="I253">
        <v>3</v>
      </c>
      <c r="J253" t="s">
        <v>58</v>
      </c>
      <c r="K253">
        <v>597</v>
      </c>
      <c r="L253" t="s">
        <v>55</v>
      </c>
      <c r="M253">
        <v>3</v>
      </c>
      <c r="N253" t="s">
        <v>44</v>
      </c>
      <c r="O253">
        <v>0.53</v>
      </c>
      <c r="P253" t="s">
        <v>56</v>
      </c>
      <c r="Q253">
        <v>12004</v>
      </c>
      <c r="R253">
        <v>40581</v>
      </c>
      <c r="S253" t="s">
        <v>44</v>
      </c>
      <c r="T253">
        <v>28584</v>
      </c>
      <c r="U253" t="s">
        <v>64</v>
      </c>
      <c r="V253">
        <v>72</v>
      </c>
      <c r="W253">
        <v>6</v>
      </c>
      <c r="X253" t="s">
        <v>42</v>
      </c>
      <c r="Y253" t="s">
        <v>32</v>
      </c>
      <c r="Z253" t="s">
        <v>39</v>
      </c>
      <c r="AA253" t="s">
        <v>40</v>
      </c>
      <c r="AB253" t="s">
        <v>35</v>
      </c>
      <c r="AC253" t="s">
        <v>36</v>
      </c>
    </row>
    <row r="254" spans="1:29" x14ac:dyDescent="0.25">
      <c r="A254">
        <v>265</v>
      </c>
      <c r="B254">
        <v>12492</v>
      </c>
      <c r="C254">
        <v>9105</v>
      </c>
      <c r="D254">
        <v>21597</v>
      </c>
      <c r="E254" t="s">
        <v>46</v>
      </c>
      <c r="F254">
        <v>39</v>
      </c>
      <c r="G254" t="s">
        <v>65</v>
      </c>
      <c r="H254" t="s">
        <v>30</v>
      </c>
      <c r="I254">
        <v>3</v>
      </c>
      <c r="J254" t="s">
        <v>58</v>
      </c>
      <c r="K254">
        <v>600</v>
      </c>
      <c r="L254" t="s">
        <v>55</v>
      </c>
      <c r="M254">
        <v>0</v>
      </c>
      <c r="N254" t="s">
        <v>36</v>
      </c>
      <c r="O254">
        <v>0.42</v>
      </c>
      <c r="P254" t="s">
        <v>70</v>
      </c>
      <c r="Q254">
        <v>12103</v>
      </c>
      <c r="R254">
        <v>46628</v>
      </c>
      <c r="S254" t="s">
        <v>44</v>
      </c>
      <c r="T254">
        <v>5300</v>
      </c>
      <c r="U254" t="s">
        <v>57</v>
      </c>
      <c r="V254">
        <v>84</v>
      </c>
      <c r="W254">
        <v>7</v>
      </c>
      <c r="X254" t="s">
        <v>37</v>
      </c>
      <c r="Y254" t="s">
        <v>45</v>
      </c>
      <c r="Z254" t="s">
        <v>39</v>
      </c>
      <c r="AA254" t="s">
        <v>40</v>
      </c>
      <c r="AB254" t="s">
        <v>35</v>
      </c>
      <c r="AC254" t="s">
        <v>36</v>
      </c>
    </row>
    <row r="255" spans="1:29" x14ac:dyDescent="0.25">
      <c r="A255">
        <v>266</v>
      </c>
      <c r="B255">
        <v>19364</v>
      </c>
      <c r="C255">
        <v>8228</v>
      </c>
      <c r="D255">
        <v>27592</v>
      </c>
      <c r="E255" t="s">
        <v>29</v>
      </c>
      <c r="F255">
        <v>26</v>
      </c>
      <c r="G255" t="s">
        <v>61</v>
      </c>
      <c r="H255" t="s">
        <v>30</v>
      </c>
      <c r="I255">
        <v>0</v>
      </c>
      <c r="J255" t="s">
        <v>54</v>
      </c>
      <c r="K255">
        <v>592</v>
      </c>
      <c r="L255" t="s">
        <v>55</v>
      </c>
      <c r="M255">
        <v>1</v>
      </c>
      <c r="N255" t="s">
        <v>44</v>
      </c>
      <c r="O255">
        <v>0.23</v>
      </c>
      <c r="P255" t="s">
        <v>59</v>
      </c>
      <c r="Q255">
        <v>6312</v>
      </c>
      <c r="R255">
        <v>23092</v>
      </c>
      <c r="S255" t="s">
        <v>44</v>
      </c>
      <c r="T255">
        <v>4338</v>
      </c>
      <c r="U255" t="s">
        <v>73</v>
      </c>
      <c r="V255">
        <v>72</v>
      </c>
      <c r="W255">
        <v>6</v>
      </c>
      <c r="X255" t="s">
        <v>42</v>
      </c>
      <c r="Y255" t="s">
        <v>32</v>
      </c>
      <c r="Z255" t="s">
        <v>39</v>
      </c>
      <c r="AA255" t="s">
        <v>40</v>
      </c>
      <c r="AB255" t="s">
        <v>43</v>
      </c>
      <c r="AC255" t="s">
        <v>36</v>
      </c>
    </row>
    <row r="256" spans="1:29" x14ac:dyDescent="0.25">
      <c r="A256">
        <v>267</v>
      </c>
      <c r="B256">
        <v>4975</v>
      </c>
      <c r="C256">
        <v>9903</v>
      </c>
      <c r="D256">
        <v>14878</v>
      </c>
      <c r="E256" t="s">
        <v>49</v>
      </c>
      <c r="F256">
        <v>53</v>
      </c>
      <c r="G256" t="s">
        <v>53</v>
      </c>
      <c r="H256" t="s">
        <v>30</v>
      </c>
      <c r="I256">
        <v>0</v>
      </c>
      <c r="J256" t="s">
        <v>54</v>
      </c>
      <c r="K256">
        <v>647</v>
      </c>
      <c r="L256" t="s">
        <v>55</v>
      </c>
      <c r="M256">
        <v>1</v>
      </c>
      <c r="N256" t="s">
        <v>44</v>
      </c>
      <c r="O256">
        <v>0.38</v>
      </c>
      <c r="P256" t="s">
        <v>67</v>
      </c>
      <c r="Q256">
        <v>7938</v>
      </c>
      <c r="R256">
        <v>25105</v>
      </c>
      <c r="S256" t="s">
        <v>44</v>
      </c>
      <c r="T256">
        <v>6487</v>
      </c>
      <c r="U256" t="s">
        <v>57</v>
      </c>
      <c r="V256">
        <v>48</v>
      </c>
      <c r="W256">
        <v>4</v>
      </c>
      <c r="X256" t="s">
        <v>31</v>
      </c>
      <c r="Y256" t="s">
        <v>32</v>
      </c>
      <c r="Z256" t="s">
        <v>39</v>
      </c>
      <c r="AA256" t="s">
        <v>34</v>
      </c>
      <c r="AB256" t="s">
        <v>48</v>
      </c>
      <c r="AC256" t="s">
        <v>36</v>
      </c>
    </row>
    <row r="257" spans="1:29" x14ac:dyDescent="0.25">
      <c r="A257">
        <v>268</v>
      </c>
      <c r="B257">
        <v>8102</v>
      </c>
      <c r="C257">
        <v>3020</v>
      </c>
      <c r="D257">
        <v>11122</v>
      </c>
      <c r="E257" t="s">
        <v>29</v>
      </c>
      <c r="F257">
        <v>39</v>
      </c>
      <c r="G257" t="s">
        <v>65</v>
      </c>
      <c r="H257" t="s">
        <v>30</v>
      </c>
      <c r="I257">
        <v>2</v>
      </c>
      <c r="J257" t="s">
        <v>62</v>
      </c>
      <c r="K257">
        <v>732</v>
      </c>
      <c r="L257" t="s">
        <v>63</v>
      </c>
      <c r="M257">
        <v>4</v>
      </c>
      <c r="N257" t="s">
        <v>44</v>
      </c>
      <c r="O257">
        <v>0.36</v>
      </c>
      <c r="P257" t="s">
        <v>67</v>
      </c>
      <c r="Q257">
        <v>9954</v>
      </c>
      <c r="R257">
        <v>14294</v>
      </c>
      <c r="S257" t="s">
        <v>44</v>
      </c>
      <c r="T257">
        <v>0</v>
      </c>
      <c r="U257" t="s">
        <v>73</v>
      </c>
      <c r="V257">
        <v>36</v>
      </c>
      <c r="W257">
        <v>3</v>
      </c>
      <c r="X257" t="s">
        <v>42</v>
      </c>
      <c r="Y257" t="s">
        <v>45</v>
      </c>
      <c r="Z257" t="s">
        <v>33</v>
      </c>
      <c r="AA257" t="s">
        <v>40</v>
      </c>
      <c r="AB257" t="s">
        <v>48</v>
      </c>
      <c r="AC257" t="s">
        <v>44</v>
      </c>
    </row>
    <row r="258" spans="1:29" x14ac:dyDescent="0.25">
      <c r="A258">
        <v>269</v>
      </c>
      <c r="B258">
        <v>19568</v>
      </c>
      <c r="C258">
        <v>8987</v>
      </c>
      <c r="D258">
        <v>28555</v>
      </c>
      <c r="E258" t="s">
        <v>52</v>
      </c>
      <c r="F258">
        <v>21</v>
      </c>
      <c r="G258" t="s">
        <v>72</v>
      </c>
      <c r="H258" t="s">
        <v>30</v>
      </c>
      <c r="I258">
        <v>2</v>
      </c>
      <c r="J258" t="s">
        <v>62</v>
      </c>
      <c r="K258">
        <v>765</v>
      </c>
      <c r="L258" t="s">
        <v>71</v>
      </c>
      <c r="M258">
        <v>4</v>
      </c>
      <c r="N258" t="s">
        <v>44</v>
      </c>
      <c r="O258">
        <v>0.43</v>
      </c>
      <c r="P258" t="s">
        <v>70</v>
      </c>
      <c r="Q258">
        <v>19669</v>
      </c>
      <c r="R258">
        <v>3621</v>
      </c>
      <c r="S258" t="s">
        <v>44</v>
      </c>
      <c r="T258">
        <v>30529</v>
      </c>
      <c r="U258" t="s">
        <v>64</v>
      </c>
      <c r="V258">
        <v>60</v>
      </c>
      <c r="W258">
        <v>5</v>
      </c>
      <c r="X258" t="s">
        <v>31</v>
      </c>
      <c r="Y258" t="s">
        <v>32</v>
      </c>
      <c r="Z258" t="s">
        <v>33</v>
      </c>
      <c r="AA258" t="s">
        <v>34</v>
      </c>
      <c r="AB258" t="s">
        <v>35</v>
      </c>
      <c r="AC258" t="s">
        <v>36</v>
      </c>
    </row>
    <row r="259" spans="1:29" x14ac:dyDescent="0.25">
      <c r="A259">
        <v>270</v>
      </c>
      <c r="B259">
        <v>3816</v>
      </c>
      <c r="C259">
        <v>4036</v>
      </c>
      <c r="D259">
        <v>7852</v>
      </c>
      <c r="E259" t="s">
        <v>49</v>
      </c>
      <c r="F259">
        <v>25</v>
      </c>
      <c r="G259" t="s">
        <v>61</v>
      </c>
      <c r="H259" t="s">
        <v>41</v>
      </c>
      <c r="I259">
        <v>0</v>
      </c>
      <c r="J259" t="s">
        <v>54</v>
      </c>
      <c r="K259">
        <v>726</v>
      </c>
      <c r="L259" t="s">
        <v>63</v>
      </c>
      <c r="M259">
        <v>1</v>
      </c>
      <c r="N259" t="s">
        <v>44</v>
      </c>
      <c r="O259">
        <v>0.22</v>
      </c>
      <c r="P259" t="s">
        <v>59</v>
      </c>
      <c r="Q259">
        <v>9777</v>
      </c>
      <c r="R259">
        <v>32442</v>
      </c>
      <c r="S259" t="s">
        <v>44</v>
      </c>
      <c r="T259">
        <v>31262</v>
      </c>
      <c r="U259" t="s">
        <v>64</v>
      </c>
      <c r="V259">
        <v>24</v>
      </c>
      <c r="W259">
        <v>2</v>
      </c>
      <c r="X259" t="s">
        <v>47</v>
      </c>
      <c r="Y259" t="s">
        <v>32</v>
      </c>
      <c r="Z259" t="s">
        <v>39</v>
      </c>
      <c r="AA259" t="s">
        <v>34</v>
      </c>
      <c r="AB259" t="s">
        <v>42</v>
      </c>
      <c r="AC259" t="s">
        <v>36</v>
      </c>
    </row>
    <row r="260" spans="1:29" x14ac:dyDescent="0.25">
      <c r="A260">
        <v>271</v>
      </c>
      <c r="B260">
        <v>2569</v>
      </c>
      <c r="C260">
        <v>5068</v>
      </c>
      <c r="D260">
        <v>7637</v>
      </c>
      <c r="E260" t="s">
        <v>46</v>
      </c>
      <c r="F260">
        <v>40</v>
      </c>
      <c r="G260" t="s">
        <v>65</v>
      </c>
      <c r="H260" t="s">
        <v>30</v>
      </c>
      <c r="I260">
        <v>0</v>
      </c>
      <c r="J260" t="s">
        <v>54</v>
      </c>
      <c r="K260">
        <v>673</v>
      </c>
      <c r="L260" t="s">
        <v>63</v>
      </c>
      <c r="M260">
        <v>1</v>
      </c>
      <c r="N260" t="s">
        <v>44</v>
      </c>
      <c r="O260">
        <v>0.53</v>
      </c>
      <c r="P260" t="s">
        <v>56</v>
      </c>
      <c r="Q260">
        <v>3563</v>
      </c>
      <c r="R260">
        <v>21699</v>
      </c>
      <c r="S260" t="s">
        <v>44</v>
      </c>
      <c r="T260">
        <v>12280</v>
      </c>
      <c r="U260" t="s">
        <v>57</v>
      </c>
      <c r="V260">
        <v>84</v>
      </c>
      <c r="W260">
        <v>7</v>
      </c>
      <c r="X260" t="s">
        <v>47</v>
      </c>
      <c r="Y260" t="s">
        <v>32</v>
      </c>
      <c r="Z260" t="s">
        <v>39</v>
      </c>
      <c r="AA260" t="s">
        <v>34</v>
      </c>
      <c r="AB260" t="s">
        <v>51</v>
      </c>
      <c r="AC260" t="s">
        <v>36</v>
      </c>
    </row>
    <row r="261" spans="1:29" x14ac:dyDescent="0.25">
      <c r="A261">
        <v>274</v>
      </c>
      <c r="B261">
        <v>5863</v>
      </c>
      <c r="C261">
        <v>317</v>
      </c>
      <c r="D261">
        <v>6180</v>
      </c>
      <c r="E261" t="s">
        <v>29</v>
      </c>
      <c r="F261">
        <v>33</v>
      </c>
      <c r="G261" t="s">
        <v>61</v>
      </c>
      <c r="H261" t="s">
        <v>41</v>
      </c>
      <c r="I261">
        <v>1</v>
      </c>
      <c r="J261" t="s">
        <v>68</v>
      </c>
      <c r="K261">
        <v>734</v>
      </c>
      <c r="L261" t="s">
        <v>63</v>
      </c>
      <c r="M261">
        <v>2</v>
      </c>
      <c r="N261" t="s">
        <v>44</v>
      </c>
      <c r="O261">
        <v>0.11</v>
      </c>
      <c r="P261" t="s">
        <v>59</v>
      </c>
      <c r="Q261">
        <v>8026</v>
      </c>
      <c r="R261">
        <v>29486</v>
      </c>
      <c r="S261" t="s">
        <v>44</v>
      </c>
      <c r="T261">
        <v>12158</v>
      </c>
      <c r="U261" t="s">
        <v>57</v>
      </c>
      <c r="V261">
        <v>84</v>
      </c>
      <c r="W261">
        <v>7</v>
      </c>
      <c r="X261" t="s">
        <v>47</v>
      </c>
      <c r="Y261" t="s">
        <v>38</v>
      </c>
      <c r="Z261" t="s">
        <v>33</v>
      </c>
      <c r="AA261" t="s">
        <v>40</v>
      </c>
      <c r="AB261" t="s">
        <v>35</v>
      </c>
      <c r="AC261" t="s">
        <v>44</v>
      </c>
    </row>
    <row r="262" spans="1:29" x14ac:dyDescent="0.25">
      <c r="A262">
        <v>275</v>
      </c>
      <c r="B262">
        <v>14913</v>
      </c>
      <c r="C262">
        <v>2396</v>
      </c>
      <c r="D262">
        <v>17309</v>
      </c>
      <c r="E262" t="s">
        <v>49</v>
      </c>
      <c r="F262">
        <v>55</v>
      </c>
      <c r="G262" t="s">
        <v>69</v>
      </c>
      <c r="H262" t="s">
        <v>30</v>
      </c>
      <c r="I262">
        <v>0</v>
      </c>
      <c r="J262" t="s">
        <v>54</v>
      </c>
      <c r="K262">
        <v>660</v>
      </c>
      <c r="L262" t="s">
        <v>55</v>
      </c>
      <c r="M262">
        <v>0</v>
      </c>
      <c r="N262" t="s">
        <v>36</v>
      </c>
      <c r="O262">
        <v>0.28999999999999998</v>
      </c>
      <c r="P262" t="s">
        <v>59</v>
      </c>
      <c r="Q262">
        <v>13923</v>
      </c>
      <c r="R262">
        <v>47650</v>
      </c>
      <c r="S262" t="s">
        <v>44</v>
      </c>
      <c r="T262">
        <v>9621</v>
      </c>
      <c r="U262" t="s">
        <v>57</v>
      </c>
      <c r="V262">
        <v>84</v>
      </c>
      <c r="W262">
        <v>7</v>
      </c>
      <c r="X262" t="s">
        <v>31</v>
      </c>
      <c r="Y262" t="s">
        <v>32</v>
      </c>
      <c r="Z262" t="s">
        <v>39</v>
      </c>
      <c r="AA262" t="s">
        <v>34</v>
      </c>
      <c r="AB262" t="s">
        <v>51</v>
      </c>
      <c r="AC262" t="s">
        <v>44</v>
      </c>
    </row>
    <row r="263" spans="1:29" x14ac:dyDescent="0.25">
      <c r="A263">
        <v>276</v>
      </c>
      <c r="B263">
        <v>9455</v>
      </c>
      <c r="C263">
        <v>0</v>
      </c>
      <c r="D263">
        <v>9455</v>
      </c>
      <c r="E263" t="s">
        <v>29</v>
      </c>
      <c r="F263">
        <v>39</v>
      </c>
      <c r="G263" t="s">
        <v>65</v>
      </c>
      <c r="H263" t="s">
        <v>30</v>
      </c>
      <c r="I263">
        <v>2</v>
      </c>
      <c r="J263" t="s">
        <v>62</v>
      </c>
      <c r="K263">
        <v>754</v>
      </c>
      <c r="L263" t="s">
        <v>71</v>
      </c>
      <c r="M263">
        <v>1</v>
      </c>
      <c r="N263" t="s">
        <v>44</v>
      </c>
      <c r="O263">
        <v>0.28000000000000003</v>
      </c>
      <c r="P263" t="s">
        <v>59</v>
      </c>
      <c r="Q263">
        <v>19628</v>
      </c>
      <c r="R263">
        <v>17110</v>
      </c>
      <c r="S263" t="s">
        <v>44</v>
      </c>
      <c r="T263">
        <v>11547</v>
      </c>
      <c r="U263" t="s">
        <v>57</v>
      </c>
      <c r="V263">
        <v>48</v>
      </c>
      <c r="W263">
        <v>4</v>
      </c>
      <c r="X263" t="s">
        <v>42</v>
      </c>
      <c r="Y263" t="s">
        <v>45</v>
      </c>
      <c r="Z263" t="s">
        <v>39</v>
      </c>
      <c r="AA263" t="s">
        <v>34</v>
      </c>
      <c r="AB263" t="s">
        <v>35</v>
      </c>
      <c r="AC263" t="s">
        <v>44</v>
      </c>
    </row>
    <row r="264" spans="1:29" x14ac:dyDescent="0.25">
      <c r="A264">
        <v>277</v>
      </c>
      <c r="B264">
        <v>6014</v>
      </c>
      <c r="C264">
        <v>2745</v>
      </c>
      <c r="D264">
        <v>8759</v>
      </c>
      <c r="E264" t="s">
        <v>29</v>
      </c>
      <c r="F264">
        <v>32</v>
      </c>
      <c r="G264" t="s">
        <v>61</v>
      </c>
      <c r="H264" t="s">
        <v>30</v>
      </c>
      <c r="I264">
        <v>3</v>
      </c>
      <c r="J264" t="s">
        <v>58</v>
      </c>
      <c r="K264">
        <v>692</v>
      </c>
      <c r="L264" t="s">
        <v>63</v>
      </c>
      <c r="M264">
        <v>4</v>
      </c>
      <c r="N264" t="s">
        <v>44</v>
      </c>
      <c r="O264">
        <v>0.37</v>
      </c>
      <c r="P264" t="s">
        <v>67</v>
      </c>
      <c r="Q264">
        <v>17424</v>
      </c>
      <c r="R264">
        <v>4923</v>
      </c>
      <c r="S264" t="s">
        <v>44</v>
      </c>
      <c r="T264">
        <v>24177</v>
      </c>
      <c r="U264" t="s">
        <v>64</v>
      </c>
      <c r="V264">
        <v>48</v>
      </c>
      <c r="W264">
        <v>4</v>
      </c>
      <c r="X264" t="s">
        <v>42</v>
      </c>
      <c r="Y264" t="s">
        <v>32</v>
      </c>
      <c r="Z264" t="s">
        <v>39</v>
      </c>
      <c r="AA264" t="s">
        <v>40</v>
      </c>
      <c r="AB264" t="s">
        <v>35</v>
      </c>
      <c r="AC264" t="s">
        <v>44</v>
      </c>
    </row>
    <row r="265" spans="1:29" x14ac:dyDescent="0.25">
      <c r="A265">
        <v>278</v>
      </c>
      <c r="B265">
        <v>13093</v>
      </c>
      <c r="C265">
        <v>1591</v>
      </c>
      <c r="D265">
        <v>14684</v>
      </c>
      <c r="E265" t="s">
        <v>29</v>
      </c>
      <c r="F265">
        <v>36</v>
      </c>
      <c r="G265" t="s">
        <v>65</v>
      </c>
      <c r="H265" t="s">
        <v>41</v>
      </c>
      <c r="I265">
        <v>3</v>
      </c>
      <c r="J265" t="s">
        <v>58</v>
      </c>
      <c r="K265">
        <v>576</v>
      </c>
      <c r="L265" t="s">
        <v>66</v>
      </c>
      <c r="M265">
        <v>2</v>
      </c>
      <c r="N265" t="s">
        <v>44</v>
      </c>
      <c r="O265">
        <v>0.14000000000000001</v>
      </c>
      <c r="P265" t="s">
        <v>59</v>
      </c>
      <c r="Q265">
        <v>18657</v>
      </c>
      <c r="R265">
        <v>15611</v>
      </c>
      <c r="S265" t="s">
        <v>44</v>
      </c>
      <c r="T265">
        <v>3459</v>
      </c>
      <c r="U265" t="s">
        <v>73</v>
      </c>
      <c r="V265">
        <v>72</v>
      </c>
      <c r="W265">
        <v>6</v>
      </c>
      <c r="X265" t="s">
        <v>50</v>
      </c>
      <c r="Y265" t="s">
        <v>45</v>
      </c>
      <c r="Z265" t="s">
        <v>33</v>
      </c>
      <c r="AA265" t="s">
        <v>34</v>
      </c>
      <c r="AB265" t="s">
        <v>42</v>
      </c>
      <c r="AC265" t="s">
        <v>36</v>
      </c>
    </row>
    <row r="266" spans="1:29" x14ac:dyDescent="0.25">
      <c r="A266">
        <v>280</v>
      </c>
      <c r="B266">
        <v>18538</v>
      </c>
      <c r="C266">
        <v>3930</v>
      </c>
      <c r="D266">
        <v>22468</v>
      </c>
      <c r="E266" t="s">
        <v>48</v>
      </c>
      <c r="F266">
        <v>45</v>
      </c>
      <c r="G266" t="s">
        <v>53</v>
      </c>
      <c r="H266" t="s">
        <v>30</v>
      </c>
      <c r="I266">
        <v>1</v>
      </c>
      <c r="J266" t="s">
        <v>68</v>
      </c>
      <c r="K266">
        <v>757</v>
      </c>
      <c r="L266" t="s">
        <v>71</v>
      </c>
      <c r="M266">
        <v>2</v>
      </c>
      <c r="N266" t="s">
        <v>44</v>
      </c>
      <c r="O266">
        <v>0.21</v>
      </c>
      <c r="P266" t="s">
        <v>59</v>
      </c>
      <c r="Q266">
        <v>2114</v>
      </c>
      <c r="R266">
        <v>19199</v>
      </c>
      <c r="S266" t="s">
        <v>44</v>
      </c>
      <c r="T266">
        <v>39041</v>
      </c>
      <c r="U266" t="s">
        <v>60</v>
      </c>
      <c r="V266">
        <v>48</v>
      </c>
      <c r="W266">
        <v>4</v>
      </c>
      <c r="X266" t="s">
        <v>47</v>
      </c>
      <c r="Y266" t="s">
        <v>32</v>
      </c>
      <c r="Z266" t="s">
        <v>39</v>
      </c>
      <c r="AA266" t="s">
        <v>40</v>
      </c>
      <c r="AB266" t="s">
        <v>35</v>
      </c>
      <c r="AC266" t="s">
        <v>44</v>
      </c>
    </row>
    <row r="267" spans="1:29" x14ac:dyDescent="0.25">
      <c r="A267">
        <v>281</v>
      </c>
      <c r="B267">
        <v>12729</v>
      </c>
      <c r="C267">
        <v>1312</v>
      </c>
      <c r="D267">
        <v>14041</v>
      </c>
      <c r="E267" t="s">
        <v>29</v>
      </c>
      <c r="F267">
        <v>40</v>
      </c>
      <c r="G267" t="s">
        <v>65</v>
      </c>
      <c r="H267" t="s">
        <v>41</v>
      </c>
      <c r="I267">
        <v>3</v>
      </c>
      <c r="J267" t="s">
        <v>58</v>
      </c>
      <c r="K267">
        <v>741</v>
      </c>
      <c r="L267" t="s">
        <v>71</v>
      </c>
      <c r="M267">
        <v>1</v>
      </c>
      <c r="N267" t="s">
        <v>44</v>
      </c>
      <c r="O267">
        <v>0.44</v>
      </c>
      <c r="P267" t="s">
        <v>70</v>
      </c>
      <c r="Q267">
        <v>1677</v>
      </c>
      <c r="R267">
        <v>9066</v>
      </c>
      <c r="S267" t="s">
        <v>44</v>
      </c>
      <c r="T267">
        <v>39191</v>
      </c>
      <c r="U267" t="s">
        <v>60</v>
      </c>
      <c r="V267">
        <v>48</v>
      </c>
      <c r="W267">
        <v>4</v>
      </c>
      <c r="X267" t="s">
        <v>42</v>
      </c>
      <c r="Y267" t="s">
        <v>38</v>
      </c>
      <c r="Z267" t="s">
        <v>39</v>
      </c>
      <c r="AA267" t="s">
        <v>40</v>
      </c>
      <c r="AB267" t="s">
        <v>42</v>
      </c>
      <c r="AC267" t="s">
        <v>36</v>
      </c>
    </row>
    <row r="268" spans="1:29" x14ac:dyDescent="0.25">
      <c r="A268">
        <v>282</v>
      </c>
      <c r="B268">
        <v>3409</v>
      </c>
      <c r="C268">
        <v>9477</v>
      </c>
      <c r="D268">
        <v>12886</v>
      </c>
      <c r="E268" t="s">
        <v>29</v>
      </c>
      <c r="F268">
        <v>51</v>
      </c>
      <c r="G268" t="s">
        <v>53</v>
      </c>
      <c r="H268" t="s">
        <v>41</v>
      </c>
      <c r="I268">
        <v>1</v>
      </c>
      <c r="J268" t="s">
        <v>68</v>
      </c>
      <c r="K268">
        <v>771</v>
      </c>
      <c r="L268" t="s">
        <v>71</v>
      </c>
      <c r="M268">
        <v>0</v>
      </c>
      <c r="N268" t="s">
        <v>36</v>
      </c>
      <c r="O268">
        <v>0.5</v>
      </c>
      <c r="P268" t="s">
        <v>70</v>
      </c>
      <c r="Q268">
        <v>3094</v>
      </c>
      <c r="R268">
        <v>36047</v>
      </c>
      <c r="S268" t="s">
        <v>44</v>
      </c>
      <c r="T268">
        <v>18434</v>
      </c>
      <c r="U268" t="s">
        <v>57</v>
      </c>
      <c r="V268">
        <v>24</v>
      </c>
      <c r="W268">
        <v>2</v>
      </c>
      <c r="X268" t="s">
        <v>47</v>
      </c>
      <c r="Y268" t="s">
        <v>38</v>
      </c>
      <c r="Z268" t="s">
        <v>39</v>
      </c>
      <c r="AA268" t="s">
        <v>40</v>
      </c>
      <c r="AB268" t="s">
        <v>35</v>
      </c>
      <c r="AC268" t="s">
        <v>36</v>
      </c>
    </row>
    <row r="269" spans="1:29" x14ac:dyDescent="0.25">
      <c r="A269">
        <v>283</v>
      </c>
      <c r="B269">
        <v>14249</v>
      </c>
      <c r="C269">
        <v>4311</v>
      </c>
      <c r="D269">
        <v>18560</v>
      </c>
      <c r="E269" t="s">
        <v>49</v>
      </c>
      <c r="F269">
        <v>24</v>
      </c>
      <c r="G269" t="s">
        <v>72</v>
      </c>
      <c r="H269" t="s">
        <v>41</v>
      </c>
      <c r="I269">
        <v>2</v>
      </c>
      <c r="J269" t="s">
        <v>62</v>
      </c>
      <c r="K269">
        <v>785</v>
      </c>
      <c r="L269" t="s">
        <v>71</v>
      </c>
      <c r="M269">
        <v>4</v>
      </c>
      <c r="N269" t="s">
        <v>44</v>
      </c>
      <c r="O269">
        <v>0.38</v>
      </c>
      <c r="P269" t="s">
        <v>67</v>
      </c>
      <c r="Q269">
        <v>2284</v>
      </c>
      <c r="R269">
        <v>26754</v>
      </c>
      <c r="S269" t="s">
        <v>44</v>
      </c>
      <c r="T269">
        <v>39247</v>
      </c>
      <c r="U269" t="s">
        <v>60</v>
      </c>
      <c r="V269">
        <v>48</v>
      </c>
      <c r="W269">
        <v>4</v>
      </c>
      <c r="X269" t="s">
        <v>47</v>
      </c>
      <c r="Y269" t="s">
        <v>32</v>
      </c>
      <c r="Z269" t="s">
        <v>39</v>
      </c>
      <c r="AA269" t="s">
        <v>34</v>
      </c>
      <c r="AB269" t="s">
        <v>51</v>
      </c>
      <c r="AC269" t="s">
        <v>44</v>
      </c>
    </row>
    <row r="270" spans="1:29" x14ac:dyDescent="0.25">
      <c r="A270">
        <v>284</v>
      </c>
      <c r="B270">
        <v>0</v>
      </c>
      <c r="C270">
        <v>7314</v>
      </c>
      <c r="D270">
        <v>7314</v>
      </c>
      <c r="E270" t="s">
        <v>29</v>
      </c>
      <c r="F270">
        <v>43</v>
      </c>
      <c r="G270" t="s">
        <v>65</v>
      </c>
      <c r="H270" t="s">
        <v>41</v>
      </c>
      <c r="I270">
        <v>1</v>
      </c>
      <c r="J270" t="s">
        <v>68</v>
      </c>
      <c r="K270">
        <v>707</v>
      </c>
      <c r="L270" t="s">
        <v>63</v>
      </c>
      <c r="M270">
        <v>2</v>
      </c>
      <c r="N270" t="s">
        <v>44</v>
      </c>
      <c r="O270">
        <v>0.47</v>
      </c>
      <c r="P270" t="s">
        <v>70</v>
      </c>
      <c r="Q270">
        <v>5052</v>
      </c>
      <c r="R270">
        <v>36575</v>
      </c>
      <c r="S270" t="s">
        <v>44</v>
      </c>
      <c r="T270">
        <v>16419</v>
      </c>
      <c r="U270" t="s">
        <v>57</v>
      </c>
      <c r="V270">
        <v>60</v>
      </c>
      <c r="W270">
        <v>5</v>
      </c>
      <c r="X270" t="s">
        <v>37</v>
      </c>
      <c r="Y270" t="s">
        <v>38</v>
      </c>
      <c r="Z270" t="s">
        <v>39</v>
      </c>
      <c r="AA270" t="s">
        <v>34</v>
      </c>
      <c r="AB270" t="s">
        <v>43</v>
      </c>
      <c r="AC270" t="s">
        <v>36</v>
      </c>
    </row>
    <row r="271" spans="1:29" x14ac:dyDescent="0.25">
      <c r="A271">
        <v>285</v>
      </c>
      <c r="B271">
        <v>10096</v>
      </c>
      <c r="C271">
        <v>2383</v>
      </c>
      <c r="D271">
        <v>12479</v>
      </c>
      <c r="E271" t="s">
        <v>29</v>
      </c>
      <c r="F271">
        <v>22</v>
      </c>
      <c r="G271" t="s">
        <v>72</v>
      </c>
      <c r="H271" t="s">
        <v>41</v>
      </c>
      <c r="I271">
        <v>1</v>
      </c>
      <c r="J271" t="s">
        <v>68</v>
      </c>
      <c r="K271">
        <v>713</v>
      </c>
      <c r="L271" t="s">
        <v>63</v>
      </c>
      <c r="M271">
        <v>3</v>
      </c>
      <c r="N271" t="s">
        <v>44</v>
      </c>
      <c r="O271">
        <v>0.43</v>
      </c>
      <c r="P271" t="s">
        <v>70</v>
      </c>
      <c r="Q271">
        <v>17973</v>
      </c>
      <c r="R271">
        <v>24260</v>
      </c>
      <c r="S271" t="s">
        <v>44</v>
      </c>
      <c r="T271">
        <v>36017</v>
      </c>
      <c r="U271" t="s">
        <v>60</v>
      </c>
      <c r="V271">
        <v>24</v>
      </c>
      <c r="W271">
        <v>2</v>
      </c>
      <c r="X271" t="s">
        <v>50</v>
      </c>
      <c r="Y271" t="s">
        <v>32</v>
      </c>
      <c r="Z271" t="s">
        <v>39</v>
      </c>
      <c r="AA271" t="s">
        <v>40</v>
      </c>
      <c r="AB271" t="s">
        <v>35</v>
      </c>
      <c r="AC271" t="s">
        <v>36</v>
      </c>
    </row>
    <row r="272" spans="1:29" x14ac:dyDescent="0.25">
      <c r="A272">
        <v>286</v>
      </c>
      <c r="B272">
        <v>9560</v>
      </c>
      <c r="C272">
        <v>0</v>
      </c>
      <c r="D272">
        <v>9560</v>
      </c>
      <c r="E272" t="s">
        <v>52</v>
      </c>
      <c r="F272">
        <v>42</v>
      </c>
      <c r="G272" t="s">
        <v>65</v>
      </c>
      <c r="H272" t="s">
        <v>30</v>
      </c>
      <c r="I272">
        <v>3</v>
      </c>
      <c r="J272" t="s">
        <v>58</v>
      </c>
      <c r="K272">
        <v>744</v>
      </c>
      <c r="L272" t="s">
        <v>71</v>
      </c>
      <c r="M272">
        <v>1</v>
      </c>
      <c r="N272" t="s">
        <v>44</v>
      </c>
      <c r="O272">
        <v>0.28000000000000003</v>
      </c>
      <c r="P272" t="s">
        <v>59</v>
      </c>
      <c r="Q272">
        <v>18904</v>
      </c>
      <c r="R272">
        <v>46733</v>
      </c>
      <c r="S272" t="s">
        <v>44</v>
      </c>
      <c r="T272">
        <v>36577</v>
      </c>
      <c r="U272" t="s">
        <v>60</v>
      </c>
      <c r="V272">
        <v>60</v>
      </c>
      <c r="W272">
        <v>5</v>
      </c>
      <c r="X272" t="s">
        <v>31</v>
      </c>
      <c r="Y272" t="s">
        <v>38</v>
      </c>
      <c r="Z272" t="s">
        <v>39</v>
      </c>
      <c r="AA272" t="s">
        <v>40</v>
      </c>
      <c r="AB272" t="s">
        <v>35</v>
      </c>
      <c r="AC272" t="s">
        <v>44</v>
      </c>
    </row>
    <row r="273" spans="1:29" x14ac:dyDescent="0.25">
      <c r="A273">
        <v>287</v>
      </c>
      <c r="B273">
        <v>14533</v>
      </c>
      <c r="C273">
        <v>2139</v>
      </c>
      <c r="D273">
        <v>16672</v>
      </c>
      <c r="E273" t="s">
        <v>46</v>
      </c>
      <c r="F273">
        <v>57</v>
      </c>
      <c r="G273" t="s">
        <v>69</v>
      </c>
      <c r="H273" t="s">
        <v>41</v>
      </c>
      <c r="I273">
        <v>3</v>
      </c>
      <c r="J273" t="s">
        <v>58</v>
      </c>
      <c r="K273">
        <v>763</v>
      </c>
      <c r="L273" t="s">
        <v>71</v>
      </c>
      <c r="M273">
        <v>0</v>
      </c>
      <c r="N273" t="s">
        <v>36</v>
      </c>
      <c r="O273">
        <v>0.5</v>
      </c>
      <c r="P273" t="s">
        <v>70</v>
      </c>
      <c r="Q273">
        <v>12047</v>
      </c>
      <c r="R273">
        <v>48891</v>
      </c>
      <c r="S273" t="s">
        <v>44</v>
      </c>
      <c r="T273">
        <v>3921</v>
      </c>
      <c r="U273" t="s">
        <v>73</v>
      </c>
      <c r="V273">
        <v>12</v>
      </c>
      <c r="W273">
        <v>1</v>
      </c>
      <c r="X273" t="s">
        <v>47</v>
      </c>
      <c r="Y273" t="s">
        <v>45</v>
      </c>
      <c r="Z273" t="s">
        <v>39</v>
      </c>
      <c r="AA273" t="s">
        <v>40</v>
      </c>
      <c r="AB273" t="s">
        <v>43</v>
      </c>
      <c r="AC273" t="s">
        <v>36</v>
      </c>
    </row>
    <row r="274" spans="1:29" x14ac:dyDescent="0.25">
      <c r="A274">
        <v>288</v>
      </c>
      <c r="B274">
        <v>9343</v>
      </c>
      <c r="C274">
        <v>1704</v>
      </c>
      <c r="D274">
        <v>11047</v>
      </c>
      <c r="E274" t="s">
        <v>48</v>
      </c>
      <c r="F274">
        <v>28</v>
      </c>
      <c r="G274" t="s">
        <v>61</v>
      </c>
      <c r="H274" t="s">
        <v>30</v>
      </c>
      <c r="I274">
        <v>0</v>
      </c>
      <c r="J274" t="s">
        <v>54</v>
      </c>
      <c r="K274">
        <v>662</v>
      </c>
      <c r="L274" t="s">
        <v>55</v>
      </c>
      <c r="M274">
        <v>1</v>
      </c>
      <c r="N274" t="s">
        <v>44</v>
      </c>
      <c r="O274">
        <v>0.25</v>
      </c>
      <c r="P274" t="s">
        <v>59</v>
      </c>
      <c r="Q274">
        <v>694</v>
      </c>
      <c r="R274">
        <v>16991</v>
      </c>
      <c r="S274" t="s">
        <v>44</v>
      </c>
      <c r="T274">
        <v>5676</v>
      </c>
      <c r="U274" t="s">
        <v>57</v>
      </c>
      <c r="V274">
        <v>24</v>
      </c>
      <c r="W274">
        <v>2</v>
      </c>
      <c r="X274" t="s">
        <v>50</v>
      </c>
      <c r="Y274" t="s">
        <v>32</v>
      </c>
      <c r="Z274" t="s">
        <v>39</v>
      </c>
      <c r="AA274" t="s">
        <v>34</v>
      </c>
      <c r="AB274" t="s">
        <v>35</v>
      </c>
      <c r="AC274" t="s">
        <v>44</v>
      </c>
    </row>
    <row r="275" spans="1:29" x14ac:dyDescent="0.25">
      <c r="A275">
        <v>289</v>
      </c>
      <c r="B275">
        <v>9206</v>
      </c>
      <c r="C275">
        <v>6924</v>
      </c>
      <c r="D275">
        <v>16130</v>
      </c>
      <c r="E275" t="s">
        <v>29</v>
      </c>
      <c r="F275">
        <v>27</v>
      </c>
      <c r="G275" t="s">
        <v>61</v>
      </c>
      <c r="H275" t="s">
        <v>41</v>
      </c>
      <c r="I275">
        <v>0</v>
      </c>
      <c r="J275" t="s">
        <v>54</v>
      </c>
      <c r="K275">
        <v>635</v>
      </c>
      <c r="L275" t="s">
        <v>55</v>
      </c>
      <c r="M275">
        <v>3</v>
      </c>
      <c r="N275" t="s">
        <v>44</v>
      </c>
      <c r="O275">
        <v>0.39</v>
      </c>
      <c r="P275" t="s">
        <v>67</v>
      </c>
      <c r="Q275">
        <v>15588</v>
      </c>
      <c r="R275">
        <v>22553</v>
      </c>
      <c r="S275" t="s">
        <v>44</v>
      </c>
      <c r="T275">
        <v>21425</v>
      </c>
      <c r="U275" t="s">
        <v>64</v>
      </c>
      <c r="V275">
        <v>48</v>
      </c>
      <c r="W275">
        <v>4</v>
      </c>
      <c r="X275" t="s">
        <v>31</v>
      </c>
      <c r="Y275" t="s">
        <v>38</v>
      </c>
      <c r="Z275" t="s">
        <v>39</v>
      </c>
      <c r="AA275" t="s">
        <v>34</v>
      </c>
      <c r="AB275" t="s">
        <v>35</v>
      </c>
      <c r="AC275" t="s">
        <v>36</v>
      </c>
    </row>
    <row r="276" spans="1:29" x14ac:dyDescent="0.25">
      <c r="A276">
        <v>290</v>
      </c>
      <c r="B276">
        <v>7801</v>
      </c>
      <c r="C276">
        <v>362</v>
      </c>
      <c r="D276">
        <v>8163</v>
      </c>
      <c r="E276" t="s">
        <v>29</v>
      </c>
      <c r="F276">
        <v>34</v>
      </c>
      <c r="G276" t="s">
        <v>61</v>
      </c>
      <c r="H276" t="s">
        <v>30</v>
      </c>
      <c r="I276">
        <v>3</v>
      </c>
      <c r="J276" t="s">
        <v>58</v>
      </c>
      <c r="K276">
        <v>663</v>
      </c>
      <c r="L276" t="s">
        <v>55</v>
      </c>
      <c r="M276">
        <v>0</v>
      </c>
      <c r="N276" t="s">
        <v>36</v>
      </c>
      <c r="O276">
        <v>0.47</v>
      </c>
      <c r="P276" t="s">
        <v>70</v>
      </c>
      <c r="Q276">
        <v>13055</v>
      </c>
      <c r="R276">
        <v>24174</v>
      </c>
      <c r="S276" t="s">
        <v>44</v>
      </c>
      <c r="T276">
        <v>36185</v>
      </c>
      <c r="U276" t="s">
        <v>60</v>
      </c>
      <c r="V276">
        <v>48</v>
      </c>
      <c r="W276">
        <v>4</v>
      </c>
      <c r="X276" t="s">
        <v>42</v>
      </c>
      <c r="Y276" t="s">
        <v>32</v>
      </c>
      <c r="Z276" t="s">
        <v>39</v>
      </c>
      <c r="AA276" t="s">
        <v>40</v>
      </c>
      <c r="AB276" t="s">
        <v>42</v>
      </c>
      <c r="AC276" t="s">
        <v>36</v>
      </c>
    </row>
    <row r="277" spans="1:29" x14ac:dyDescent="0.25">
      <c r="A277">
        <v>291</v>
      </c>
      <c r="B277">
        <v>18921</v>
      </c>
      <c r="C277">
        <v>2604</v>
      </c>
      <c r="D277">
        <v>21525</v>
      </c>
      <c r="E277" t="s">
        <v>46</v>
      </c>
      <c r="F277">
        <v>23</v>
      </c>
      <c r="G277" t="s">
        <v>72</v>
      </c>
      <c r="H277" t="s">
        <v>41</v>
      </c>
      <c r="I277">
        <v>1</v>
      </c>
      <c r="J277" t="s">
        <v>68</v>
      </c>
      <c r="K277">
        <v>798</v>
      </c>
      <c r="L277" t="s">
        <v>71</v>
      </c>
      <c r="M277">
        <v>3</v>
      </c>
      <c r="N277" t="s">
        <v>44</v>
      </c>
      <c r="O277">
        <v>0.28999999999999998</v>
      </c>
      <c r="P277" t="s">
        <v>59</v>
      </c>
      <c r="Q277">
        <v>16080</v>
      </c>
      <c r="R277">
        <v>21957</v>
      </c>
      <c r="S277" t="s">
        <v>44</v>
      </c>
      <c r="T277">
        <v>0</v>
      </c>
      <c r="U277" t="s">
        <v>73</v>
      </c>
      <c r="V277">
        <v>60</v>
      </c>
      <c r="W277">
        <v>5</v>
      </c>
      <c r="X277" t="s">
        <v>50</v>
      </c>
      <c r="Y277" t="s">
        <v>32</v>
      </c>
      <c r="Z277" t="s">
        <v>39</v>
      </c>
      <c r="AA277" t="s">
        <v>34</v>
      </c>
      <c r="AB277" t="s">
        <v>43</v>
      </c>
      <c r="AC277" t="s">
        <v>36</v>
      </c>
    </row>
    <row r="278" spans="1:29" x14ac:dyDescent="0.25">
      <c r="A278">
        <v>292</v>
      </c>
      <c r="B278">
        <v>7986</v>
      </c>
      <c r="C278">
        <v>9908</v>
      </c>
      <c r="D278">
        <v>17894</v>
      </c>
      <c r="E278" t="s">
        <v>49</v>
      </c>
      <c r="F278">
        <v>36</v>
      </c>
      <c r="G278" t="s">
        <v>65</v>
      </c>
      <c r="H278" t="s">
        <v>41</v>
      </c>
      <c r="I278">
        <v>1</v>
      </c>
      <c r="J278" t="s">
        <v>68</v>
      </c>
      <c r="K278">
        <v>791</v>
      </c>
      <c r="L278" t="s">
        <v>71</v>
      </c>
      <c r="M278">
        <v>1</v>
      </c>
      <c r="N278" t="s">
        <v>44</v>
      </c>
      <c r="O278">
        <v>0.25</v>
      </c>
      <c r="P278" t="s">
        <v>59</v>
      </c>
      <c r="Q278">
        <v>6704</v>
      </c>
      <c r="R278">
        <v>634</v>
      </c>
      <c r="S278" t="s">
        <v>44</v>
      </c>
      <c r="T278">
        <v>26474</v>
      </c>
      <c r="U278" t="s">
        <v>64</v>
      </c>
      <c r="V278">
        <v>48</v>
      </c>
      <c r="W278">
        <v>4</v>
      </c>
      <c r="X278" t="s">
        <v>50</v>
      </c>
      <c r="Y278" t="s">
        <v>45</v>
      </c>
      <c r="Z278" t="s">
        <v>39</v>
      </c>
      <c r="AA278" t="s">
        <v>34</v>
      </c>
      <c r="AB278" t="s">
        <v>42</v>
      </c>
      <c r="AC278" t="s">
        <v>44</v>
      </c>
    </row>
    <row r="279" spans="1:29" x14ac:dyDescent="0.25">
      <c r="A279">
        <v>293</v>
      </c>
      <c r="B279">
        <v>12647</v>
      </c>
      <c r="C279">
        <v>4286</v>
      </c>
      <c r="D279">
        <v>16933</v>
      </c>
      <c r="E279" t="s">
        <v>46</v>
      </c>
      <c r="F279">
        <v>39</v>
      </c>
      <c r="G279" t="s">
        <v>65</v>
      </c>
      <c r="H279" t="s">
        <v>30</v>
      </c>
      <c r="I279">
        <v>0</v>
      </c>
      <c r="J279" t="s">
        <v>54</v>
      </c>
      <c r="K279">
        <v>796</v>
      </c>
      <c r="L279" t="s">
        <v>71</v>
      </c>
      <c r="M279">
        <v>2</v>
      </c>
      <c r="N279" t="s">
        <v>44</v>
      </c>
      <c r="O279">
        <v>0.33</v>
      </c>
      <c r="P279" t="s">
        <v>67</v>
      </c>
      <c r="Q279">
        <v>7368</v>
      </c>
      <c r="R279">
        <v>29881</v>
      </c>
      <c r="S279" t="s">
        <v>44</v>
      </c>
      <c r="T279">
        <v>2469</v>
      </c>
      <c r="U279" t="s">
        <v>73</v>
      </c>
      <c r="V279">
        <v>48</v>
      </c>
      <c r="W279">
        <v>4</v>
      </c>
      <c r="X279" t="s">
        <v>50</v>
      </c>
      <c r="Y279" t="s">
        <v>32</v>
      </c>
      <c r="Z279" t="s">
        <v>39</v>
      </c>
      <c r="AA279" t="s">
        <v>34</v>
      </c>
      <c r="AB279" t="s">
        <v>35</v>
      </c>
      <c r="AC279" t="s">
        <v>44</v>
      </c>
    </row>
    <row r="280" spans="1:29" x14ac:dyDescent="0.25">
      <c r="A280">
        <v>294</v>
      </c>
      <c r="B280">
        <v>10716</v>
      </c>
      <c r="C280">
        <v>3738</v>
      </c>
      <c r="D280">
        <v>14454</v>
      </c>
      <c r="E280" t="s">
        <v>46</v>
      </c>
      <c r="F280">
        <v>38</v>
      </c>
      <c r="G280" t="s">
        <v>65</v>
      </c>
      <c r="H280" t="s">
        <v>41</v>
      </c>
      <c r="I280">
        <v>0</v>
      </c>
      <c r="J280" t="s">
        <v>54</v>
      </c>
      <c r="K280">
        <v>673</v>
      </c>
      <c r="L280" t="s">
        <v>63</v>
      </c>
      <c r="M280">
        <v>1</v>
      </c>
      <c r="N280" t="s">
        <v>44</v>
      </c>
      <c r="O280">
        <v>0.51</v>
      </c>
      <c r="P280" t="s">
        <v>56</v>
      </c>
      <c r="Q280">
        <v>1971</v>
      </c>
      <c r="R280">
        <v>12771</v>
      </c>
      <c r="S280" t="s">
        <v>44</v>
      </c>
      <c r="T280">
        <v>8292</v>
      </c>
      <c r="U280" t="s">
        <v>57</v>
      </c>
      <c r="V280">
        <v>48</v>
      </c>
      <c r="W280">
        <v>4</v>
      </c>
      <c r="X280" t="s">
        <v>42</v>
      </c>
      <c r="Y280" t="s">
        <v>38</v>
      </c>
      <c r="Z280" t="s">
        <v>39</v>
      </c>
      <c r="AA280" t="s">
        <v>34</v>
      </c>
      <c r="AB280" t="s">
        <v>42</v>
      </c>
      <c r="AC280" t="s">
        <v>36</v>
      </c>
    </row>
    <row r="281" spans="1:29" x14ac:dyDescent="0.25">
      <c r="A281">
        <v>295</v>
      </c>
      <c r="B281">
        <v>14323</v>
      </c>
      <c r="C281">
        <v>2469</v>
      </c>
      <c r="D281">
        <v>16792</v>
      </c>
      <c r="E281" t="s">
        <v>29</v>
      </c>
      <c r="F281">
        <v>36</v>
      </c>
      <c r="G281" t="s">
        <v>65</v>
      </c>
      <c r="H281" t="s">
        <v>30</v>
      </c>
      <c r="I281">
        <v>0</v>
      </c>
      <c r="J281" t="s">
        <v>54</v>
      </c>
      <c r="K281">
        <v>598</v>
      </c>
      <c r="L281" t="s">
        <v>55</v>
      </c>
      <c r="M281">
        <v>1</v>
      </c>
      <c r="N281" t="s">
        <v>44</v>
      </c>
      <c r="O281">
        <v>0.56000000000000005</v>
      </c>
      <c r="P281" t="s">
        <v>56</v>
      </c>
      <c r="Q281">
        <v>14593</v>
      </c>
      <c r="R281">
        <v>18298</v>
      </c>
      <c r="S281" t="s">
        <v>44</v>
      </c>
      <c r="T281">
        <v>26409</v>
      </c>
      <c r="U281" t="s">
        <v>64</v>
      </c>
      <c r="V281">
        <v>84</v>
      </c>
      <c r="W281">
        <v>7</v>
      </c>
      <c r="X281" t="s">
        <v>42</v>
      </c>
      <c r="Y281" t="s">
        <v>45</v>
      </c>
      <c r="Z281" t="s">
        <v>39</v>
      </c>
      <c r="AA281" t="s">
        <v>40</v>
      </c>
      <c r="AB281" t="s">
        <v>35</v>
      </c>
      <c r="AC281" t="s">
        <v>36</v>
      </c>
    </row>
    <row r="282" spans="1:29" x14ac:dyDescent="0.25">
      <c r="A282">
        <v>296</v>
      </c>
      <c r="B282">
        <v>6780</v>
      </c>
      <c r="C282">
        <v>4795</v>
      </c>
      <c r="D282">
        <v>11575</v>
      </c>
      <c r="E282" t="s">
        <v>49</v>
      </c>
      <c r="F282">
        <v>28</v>
      </c>
      <c r="G282" t="s">
        <v>61</v>
      </c>
      <c r="H282" t="s">
        <v>41</v>
      </c>
      <c r="I282">
        <v>2</v>
      </c>
      <c r="J282" t="s">
        <v>62</v>
      </c>
      <c r="K282">
        <v>625</v>
      </c>
      <c r="L282" t="s">
        <v>55</v>
      </c>
      <c r="M282">
        <v>1</v>
      </c>
      <c r="N282" t="s">
        <v>44</v>
      </c>
      <c r="O282">
        <v>0.37</v>
      </c>
      <c r="P282" t="s">
        <v>67</v>
      </c>
      <c r="Q282">
        <v>8055</v>
      </c>
      <c r="R282">
        <v>14340</v>
      </c>
      <c r="S282" t="s">
        <v>44</v>
      </c>
      <c r="T282">
        <v>24526</v>
      </c>
      <c r="U282" t="s">
        <v>64</v>
      </c>
      <c r="V282">
        <v>72</v>
      </c>
      <c r="W282">
        <v>6</v>
      </c>
      <c r="X282" t="s">
        <v>50</v>
      </c>
      <c r="Y282" t="s">
        <v>32</v>
      </c>
      <c r="Z282" t="s">
        <v>39</v>
      </c>
      <c r="AA282" t="s">
        <v>40</v>
      </c>
      <c r="AB282" t="s">
        <v>35</v>
      </c>
      <c r="AC282" t="s">
        <v>36</v>
      </c>
    </row>
    <row r="283" spans="1:29" x14ac:dyDescent="0.25">
      <c r="A283">
        <v>297</v>
      </c>
      <c r="B283">
        <v>4368</v>
      </c>
      <c r="C283">
        <v>6150</v>
      </c>
      <c r="D283">
        <v>10518</v>
      </c>
      <c r="E283" t="s">
        <v>29</v>
      </c>
      <c r="F283">
        <v>53</v>
      </c>
      <c r="G283" t="s">
        <v>53</v>
      </c>
      <c r="H283" t="s">
        <v>30</v>
      </c>
      <c r="I283">
        <v>2</v>
      </c>
      <c r="J283" t="s">
        <v>62</v>
      </c>
      <c r="K283">
        <v>604</v>
      </c>
      <c r="L283" t="s">
        <v>55</v>
      </c>
      <c r="M283">
        <v>4</v>
      </c>
      <c r="N283" t="s">
        <v>44</v>
      </c>
      <c r="O283">
        <v>0.43</v>
      </c>
      <c r="P283" t="s">
        <v>70</v>
      </c>
      <c r="Q283">
        <v>11441</v>
      </c>
      <c r="R283">
        <v>33356</v>
      </c>
      <c r="S283" t="s">
        <v>44</v>
      </c>
      <c r="T283">
        <v>24465</v>
      </c>
      <c r="U283" t="s">
        <v>64</v>
      </c>
      <c r="V283">
        <v>36</v>
      </c>
      <c r="W283">
        <v>3</v>
      </c>
      <c r="X283" t="s">
        <v>37</v>
      </c>
      <c r="Y283" t="s">
        <v>45</v>
      </c>
      <c r="Z283" t="s">
        <v>39</v>
      </c>
      <c r="AA283" t="s">
        <v>34</v>
      </c>
      <c r="AB283" t="s">
        <v>43</v>
      </c>
      <c r="AC283" t="s">
        <v>36</v>
      </c>
    </row>
    <row r="284" spans="1:29" x14ac:dyDescent="0.25">
      <c r="A284">
        <v>298</v>
      </c>
      <c r="B284">
        <v>14039</v>
      </c>
      <c r="C284">
        <v>556</v>
      </c>
      <c r="D284">
        <v>14595</v>
      </c>
      <c r="E284" t="s">
        <v>29</v>
      </c>
      <c r="F284">
        <v>40</v>
      </c>
      <c r="G284" t="s">
        <v>65</v>
      </c>
      <c r="H284" t="s">
        <v>30</v>
      </c>
      <c r="I284">
        <v>0</v>
      </c>
      <c r="J284" t="s">
        <v>54</v>
      </c>
      <c r="K284">
        <v>762</v>
      </c>
      <c r="L284" t="s">
        <v>71</v>
      </c>
      <c r="M284">
        <v>3</v>
      </c>
      <c r="N284" t="s">
        <v>44</v>
      </c>
      <c r="O284">
        <v>0.55000000000000004</v>
      </c>
      <c r="P284" t="s">
        <v>56</v>
      </c>
      <c r="Q284">
        <v>14677</v>
      </c>
      <c r="R284">
        <v>35999</v>
      </c>
      <c r="S284" t="s">
        <v>44</v>
      </c>
      <c r="T284">
        <v>31955</v>
      </c>
      <c r="U284" t="s">
        <v>64</v>
      </c>
      <c r="V284">
        <v>48</v>
      </c>
      <c r="W284">
        <v>4</v>
      </c>
      <c r="X284" t="s">
        <v>47</v>
      </c>
      <c r="Y284" t="s">
        <v>45</v>
      </c>
      <c r="Z284" t="s">
        <v>33</v>
      </c>
      <c r="AA284" t="s">
        <v>40</v>
      </c>
      <c r="AB284" t="s">
        <v>35</v>
      </c>
      <c r="AC284" t="s">
        <v>36</v>
      </c>
    </row>
    <row r="285" spans="1:29" x14ac:dyDescent="0.25">
      <c r="A285">
        <v>299</v>
      </c>
      <c r="B285">
        <v>8655</v>
      </c>
      <c r="C285">
        <v>0</v>
      </c>
      <c r="D285">
        <v>8655</v>
      </c>
      <c r="E285" t="s">
        <v>52</v>
      </c>
      <c r="F285">
        <v>31</v>
      </c>
      <c r="G285" t="s">
        <v>61</v>
      </c>
      <c r="H285" t="s">
        <v>41</v>
      </c>
      <c r="I285">
        <v>1</v>
      </c>
      <c r="J285" t="s">
        <v>68</v>
      </c>
      <c r="K285">
        <v>605</v>
      </c>
      <c r="L285" t="s">
        <v>55</v>
      </c>
      <c r="M285">
        <v>3</v>
      </c>
      <c r="N285" t="s">
        <v>44</v>
      </c>
      <c r="O285">
        <v>0.15</v>
      </c>
      <c r="P285" t="s">
        <v>59</v>
      </c>
      <c r="Q285">
        <v>1868</v>
      </c>
      <c r="R285">
        <v>6351</v>
      </c>
      <c r="S285" t="s">
        <v>44</v>
      </c>
      <c r="T285">
        <v>27785</v>
      </c>
      <c r="U285" t="s">
        <v>64</v>
      </c>
      <c r="V285">
        <v>60</v>
      </c>
      <c r="W285">
        <v>5</v>
      </c>
      <c r="X285" t="s">
        <v>42</v>
      </c>
      <c r="Y285" t="s">
        <v>45</v>
      </c>
      <c r="Z285" t="s">
        <v>33</v>
      </c>
      <c r="AA285" t="s">
        <v>34</v>
      </c>
      <c r="AB285" t="s">
        <v>51</v>
      </c>
      <c r="AC285" t="s">
        <v>36</v>
      </c>
    </row>
    <row r="286" spans="1:29" x14ac:dyDescent="0.25">
      <c r="A286">
        <v>300</v>
      </c>
      <c r="B286">
        <v>10173</v>
      </c>
      <c r="C286">
        <v>2808</v>
      </c>
      <c r="D286">
        <v>12981</v>
      </c>
      <c r="E286" t="s">
        <v>29</v>
      </c>
      <c r="F286">
        <v>25</v>
      </c>
      <c r="G286" t="s">
        <v>61</v>
      </c>
      <c r="H286" t="s">
        <v>30</v>
      </c>
      <c r="I286">
        <v>0</v>
      </c>
      <c r="J286" t="s">
        <v>54</v>
      </c>
      <c r="K286">
        <v>745</v>
      </c>
      <c r="L286" t="s">
        <v>71</v>
      </c>
      <c r="M286">
        <v>3</v>
      </c>
      <c r="N286" t="s">
        <v>44</v>
      </c>
      <c r="O286">
        <v>0.22</v>
      </c>
      <c r="P286" t="s">
        <v>59</v>
      </c>
      <c r="Q286">
        <v>18055</v>
      </c>
      <c r="R286">
        <v>3838</v>
      </c>
      <c r="S286" t="s">
        <v>44</v>
      </c>
      <c r="T286">
        <v>22033</v>
      </c>
      <c r="U286" t="s">
        <v>64</v>
      </c>
      <c r="V286">
        <v>24</v>
      </c>
      <c r="W286">
        <v>2</v>
      </c>
      <c r="X286" t="s">
        <v>37</v>
      </c>
      <c r="Y286" t="s">
        <v>32</v>
      </c>
      <c r="Z286" t="s">
        <v>39</v>
      </c>
      <c r="AA286" t="s">
        <v>40</v>
      </c>
      <c r="AB286" t="s">
        <v>42</v>
      </c>
      <c r="AC286" t="s">
        <v>44</v>
      </c>
    </row>
    <row r="287" spans="1:29" x14ac:dyDescent="0.25">
      <c r="A287">
        <v>301</v>
      </c>
      <c r="B287">
        <v>6495</v>
      </c>
      <c r="C287">
        <v>5150</v>
      </c>
      <c r="D287">
        <v>11645</v>
      </c>
      <c r="E287" t="s">
        <v>29</v>
      </c>
      <c r="F287">
        <v>47</v>
      </c>
      <c r="G287" t="s">
        <v>53</v>
      </c>
      <c r="H287" t="s">
        <v>41</v>
      </c>
      <c r="I287">
        <v>2</v>
      </c>
      <c r="J287" t="s">
        <v>62</v>
      </c>
      <c r="K287">
        <v>644</v>
      </c>
      <c r="L287" t="s">
        <v>55</v>
      </c>
      <c r="M287">
        <v>4</v>
      </c>
      <c r="N287" t="s">
        <v>44</v>
      </c>
      <c r="O287">
        <v>0.45</v>
      </c>
      <c r="P287" t="s">
        <v>70</v>
      </c>
      <c r="Q287">
        <v>1728</v>
      </c>
      <c r="R287">
        <v>1973</v>
      </c>
      <c r="S287" t="s">
        <v>44</v>
      </c>
      <c r="T287">
        <v>7931</v>
      </c>
      <c r="U287" t="s">
        <v>57</v>
      </c>
      <c r="V287">
        <v>12</v>
      </c>
      <c r="W287">
        <v>1</v>
      </c>
      <c r="X287" t="s">
        <v>42</v>
      </c>
      <c r="Y287" t="s">
        <v>32</v>
      </c>
      <c r="Z287" t="s">
        <v>39</v>
      </c>
      <c r="AA287" t="s">
        <v>40</v>
      </c>
      <c r="AB287" t="s">
        <v>43</v>
      </c>
      <c r="AC287" t="s">
        <v>36</v>
      </c>
    </row>
    <row r="288" spans="1:29" x14ac:dyDescent="0.25">
      <c r="A288">
        <v>302</v>
      </c>
      <c r="B288">
        <v>12893</v>
      </c>
      <c r="C288">
        <v>7561</v>
      </c>
      <c r="D288">
        <v>20454</v>
      </c>
      <c r="E288" t="s">
        <v>49</v>
      </c>
      <c r="F288">
        <v>32</v>
      </c>
      <c r="G288" t="s">
        <v>61</v>
      </c>
      <c r="H288" t="s">
        <v>30</v>
      </c>
      <c r="I288">
        <v>1</v>
      </c>
      <c r="J288" t="s">
        <v>68</v>
      </c>
      <c r="K288">
        <v>593</v>
      </c>
      <c r="L288" t="s">
        <v>55</v>
      </c>
      <c r="M288">
        <v>2</v>
      </c>
      <c r="N288" t="s">
        <v>44</v>
      </c>
      <c r="O288">
        <v>0.51</v>
      </c>
      <c r="P288" t="s">
        <v>56</v>
      </c>
      <c r="Q288">
        <v>7632</v>
      </c>
      <c r="R288">
        <v>47114</v>
      </c>
      <c r="S288" t="s">
        <v>44</v>
      </c>
      <c r="T288">
        <v>2091</v>
      </c>
      <c r="U288" t="s">
        <v>73</v>
      </c>
      <c r="V288">
        <v>72</v>
      </c>
      <c r="W288">
        <v>6</v>
      </c>
      <c r="X288" t="s">
        <v>50</v>
      </c>
      <c r="Y288" t="s">
        <v>45</v>
      </c>
      <c r="Z288" t="s">
        <v>33</v>
      </c>
      <c r="AA288" t="s">
        <v>40</v>
      </c>
      <c r="AB288" t="s">
        <v>35</v>
      </c>
      <c r="AC288" t="s">
        <v>36</v>
      </c>
    </row>
    <row r="289" spans="1:29" x14ac:dyDescent="0.25">
      <c r="A289">
        <v>304</v>
      </c>
      <c r="B289">
        <v>15121</v>
      </c>
      <c r="C289">
        <v>6506</v>
      </c>
      <c r="D289">
        <v>21627</v>
      </c>
      <c r="E289" t="s">
        <v>49</v>
      </c>
      <c r="F289">
        <v>26</v>
      </c>
      <c r="G289" t="s">
        <v>61</v>
      </c>
      <c r="H289" t="s">
        <v>30</v>
      </c>
      <c r="I289">
        <v>1</v>
      </c>
      <c r="J289" t="s">
        <v>68</v>
      </c>
      <c r="K289">
        <v>735</v>
      </c>
      <c r="L289" t="s">
        <v>63</v>
      </c>
      <c r="M289">
        <v>2</v>
      </c>
      <c r="N289" t="s">
        <v>44</v>
      </c>
      <c r="O289">
        <v>0.31</v>
      </c>
      <c r="P289" t="s">
        <v>67</v>
      </c>
      <c r="Q289">
        <v>6403</v>
      </c>
      <c r="R289">
        <v>10247</v>
      </c>
      <c r="S289" t="s">
        <v>44</v>
      </c>
      <c r="T289">
        <v>17363</v>
      </c>
      <c r="U289" t="s">
        <v>57</v>
      </c>
      <c r="V289">
        <v>24</v>
      </c>
      <c r="W289">
        <v>2</v>
      </c>
      <c r="X289" t="s">
        <v>31</v>
      </c>
      <c r="Y289" t="s">
        <v>32</v>
      </c>
      <c r="Z289" t="s">
        <v>39</v>
      </c>
      <c r="AA289" t="s">
        <v>40</v>
      </c>
      <c r="AB289" t="s">
        <v>43</v>
      </c>
      <c r="AC289" t="s">
        <v>44</v>
      </c>
    </row>
    <row r="290" spans="1:29" x14ac:dyDescent="0.25">
      <c r="A290">
        <v>305</v>
      </c>
      <c r="B290">
        <v>12966</v>
      </c>
      <c r="C290">
        <v>3741</v>
      </c>
      <c r="D290">
        <v>16707</v>
      </c>
      <c r="E290" t="s">
        <v>29</v>
      </c>
      <c r="F290">
        <v>53</v>
      </c>
      <c r="G290" t="s">
        <v>53</v>
      </c>
      <c r="H290" t="s">
        <v>30</v>
      </c>
      <c r="I290">
        <v>2</v>
      </c>
      <c r="J290" t="s">
        <v>62</v>
      </c>
      <c r="K290">
        <v>636</v>
      </c>
      <c r="L290" t="s">
        <v>55</v>
      </c>
      <c r="M290">
        <v>4</v>
      </c>
      <c r="N290" t="s">
        <v>44</v>
      </c>
      <c r="O290">
        <v>0.14000000000000001</v>
      </c>
      <c r="P290" t="s">
        <v>59</v>
      </c>
      <c r="Q290">
        <v>15732</v>
      </c>
      <c r="R290">
        <v>44440</v>
      </c>
      <c r="S290" t="s">
        <v>44</v>
      </c>
      <c r="T290">
        <v>29490</v>
      </c>
      <c r="U290" t="s">
        <v>64</v>
      </c>
      <c r="V290">
        <v>48</v>
      </c>
      <c r="W290">
        <v>4</v>
      </c>
      <c r="X290" t="s">
        <v>47</v>
      </c>
      <c r="Y290" t="s">
        <v>45</v>
      </c>
      <c r="Z290" t="s">
        <v>39</v>
      </c>
      <c r="AA290" t="s">
        <v>34</v>
      </c>
      <c r="AB290" t="s">
        <v>42</v>
      </c>
      <c r="AC290" t="s">
        <v>36</v>
      </c>
    </row>
    <row r="291" spans="1:29" x14ac:dyDescent="0.25">
      <c r="A291">
        <v>306</v>
      </c>
      <c r="B291">
        <v>2853</v>
      </c>
      <c r="C291">
        <v>9766</v>
      </c>
      <c r="D291">
        <v>12619</v>
      </c>
      <c r="E291" t="s">
        <v>49</v>
      </c>
      <c r="F291">
        <v>25</v>
      </c>
      <c r="G291" t="s">
        <v>61</v>
      </c>
      <c r="H291" t="s">
        <v>30</v>
      </c>
      <c r="I291">
        <v>1</v>
      </c>
      <c r="J291" t="s">
        <v>68</v>
      </c>
      <c r="K291">
        <v>795</v>
      </c>
      <c r="L291" t="s">
        <v>71</v>
      </c>
      <c r="M291">
        <v>3</v>
      </c>
      <c r="N291" t="s">
        <v>44</v>
      </c>
      <c r="O291">
        <v>0.32</v>
      </c>
      <c r="P291" t="s">
        <v>67</v>
      </c>
      <c r="Q291">
        <v>18526</v>
      </c>
      <c r="R291">
        <v>31655</v>
      </c>
      <c r="S291" t="s">
        <v>44</v>
      </c>
      <c r="T291">
        <v>0</v>
      </c>
      <c r="U291" t="s">
        <v>73</v>
      </c>
      <c r="V291">
        <v>72</v>
      </c>
      <c r="W291">
        <v>6</v>
      </c>
      <c r="X291" t="s">
        <v>47</v>
      </c>
      <c r="Y291" t="s">
        <v>32</v>
      </c>
      <c r="Z291" t="s">
        <v>39</v>
      </c>
      <c r="AA291" t="s">
        <v>40</v>
      </c>
      <c r="AB291" t="s">
        <v>35</v>
      </c>
      <c r="AC291" t="s">
        <v>44</v>
      </c>
    </row>
    <row r="292" spans="1:29" x14ac:dyDescent="0.25">
      <c r="A292">
        <v>307</v>
      </c>
      <c r="B292">
        <v>0</v>
      </c>
      <c r="C292">
        <v>3998</v>
      </c>
      <c r="D292">
        <v>3998</v>
      </c>
      <c r="E292" t="s">
        <v>29</v>
      </c>
      <c r="F292">
        <v>48</v>
      </c>
      <c r="G292" t="s">
        <v>53</v>
      </c>
      <c r="H292" t="s">
        <v>30</v>
      </c>
      <c r="I292">
        <v>1</v>
      </c>
      <c r="J292" t="s">
        <v>68</v>
      </c>
      <c r="K292">
        <v>730</v>
      </c>
      <c r="L292" t="s">
        <v>63</v>
      </c>
      <c r="M292">
        <v>1</v>
      </c>
      <c r="N292" t="s">
        <v>44</v>
      </c>
      <c r="O292">
        <v>0.22</v>
      </c>
      <c r="P292" t="s">
        <v>59</v>
      </c>
      <c r="Q292">
        <v>9340</v>
      </c>
      <c r="R292">
        <v>43039</v>
      </c>
      <c r="S292" t="s">
        <v>44</v>
      </c>
      <c r="T292">
        <v>11456</v>
      </c>
      <c r="U292" t="s">
        <v>57</v>
      </c>
      <c r="V292">
        <v>48</v>
      </c>
      <c r="W292">
        <v>4</v>
      </c>
      <c r="X292" t="s">
        <v>42</v>
      </c>
      <c r="Y292" t="s">
        <v>45</v>
      </c>
      <c r="Z292" t="s">
        <v>39</v>
      </c>
      <c r="AA292" t="s">
        <v>34</v>
      </c>
      <c r="AB292" t="s">
        <v>35</v>
      </c>
      <c r="AC292" t="s">
        <v>44</v>
      </c>
    </row>
    <row r="293" spans="1:29" x14ac:dyDescent="0.25">
      <c r="A293">
        <v>308</v>
      </c>
      <c r="B293">
        <v>19532</v>
      </c>
      <c r="C293">
        <v>2403</v>
      </c>
      <c r="D293">
        <v>21935</v>
      </c>
      <c r="E293" t="s">
        <v>29</v>
      </c>
      <c r="F293">
        <v>34</v>
      </c>
      <c r="G293" t="s">
        <v>61</v>
      </c>
      <c r="H293" t="s">
        <v>30</v>
      </c>
      <c r="I293">
        <v>1</v>
      </c>
      <c r="J293" t="s">
        <v>68</v>
      </c>
      <c r="K293">
        <v>633</v>
      </c>
      <c r="L293" t="s">
        <v>55</v>
      </c>
      <c r="M293">
        <v>0</v>
      </c>
      <c r="N293" t="s">
        <v>36</v>
      </c>
      <c r="O293">
        <v>0.25</v>
      </c>
      <c r="P293" t="s">
        <v>59</v>
      </c>
      <c r="Q293">
        <v>6184</v>
      </c>
      <c r="R293">
        <v>6683</v>
      </c>
      <c r="S293" t="s">
        <v>44</v>
      </c>
      <c r="T293">
        <v>23320</v>
      </c>
      <c r="U293" t="s">
        <v>64</v>
      </c>
      <c r="V293">
        <v>72</v>
      </c>
      <c r="W293">
        <v>6</v>
      </c>
      <c r="X293" t="s">
        <v>47</v>
      </c>
      <c r="Y293" t="s">
        <v>45</v>
      </c>
      <c r="Z293" t="s">
        <v>39</v>
      </c>
      <c r="AA293" t="s">
        <v>40</v>
      </c>
      <c r="AB293" t="s">
        <v>35</v>
      </c>
      <c r="AC293" t="s">
        <v>36</v>
      </c>
    </row>
    <row r="294" spans="1:29" x14ac:dyDescent="0.25">
      <c r="A294">
        <v>309</v>
      </c>
      <c r="B294">
        <v>11907</v>
      </c>
      <c r="C294">
        <v>8780</v>
      </c>
      <c r="D294">
        <v>20687</v>
      </c>
      <c r="E294" t="s">
        <v>48</v>
      </c>
      <c r="F294">
        <v>25</v>
      </c>
      <c r="G294" t="s">
        <v>61</v>
      </c>
      <c r="H294" t="s">
        <v>30</v>
      </c>
      <c r="I294">
        <v>1</v>
      </c>
      <c r="J294" t="s">
        <v>68</v>
      </c>
      <c r="K294">
        <v>756</v>
      </c>
      <c r="L294" t="s">
        <v>71</v>
      </c>
      <c r="M294">
        <v>0</v>
      </c>
      <c r="N294" t="s">
        <v>36</v>
      </c>
      <c r="O294">
        <v>0.49</v>
      </c>
      <c r="P294" t="s">
        <v>70</v>
      </c>
      <c r="Q294">
        <v>253</v>
      </c>
      <c r="R294">
        <v>11244</v>
      </c>
      <c r="S294" t="s">
        <v>44</v>
      </c>
      <c r="T294">
        <v>14435</v>
      </c>
      <c r="U294" t="s">
        <v>57</v>
      </c>
      <c r="V294">
        <v>48</v>
      </c>
      <c r="W294">
        <v>4</v>
      </c>
      <c r="X294" t="s">
        <v>31</v>
      </c>
      <c r="Y294" t="s">
        <v>45</v>
      </c>
      <c r="Z294" t="s">
        <v>39</v>
      </c>
      <c r="AA294" t="s">
        <v>40</v>
      </c>
      <c r="AB294" t="s">
        <v>43</v>
      </c>
      <c r="AC294" t="s">
        <v>36</v>
      </c>
    </row>
    <row r="295" spans="1:29" x14ac:dyDescent="0.25">
      <c r="A295">
        <v>310</v>
      </c>
      <c r="B295">
        <v>6777</v>
      </c>
      <c r="C295">
        <v>9739</v>
      </c>
      <c r="D295">
        <v>16516</v>
      </c>
      <c r="E295" t="s">
        <v>49</v>
      </c>
      <c r="F295">
        <v>53</v>
      </c>
      <c r="G295" t="s">
        <v>53</v>
      </c>
      <c r="H295" t="s">
        <v>41</v>
      </c>
      <c r="I295">
        <v>3</v>
      </c>
      <c r="J295" t="s">
        <v>58</v>
      </c>
      <c r="K295">
        <v>700</v>
      </c>
      <c r="L295" t="s">
        <v>63</v>
      </c>
      <c r="M295">
        <v>2</v>
      </c>
      <c r="N295" t="s">
        <v>44</v>
      </c>
      <c r="O295">
        <v>0.14000000000000001</v>
      </c>
      <c r="P295" t="s">
        <v>59</v>
      </c>
      <c r="Q295">
        <v>4102</v>
      </c>
      <c r="R295">
        <v>29058</v>
      </c>
      <c r="S295" t="s">
        <v>44</v>
      </c>
      <c r="T295">
        <v>28025</v>
      </c>
      <c r="U295" t="s">
        <v>64</v>
      </c>
      <c r="V295">
        <v>84</v>
      </c>
      <c r="W295">
        <v>7</v>
      </c>
      <c r="X295" t="s">
        <v>37</v>
      </c>
      <c r="Y295" t="s">
        <v>32</v>
      </c>
      <c r="Z295" t="s">
        <v>33</v>
      </c>
      <c r="AA295" t="s">
        <v>34</v>
      </c>
      <c r="AB295" t="s">
        <v>35</v>
      </c>
      <c r="AC295" t="s">
        <v>44</v>
      </c>
    </row>
    <row r="296" spans="1:29" x14ac:dyDescent="0.25">
      <c r="A296">
        <v>311</v>
      </c>
      <c r="B296">
        <v>0</v>
      </c>
      <c r="C296">
        <v>294</v>
      </c>
      <c r="D296">
        <v>294</v>
      </c>
      <c r="E296" t="s">
        <v>29</v>
      </c>
      <c r="F296">
        <v>39</v>
      </c>
      <c r="G296" t="s">
        <v>65</v>
      </c>
      <c r="H296" t="s">
        <v>41</v>
      </c>
      <c r="I296">
        <v>2</v>
      </c>
      <c r="J296" t="s">
        <v>62</v>
      </c>
      <c r="K296">
        <v>705</v>
      </c>
      <c r="L296" t="s">
        <v>63</v>
      </c>
      <c r="M296">
        <v>3</v>
      </c>
      <c r="N296" t="s">
        <v>44</v>
      </c>
      <c r="O296">
        <v>0.35</v>
      </c>
      <c r="P296" t="s">
        <v>67</v>
      </c>
      <c r="Q296">
        <v>3542</v>
      </c>
      <c r="R296">
        <v>39551</v>
      </c>
      <c r="S296" t="s">
        <v>44</v>
      </c>
      <c r="T296">
        <v>29109</v>
      </c>
      <c r="U296" t="s">
        <v>64</v>
      </c>
      <c r="V296">
        <v>12</v>
      </c>
      <c r="W296">
        <v>1</v>
      </c>
      <c r="X296" t="s">
        <v>37</v>
      </c>
      <c r="Y296" t="s">
        <v>32</v>
      </c>
      <c r="Z296" t="s">
        <v>39</v>
      </c>
      <c r="AA296" t="s">
        <v>40</v>
      </c>
      <c r="AB296" t="s">
        <v>43</v>
      </c>
      <c r="AC296" t="s">
        <v>36</v>
      </c>
    </row>
    <row r="297" spans="1:29" x14ac:dyDescent="0.25">
      <c r="A297">
        <v>312</v>
      </c>
      <c r="B297">
        <v>4491</v>
      </c>
      <c r="C297">
        <v>0</v>
      </c>
      <c r="D297">
        <v>4491</v>
      </c>
      <c r="E297" t="s">
        <v>29</v>
      </c>
      <c r="F297">
        <v>40</v>
      </c>
      <c r="G297" t="s">
        <v>65</v>
      </c>
      <c r="H297" t="s">
        <v>30</v>
      </c>
      <c r="I297">
        <v>2</v>
      </c>
      <c r="J297" t="s">
        <v>62</v>
      </c>
      <c r="K297">
        <v>565</v>
      </c>
      <c r="L297" t="s">
        <v>66</v>
      </c>
      <c r="M297">
        <v>0</v>
      </c>
      <c r="N297" t="s">
        <v>36</v>
      </c>
      <c r="O297">
        <v>0.31</v>
      </c>
      <c r="P297" t="s">
        <v>67</v>
      </c>
      <c r="Q297">
        <v>19159</v>
      </c>
      <c r="R297">
        <v>38362</v>
      </c>
      <c r="S297" t="s">
        <v>44</v>
      </c>
      <c r="T297">
        <v>21754</v>
      </c>
      <c r="U297" t="s">
        <v>64</v>
      </c>
      <c r="V297">
        <v>72</v>
      </c>
      <c r="W297">
        <v>6</v>
      </c>
      <c r="X297" t="s">
        <v>50</v>
      </c>
      <c r="Y297" t="s">
        <v>32</v>
      </c>
      <c r="Z297" t="s">
        <v>39</v>
      </c>
      <c r="AA297" t="s">
        <v>40</v>
      </c>
      <c r="AB297" t="s">
        <v>35</v>
      </c>
      <c r="AC297" t="s">
        <v>36</v>
      </c>
    </row>
    <row r="298" spans="1:29" x14ac:dyDescent="0.25">
      <c r="A298">
        <v>313</v>
      </c>
      <c r="B298">
        <v>0</v>
      </c>
      <c r="C298">
        <v>9882</v>
      </c>
      <c r="D298">
        <v>9882</v>
      </c>
      <c r="E298" t="s">
        <v>49</v>
      </c>
      <c r="F298">
        <v>25</v>
      </c>
      <c r="G298" t="s">
        <v>61</v>
      </c>
      <c r="H298" t="s">
        <v>41</v>
      </c>
      <c r="I298">
        <v>0</v>
      </c>
      <c r="J298" t="s">
        <v>54</v>
      </c>
      <c r="K298">
        <v>714</v>
      </c>
      <c r="L298" t="s">
        <v>63</v>
      </c>
      <c r="M298">
        <v>2</v>
      </c>
      <c r="N298" t="s">
        <v>44</v>
      </c>
      <c r="O298">
        <v>0.4</v>
      </c>
      <c r="P298" t="s">
        <v>67</v>
      </c>
      <c r="Q298">
        <v>6212</v>
      </c>
      <c r="R298">
        <v>28371</v>
      </c>
      <c r="S298" t="s">
        <v>44</v>
      </c>
      <c r="T298">
        <v>5301</v>
      </c>
      <c r="U298" t="s">
        <v>57</v>
      </c>
      <c r="V298">
        <v>36</v>
      </c>
      <c r="W298">
        <v>3</v>
      </c>
      <c r="X298" t="s">
        <v>37</v>
      </c>
      <c r="Y298" t="s">
        <v>38</v>
      </c>
      <c r="Z298" t="s">
        <v>39</v>
      </c>
      <c r="AA298" t="s">
        <v>34</v>
      </c>
      <c r="AB298" t="s">
        <v>43</v>
      </c>
      <c r="AC298" t="s">
        <v>36</v>
      </c>
    </row>
    <row r="299" spans="1:29" x14ac:dyDescent="0.25">
      <c r="A299">
        <v>314</v>
      </c>
      <c r="B299">
        <v>16599</v>
      </c>
      <c r="C299">
        <v>1136</v>
      </c>
      <c r="D299">
        <v>17735</v>
      </c>
      <c r="E299" t="s">
        <v>46</v>
      </c>
      <c r="F299">
        <v>22</v>
      </c>
      <c r="G299" t="s">
        <v>72</v>
      </c>
      <c r="H299" t="s">
        <v>30</v>
      </c>
      <c r="I299">
        <v>1</v>
      </c>
      <c r="J299" t="s">
        <v>68</v>
      </c>
      <c r="K299">
        <v>698</v>
      </c>
      <c r="L299" t="s">
        <v>63</v>
      </c>
      <c r="M299">
        <v>4</v>
      </c>
      <c r="N299" t="s">
        <v>44</v>
      </c>
      <c r="O299">
        <v>0.14000000000000001</v>
      </c>
      <c r="P299" t="s">
        <v>59</v>
      </c>
      <c r="Q299">
        <v>4637</v>
      </c>
      <c r="R299">
        <v>3822</v>
      </c>
      <c r="S299" t="s">
        <v>44</v>
      </c>
      <c r="T299">
        <v>8207</v>
      </c>
      <c r="U299" t="s">
        <v>57</v>
      </c>
      <c r="V299">
        <v>72</v>
      </c>
      <c r="W299">
        <v>6</v>
      </c>
      <c r="X299" t="s">
        <v>42</v>
      </c>
      <c r="Y299" t="s">
        <v>32</v>
      </c>
      <c r="Z299" t="s">
        <v>39</v>
      </c>
      <c r="AA299" t="s">
        <v>40</v>
      </c>
      <c r="AB299" t="s">
        <v>35</v>
      </c>
      <c r="AC299" t="s">
        <v>44</v>
      </c>
    </row>
    <row r="300" spans="1:29" x14ac:dyDescent="0.25">
      <c r="A300">
        <v>315</v>
      </c>
      <c r="B300">
        <v>5051</v>
      </c>
      <c r="C300">
        <v>2064</v>
      </c>
      <c r="D300">
        <v>7115</v>
      </c>
      <c r="E300" t="s">
        <v>49</v>
      </c>
      <c r="F300">
        <v>50</v>
      </c>
      <c r="G300" t="s">
        <v>53</v>
      </c>
      <c r="H300" t="s">
        <v>41</v>
      </c>
      <c r="I300">
        <v>1</v>
      </c>
      <c r="J300" t="s">
        <v>68</v>
      </c>
      <c r="K300">
        <v>756</v>
      </c>
      <c r="L300" t="s">
        <v>71</v>
      </c>
      <c r="M300">
        <v>2</v>
      </c>
      <c r="N300" t="s">
        <v>44</v>
      </c>
      <c r="O300">
        <v>0.35</v>
      </c>
      <c r="P300" t="s">
        <v>67</v>
      </c>
      <c r="Q300">
        <v>11525</v>
      </c>
      <c r="R300">
        <v>28878</v>
      </c>
      <c r="S300" t="s">
        <v>44</v>
      </c>
      <c r="T300">
        <v>28920</v>
      </c>
      <c r="U300" t="s">
        <v>64</v>
      </c>
      <c r="V300">
        <v>12</v>
      </c>
      <c r="W300">
        <v>1</v>
      </c>
      <c r="X300" t="s">
        <v>31</v>
      </c>
      <c r="Y300" t="s">
        <v>38</v>
      </c>
      <c r="Z300" t="s">
        <v>39</v>
      </c>
      <c r="AA300" t="s">
        <v>40</v>
      </c>
      <c r="AB300" t="s">
        <v>42</v>
      </c>
      <c r="AC300" t="s">
        <v>36</v>
      </c>
    </row>
    <row r="301" spans="1:29" x14ac:dyDescent="0.25">
      <c r="A301">
        <v>316</v>
      </c>
      <c r="B301">
        <v>17979</v>
      </c>
      <c r="C301">
        <v>7009</v>
      </c>
      <c r="D301">
        <v>24988</v>
      </c>
      <c r="E301" t="s">
        <v>49</v>
      </c>
      <c r="F301">
        <v>59</v>
      </c>
      <c r="G301" t="s">
        <v>69</v>
      </c>
      <c r="H301" t="s">
        <v>41</v>
      </c>
      <c r="I301">
        <v>2</v>
      </c>
      <c r="J301" t="s">
        <v>62</v>
      </c>
      <c r="K301">
        <v>694</v>
      </c>
      <c r="L301" t="s">
        <v>63</v>
      </c>
      <c r="M301">
        <v>2</v>
      </c>
      <c r="N301" t="s">
        <v>44</v>
      </c>
      <c r="O301">
        <v>0.14000000000000001</v>
      </c>
      <c r="P301" t="s">
        <v>59</v>
      </c>
      <c r="Q301">
        <v>11471</v>
      </c>
      <c r="R301">
        <v>36157</v>
      </c>
      <c r="S301" t="s">
        <v>44</v>
      </c>
      <c r="T301">
        <v>23203</v>
      </c>
      <c r="U301" t="s">
        <v>64</v>
      </c>
      <c r="V301">
        <v>24</v>
      </c>
      <c r="W301">
        <v>2</v>
      </c>
      <c r="X301" t="s">
        <v>50</v>
      </c>
      <c r="Y301" t="s">
        <v>45</v>
      </c>
      <c r="Z301" t="s">
        <v>39</v>
      </c>
      <c r="AA301" t="s">
        <v>40</v>
      </c>
      <c r="AB301" t="s">
        <v>35</v>
      </c>
      <c r="AC301" t="s">
        <v>44</v>
      </c>
    </row>
    <row r="302" spans="1:29" x14ac:dyDescent="0.25">
      <c r="A302">
        <v>317</v>
      </c>
      <c r="B302">
        <v>18388</v>
      </c>
      <c r="C302">
        <v>4543</v>
      </c>
      <c r="D302">
        <v>22931</v>
      </c>
      <c r="E302" t="s">
        <v>29</v>
      </c>
      <c r="F302">
        <v>24</v>
      </c>
      <c r="G302" t="s">
        <v>72</v>
      </c>
      <c r="H302" t="s">
        <v>41</v>
      </c>
      <c r="I302">
        <v>3</v>
      </c>
      <c r="J302" t="s">
        <v>58</v>
      </c>
      <c r="K302">
        <v>791</v>
      </c>
      <c r="L302" t="s">
        <v>71</v>
      </c>
      <c r="M302">
        <v>2</v>
      </c>
      <c r="N302" t="s">
        <v>44</v>
      </c>
      <c r="O302">
        <v>0.57999999999999996</v>
      </c>
      <c r="P302" t="s">
        <v>56</v>
      </c>
      <c r="Q302">
        <v>12500</v>
      </c>
      <c r="R302">
        <v>5914</v>
      </c>
      <c r="S302" t="s">
        <v>44</v>
      </c>
      <c r="T302">
        <v>22545</v>
      </c>
      <c r="U302" t="s">
        <v>64</v>
      </c>
      <c r="V302">
        <v>24</v>
      </c>
      <c r="W302">
        <v>2</v>
      </c>
      <c r="X302" t="s">
        <v>42</v>
      </c>
      <c r="Y302" t="s">
        <v>38</v>
      </c>
      <c r="Z302" t="s">
        <v>39</v>
      </c>
      <c r="AA302" t="s">
        <v>40</v>
      </c>
      <c r="AB302" t="s">
        <v>35</v>
      </c>
      <c r="AC302" t="s">
        <v>36</v>
      </c>
    </row>
    <row r="303" spans="1:29" x14ac:dyDescent="0.25">
      <c r="A303">
        <v>318</v>
      </c>
      <c r="B303">
        <v>2876</v>
      </c>
      <c r="C303">
        <v>1007</v>
      </c>
      <c r="D303">
        <v>3883</v>
      </c>
      <c r="E303" t="s">
        <v>29</v>
      </c>
      <c r="F303">
        <v>53</v>
      </c>
      <c r="G303" t="s">
        <v>53</v>
      </c>
      <c r="H303" t="s">
        <v>30</v>
      </c>
      <c r="I303">
        <v>1</v>
      </c>
      <c r="J303" t="s">
        <v>68</v>
      </c>
      <c r="K303">
        <v>586</v>
      </c>
      <c r="L303" t="s">
        <v>55</v>
      </c>
      <c r="M303">
        <v>1</v>
      </c>
      <c r="N303" t="s">
        <v>44</v>
      </c>
      <c r="O303">
        <v>0.5</v>
      </c>
      <c r="P303" t="s">
        <v>70</v>
      </c>
      <c r="Q303">
        <v>15247</v>
      </c>
      <c r="R303">
        <v>18164</v>
      </c>
      <c r="S303" t="s">
        <v>44</v>
      </c>
      <c r="T303">
        <v>25016</v>
      </c>
      <c r="U303" t="s">
        <v>64</v>
      </c>
      <c r="V303">
        <v>72</v>
      </c>
      <c r="W303">
        <v>6</v>
      </c>
      <c r="X303" t="s">
        <v>42</v>
      </c>
      <c r="Y303" t="s">
        <v>32</v>
      </c>
      <c r="Z303" t="s">
        <v>39</v>
      </c>
      <c r="AA303" t="s">
        <v>40</v>
      </c>
      <c r="AB303" t="s">
        <v>43</v>
      </c>
      <c r="AC303" t="s">
        <v>36</v>
      </c>
    </row>
    <row r="304" spans="1:29" x14ac:dyDescent="0.25">
      <c r="A304">
        <v>319</v>
      </c>
      <c r="B304">
        <v>6142</v>
      </c>
      <c r="C304">
        <v>5445</v>
      </c>
      <c r="D304">
        <v>11587</v>
      </c>
      <c r="E304" t="s">
        <v>46</v>
      </c>
      <c r="F304">
        <v>33</v>
      </c>
      <c r="G304" t="s">
        <v>61</v>
      </c>
      <c r="H304" t="s">
        <v>41</v>
      </c>
      <c r="I304">
        <v>1</v>
      </c>
      <c r="J304" t="s">
        <v>68</v>
      </c>
      <c r="K304">
        <v>550</v>
      </c>
      <c r="L304" t="s">
        <v>66</v>
      </c>
      <c r="M304">
        <v>2</v>
      </c>
      <c r="N304" t="s">
        <v>44</v>
      </c>
      <c r="O304">
        <v>0.33</v>
      </c>
      <c r="P304" t="s">
        <v>67</v>
      </c>
      <c r="Q304">
        <v>10532</v>
      </c>
      <c r="R304">
        <v>27180</v>
      </c>
      <c r="S304" t="s">
        <v>44</v>
      </c>
      <c r="T304">
        <v>32098</v>
      </c>
      <c r="U304" t="s">
        <v>64</v>
      </c>
      <c r="V304">
        <v>72</v>
      </c>
      <c r="W304">
        <v>6</v>
      </c>
      <c r="X304" t="s">
        <v>42</v>
      </c>
      <c r="Y304" t="s">
        <v>32</v>
      </c>
      <c r="Z304" t="s">
        <v>33</v>
      </c>
      <c r="AA304" t="s">
        <v>40</v>
      </c>
      <c r="AB304" t="s">
        <v>35</v>
      </c>
      <c r="AC304" t="s">
        <v>36</v>
      </c>
    </row>
    <row r="305" spans="1:29" x14ac:dyDescent="0.25">
      <c r="A305">
        <v>320</v>
      </c>
      <c r="B305">
        <v>17202</v>
      </c>
      <c r="C305">
        <v>5352</v>
      </c>
      <c r="D305">
        <v>22554</v>
      </c>
      <c r="E305" t="s">
        <v>29</v>
      </c>
      <c r="F305">
        <v>40</v>
      </c>
      <c r="G305" t="s">
        <v>65</v>
      </c>
      <c r="H305" t="s">
        <v>30</v>
      </c>
      <c r="I305">
        <v>0</v>
      </c>
      <c r="J305" t="s">
        <v>54</v>
      </c>
      <c r="K305">
        <v>696</v>
      </c>
      <c r="L305" t="s">
        <v>63</v>
      </c>
      <c r="M305">
        <v>2</v>
      </c>
      <c r="N305" t="s">
        <v>44</v>
      </c>
      <c r="O305">
        <v>0.21</v>
      </c>
      <c r="P305" t="s">
        <v>59</v>
      </c>
      <c r="Q305">
        <v>13518</v>
      </c>
      <c r="R305">
        <v>3688</v>
      </c>
      <c r="S305" t="s">
        <v>44</v>
      </c>
      <c r="T305">
        <v>9556</v>
      </c>
      <c r="U305" t="s">
        <v>57</v>
      </c>
      <c r="V305">
        <v>48</v>
      </c>
      <c r="W305">
        <v>4</v>
      </c>
      <c r="X305" t="s">
        <v>47</v>
      </c>
      <c r="Y305" t="s">
        <v>38</v>
      </c>
      <c r="Z305" t="s">
        <v>39</v>
      </c>
      <c r="AA305" t="s">
        <v>34</v>
      </c>
      <c r="AB305" t="s">
        <v>35</v>
      </c>
      <c r="AC305" t="s">
        <v>44</v>
      </c>
    </row>
    <row r="306" spans="1:29" x14ac:dyDescent="0.25">
      <c r="A306">
        <v>321</v>
      </c>
      <c r="B306">
        <v>0</v>
      </c>
      <c r="C306">
        <v>9439</v>
      </c>
      <c r="D306">
        <v>9439</v>
      </c>
      <c r="E306" t="s">
        <v>29</v>
      </c>
      <c r="F306">
        <v>27</v>
      </c>
      <c r="G306" t="s">
        <v>61</v>
      </c>
      <c r="H306" t="s">
        <v>41</v>
      </c>
      <c r="I306">
        <v>0</v>
      </c>
      <c r="J306" t="s">
        <v>54</v>
      </c>
      <c r="K306">
        <v>707</v>
      </c>
      <c r="L306" t="s">
        <v>63</v>
      </c>
      <c r="M306">
        <v>1</v>
      </c>
      <c r="N306" t="s">
        <v>44</v>
      </c>
      <c r="O306">
        <v>0.56999999999999995</v>
      </c>
      <c r="P306" t="s">
        <v>56</v>
      </c>
      <c r="Q306">
        <v>6476</v>
      </c>
      <c r="R306">
        <v>14683</v>
      </c>
      <c r="S306" t="s">
        <v>44</v>
      </c>
      <c r="T306">
        <v>21102</v>
      </c>
      <c r="U306" t="s">
        <v>64</v>
      </c>
      <c r="V306">
        <v>12</v>
      </c>
      <c r="W306">
        <v>1</v>
      </c>
      <c r="X306" t="s">
        <v>42</v>
      </c>
      <c r="Y306" t="s">
        <v>32</v>
      </c>
      <c r="Z306" t="s">
        <v>39</v>
      </c>
      <c r="AA306" t="s">
        <v>40</v>
      </c>
      <c r="AB306" t="s">
        <v>51</v>
      </c>
      <c r="AC306" t="s">
        <v>36</v>
      </c>
    </row>
    <row r="307" spans="1:29" x14ac:dyDescent="0.25">
      <c r="A307">
        <v>322</v>
      </c>
      <c r="B307">
        <v>9079</v>
      </c>
      <c r="C307">
        <v>1435</v>
      </c>
      <c r="D307">
        <v>10514</v>
      </c>
      <c r="E307" t="s">
        <v>48</v>
      </c>
      <c r="F307">
        <v>35</v>
      </c>
      <c r="G307" t="s">
        <v>65</v>
      </c>
      <c r="H307" t="s">
        <v>30</v>
      </c>
      <c r="I307">
        <v>3</v>
      </c>
      <c r="J307" t="s">
        <v>58</v>
      </c>
      <c r="K307">
        <v>594</v>
      </c>
      <c r="L307" t="s">
        <v>55</v>
      </c>
      <c r="M307">
        <v>1</v>
      </c>
      <c r="N307" t="s">
        <v>44</v>
      </c>
      <c r="O307">
        <v>0.27</v>
      </c>
      <c r="P307" t="s">
        <v>59</v>
      </c>
      <c r="Q307">
        <v>19532</v>
      </c>
      <c r="R307">
        <v>13080</v>
      </c>
      <c r="S307" t="s">
        <v>44</v>
      </c>
      <c r="T307">
        <v>39893</v>
      </c>
      <c r="U307" t="s">
        <v>60</v>
      </c>
      <c r="V307">
        <v>48</v>
      </c>
      <c r="W307">
        <v>4</v>
      </c>
      <c r="X307" t="s">
        <v>47</v>
      </c>
      <c r="Y307" t="s">
        <v>32</v>
      </c>
      <c r="Z307" t="s">
        <v>39</v>
      </c>
      <c r="AA307" t="s">
        <v>34</v>
      </c>
      <c r="AB307" t="s">
        <v>51</v>
      </c>
      <c r="AC307" t="s">
        <v>36</v>
      </c>
    </row>
    <row r="308" spans="1:29" x14ac:dyDescent="0.25">
      <c r="A308">
        <v>323</v>
      </c>
      <c r="B308">
        <v>9987</v>
      </c>
      <c r="C308">
        <v>571</v>
      </c>
      <c r="D308">
        <v>10558</v>
      </c>
      <c r="E308" t="s">
        <v>46</v>
      </c>
      <c r="F308">
        <v>43</v>
      </c>
      <c r="G308" t="s">
        <v>65</v>
      </c>
      <c r="H308" t="s">
        <v>41</v>
      </c>
      <c r="I308">
        <v>1</v>
      </c>
      <c r="J308" t="s">
        <v>68</v>
      </c>
      <c r="K308">
        <v>695</v>
      </c>
      <c r="L308" t="s">
        <v>63</v>
      </c>
      <c r="M308">
        <v>4</v>
      </c>
      <c r="N308" t="s">
        <v>44</v>
      </c>
      <c r="O308">
        <v>0.18</v>
      </c>
      <c r="P308" t="s">
        <v>59</v>
      </c>
      <c r="Q308">
        <v>19743</v>
      </c>
      <c r="R308">
        <v>30953</v>
      </c>
      <c r="S308" t="s">
        <v>44</v>
      </c>
      <c r="T308">
        <v>2924</v>
      </c>
      <c r="U308" t="s">
        <v>73</v>
      </c>
      <c r="V308">
        <v>36</v>
      </c>
      <c r="W308">
        <v>3</v>
      </c>
      <c r="X308" t="s">
        <v>37</v>
      </c>
      <c r="Y308" t="s">
        <v>32</v>
      </c>
      <c r="Z308" t="s">
        <v>39</v>
      </c>
      <c r="AA308" t="s">
        <v>40</v>
      </c>
      <c r="AB308" t="s">
        <v>35</v>
      </c>
      <c r="AC308" t="s">
        <v>44</v>
      </c>
    </row>
    <row r="309" spans="1:29" x14ac:dyDescent="0.25">
      <c r="A309">
        <v>324</v>
      </c>
      <c r="B309">
        <v>0</v>
      </c>
      <c r="C309">
        <v>2382</v>
      </c>
      <c r="D309">
        <v>2382</v>
      </c>
      <c r="E309" t="s">
        <v>49</v>
      </c>
      <c r="F309">
        <v>34</v>
      </c>
      <c r="G309" t="s">
        <v>61</v>
      </c>
      <c r="H309" t="s">
        <v>41</v>
      </c>
      <c r="I309">
        <v>0</v>
      </c>
      <c r="J309" t="s">
        <v>54</v>
      </c>
      <c r="K309">
        <v>755</v>
      </c>
      <c r="L309" t="s">
        <v>71</v>
      </c>
      <c r="M309">
        <v>3</v>
      </c>
      <c r="N309" t="s">
        <v>44</v>
      </c>
      <c r="O309">
        <v>0.38</v>
      </c>
      <c r="P309" t="s">
        <v>67</v>
      </c>
      <c r="Q309">
        <v>1004</v>
      </c>
      <c r="R309">
        <v>9916</v>
      </c>
      <c r="S309" t="s">
        <v>44</v>
      </c>
      <c r="T309">
        <v>20479</v>
      </c>
      <c r="U309" t="s">
        <v>64</v>
      </c>
      <c r="V309">
        <v>84</v>
      </c>
      <c r="W309">
        <v>7</v>
      </c>
      <c r="X309" t="s">
        <v>42</v>
      </c>
      <c r="Y309" t="s">
        <v>38</v>
      </c>
      <c r="Z309" t="s">
        <v>39</v>
      </c>
      <c r="AA309" t="s">
        <v>40</v>
      </c>
      <c r="AB309" t="s">
        <v>51</v>
      </c>
      <c r="AC309" t="s">
        <v>44</v>
      </c>
    </row>
    <row r="310" spans="1:29" x14ac:dyDescent="0.25">
      <c r="A310">
        <v>325</v>
      </c>
      <c r="B310">
        <v>6465</v>
      </c>
      <c r="C310">
        <v>9437</v>
      </c>
      <c r="D310">
        <v>15902</v>
      </c>
      <c r="E310" t="s">
        <v>52</v>
      </c>
      <c r="F310">
        <v>43</v>
      </c>
      <c r="G310" t="s">
        <v>65</v>
      </c>
      <c r="H310" t="s">
        <v>41</v>
      </c>
      <c r="I310">
        <v>3</v>
      </c>
      <c r="J310" t="s">
        <v>58</v>
      </c>
      <c r="K310">
        <v>611</v>
      </c>
      <c r="L310" t="s">
        <v>55</v>
      </c>
      <c r="M310">
        <v>0</v>
      </c>
      <c r="N310" t="s">
        <v>36</v>
      </c>
      <c r="O310">
        <v>0.56999999999999995</v>
      </c>
      <c r="P310" t="s">
        <v>56</v>
      </c>
      <c r="Q310">
        <v>10286</v>
      </c>
      <c r="R310">
        <v>29677</v>
      </c>
      <c r="S310" t="s">
        <v>44</v>
      </c>
      <c r="T310">
        <v>19922</v>
      </c>
      <c r="U310" t="s">
        <v>57</v>
      </c>
      <c r="V310">
        <v>24</v>
      </c>
      <c r="W310">
        <v>2</v>
      </c>
      <c r="X310" t="s">
        <v>42</v>
      </c>
      <c r="Y310" t="s">
        <v>45</v>
      </c>
      <c r="Z310" t="s">
        <v>39</v>
      </c>
      <c r="AA310" t="s">
        <v>40</v>
      </c>
      <c r="AB310" t="s">
        <v>43</v>
      </c>
      <c r="AC310" t="s">
        <v>36</v>
      </c>
    </row>
    <row r="311" spans="1:29" x14ac:dyDescent="0.25">
      <c r="A311">
        <v>326</v>
      </c>
      <c r="B311">
        <v>19019</v>
      </c>
      <c r="C311">
        <v>5084</v>
      </c>
      <c r="D311">
        <v>24103</v>
      </c>
      <c r="E311" t="s">
        <v>46</v>
      </c>
      <c r="F311">
        <v>39</v>
      </c>
      <c r="G311" t="s">
        <v>65</v>
      </c>
      <c r="H311" t="s">
        <v>30</v>
      </c>
      <c r="I311">
        <v>1</v>
      </c>
      <c r="J311" t="s">
        <v>68</v>
      </c>
      <c r="K311">
        <v>713</v>
      </c>
      <c r="L311" t="s">
        <v>63</v>
      </c>
      <c r="M311">
        <v>0</v>
      </c>
      <c r="N311" t="s">
        <v>36</v>
      </c>
      <c r="O311">
        <v>0.1</v>
      </c>
      <c r="P311" t="s">
        <v>59</v>
      </c>
      <c r="Q311">
        <v>4717</v>
      </c>
      <c r="R311">
        <v>27360</v>
      </c>
      <c r="S311" t="s">
        <v>44</v>
      </c>
      <c r="T311">
        <v>19660</v>
      </c>
      <c r="U311" t="s">
        <v>57</v>
      </c>
      <c r="V311">
        <v>60</v>
      </c>
      <c r="W311">
        <v>5</v>
      </c>
      <c r="X311" t="s">
        <v>31</v>
      </c>
      <c r="Y311" t="s">
        <v>45</v>
      </c>
      <c r="Z311" t="s">
        <v>39</v>
      </c>
      <c r="AA311" t="s">
        <v>34</v>
      </c>
      <c r="AB311" t="s">
        <v>35</v>
      </c>
      <c r="AC311" t="s">
        <v>44</v>
      </c>
    </row>
    <row r="312" spans="1:29" x14ac:dyDescent="0.25">
      <c r="A312">
        <v>327</v>
      </c>
      <c r="B312">
        <v>15417</v>
      </c>
      <c r="C312">
        <v>277</v>
      </c>
      <c r="D312">
        <v>15694</v>
      </c>
      <c r="E312" t="s">
        <v>29</v>
      </c>
      <c r="F312">
        <v>49</v>
      </c>
      <c r="G312" t="s">
        <v>53</v>
      </c>
      <c r="H312" t="s">
        <v>41</v>
      </c>
      <c r="I312">
        <v>2</v>
      </c>
      <c r="J312" t="s">
        <v>62</v>
      </c>
      <c r="K312">
        <v>649</v>
      </c>
      <c r="L312" t="s">
        <v>55</v>
      </c>
      <c r="M312">
        <v>2</v>
      </c>
      <c r="N312" t="s">
        <v>44</v>
      </c>
      <c r="O312">
        <v>0.22</v>
      </c>
      <c r="P312" t="s">
        <v>59</v>
      </c>
      <c r="Q312">
        <v>3271</v>
      </c>
      <c r="R312">
        <v>37805</v>
      </c>
      <c r="S312" t="s">
        <v>44</v>
      </c>
      <c r="T312">
        <v>10945</v>
      </c>
      <c r="U312" t="s">
        <v>57</v>
      </c>
      <c r="V312">
        <v>60</v>
      </c>
      <c r="W312">
        <v>5</v>
      </c>
      <c r="X312" t="s">
        <v>42</v>
      </c>
      <c r="Y312" t="s">
        <v>45</v>
      </c>
      <c r="Z312" t="s">
        <v>39</v>
      </c>
      <c r="AA312" t="s">
        <v>34</v>
      </c>
      <c r="AB312" t="s">
        <v>48</v>
      </c>
      <c r="AC312" t="s">
        <v>36</v>
      </c>
    </row>
    <row r="313" spans="1:29" x14ac:dyDescent="0.25">
      <c r="A313">
        <v>328</v>
      </c>
      <c r="B313">
        <v>10311</v>
      </c>
      <c r="C313">
        <v>7059</v>
      </c>
      <c r="D313">
        <v>17370</v>
      </c>
      <c r="E313" t="s">
        <v>29</v>
      </c>
      <c r="F313">
        <v>40</v>
      </c>
      <c r="G313" t="s">
        <v>65</v>
      </c>
      <c r="H313" t="s">
        <v>30</v>
      </c>
      <c r="I313">
        <v>0</v>
      </c>
      <c r="J313" t="s">
        <v>54</v>
      </c>
      <c r="K313">
        <v>761</v>
      </c>
      <c r="L313" t="s">
        <v>71</v>
      </c>
      <c r="M313">
        <v>4</v>
      </c>
      <c r="N313" t="s">
        <v>44</v>
      </c>
      <c r="O313">
        <v>0.56999999999999995</v>
      </c>
      <c r="P313" t="s">
        <v>56</v>
      </c>
      <c r="Q313">
        <v>12714</v>
      </c>
      <c r="R313">
        <v>13453</v>
      </c>
      <c r="S313" t="s">
        <v>44</v>
      </c>
      <c r="T313">
        <v>1306</v>
      </c>
      <c r="U313" t="s">
        <v>73</v>
      </c>
      <c r="V313">
        <v>12</v>
      </c>
      <c r="W313">
        <v>1</v>
      </c>
      <c r="X313" t="s">
        <v>37</v>
      </c>
      <c r="Y313" t="s">
        <v>32</v>
      </c>
      <c r="Z313" t="s">
        <v>33</v>
      </c>
      <c r="AA313" t="s">
        <v>34</v>
      </c>
      <c r="AB313" t="s">
        <v>51</v>
      </c>
      <c r="AC313" t="s">
        <v>36</v>
      </c>
    </row>
    <row r="314" spans="1:29" x14ac:dyDescent="0.25">
      <c r="A314">
        <v>329</v>
      </c>
      <c r="B314">
        <v>19214</v>
      </c>
      <c r="C314">
        <v>1887</v>
      </c>
      <c r="D314">
        <v>21101</v>
      </c>
      <c r="E314" t="s">
        <v>29</v>
      </c>
      <c r="F314">
        <v>49</v>
      </c>
      <c r="G314" t="s">
        <v>53</v>
      </c>
      <c r="H314" t="s">
        <v>30</v>
      </c>
      <c r="I314">
        <v>0</v>
      </c>
      <c r="J314" t="s">
        <v>54</v>
      </c>
      <c r="K314">
        <v>550</v>
      </c>
      <c r="L314" t="s">
        <v>66</v>
      </c>
      <c r="M314">
        <v>2</v>
      </c>
      <c r="N314" t="s">
        <v>44</v>
      </c>
      <c r="O314">
        <v>0.19</v>
      </c>
      <c r="P314" t="s">
        <v>59</v>
      </c>
      <c r="Q314">
        <v>209</v>
      </c>
      <c r="R314">
        <v>22703</v>
      </c>
      <c r="S314" t="s">
        <v>44</v>
      </c>
      <c r="T314">
        <v>23959</v>
      </c>
      <c r="U314" t="s">
        <v>64</v>
      </c>
      <c r="V314">
        <v>12</v>
      </c>
      <c r="W314">
        <v>1</v>
      </c>
      <c r="X314" t="s">
        <v>42</v>
      </c>
      <c r="Y314" t="s">
        <v>45</v>
      </c>
      <c r="Z314" t="s">
        <v>39</v>
      </c>
      <c r="AA314" t="s">
        <v>40</v>
      </c>
      <c r="AB314" t="s">
        <v>48</v>
      </c>
      <c r="AC314" t="s">
        <v>36</v>
      </c>
    </row>
    <row r="315" spans="1:29" x14ac:dyDescent="0.25">
      <c r="A315">
        <v>330</v>
      </c>
      <c r="B315">
        <v>16098</v>
      </c>
      <c r="C315">
        <v>1265</v>
      </c>
      <c r="D315">
        <v>17363</v>
      </c>
      <c r="E315" t="s">
        <v>52</v>
      </c>
      <c r="F315">
        <v>44</v>
      </c>
      <c r="G315" t="s">
        <v>65</v>
      </c>
      <c r="H315" t="s">
        <v>30</v>
      </c>
      <c r="I315">
        <v>1</v>
      </c>
      <c r="J315" t="s">
        <v>68</v>
      </c>
      <c r="K315">
        <v>568</v>
      </c>
      <c r="L315" t="s">
        <v>66</v>
      </c>
      <c r="M315">
        <v>0</v>
      </c>
      <c r="N315" t="s">
        <v>36</v>
      </c>
      <c r="O315">
        <v>0.16</v>
      </c>
      <c r="P315" t="s">
        <v>59</v>
      </c>
      <c r="Q315">
        <v>5539</v>
      </c>
      <c r="R315">
        <v>8640</v>
      </c>
      <c r="S315" t="s">
        <v>44</v>
      </c>
      <c r="T315">
        <v>5231</v>
      </c>
      <c r="U315" t="s">
        <v>57</v>
      </c>
      <c r="V315">
        <v>60</v>
      </c>
      <c r="W315">
        <v>5</v>
      </c>
      <c r="X315" t="s">
        <v>47</v>
      </c>
      <c r="Y315" t="s">
        <v>32</v>
      </c>
      <c r="Z315" t="s">
        <v>39</v>
      </c>
      <c r="AA315" t="s">
        <v>34</v>
      </c>
      <c r="AB315" t="s">
        <v>35</v>
      </c>
      <c r="AC315" t="s">
        <v>36</v>
      </c>
    </row>
    <row r="316" spans="1:29" x14ac:dyDescent="0.25">
      <c r="A316">
        <v>331</v>
      </c>
      <c r="B316">
        <v>7177</v>
      </c>
      <c r="C316">
        <v>7491</v>
      </c>
      <c r="D316">
        <v>14668</v>
      </c>
      <c r="E316" t="s">
        <v>49</v>
      </c>
      <c r="F316">
        <v>38</v>
      </c>
      <c r="G316" t="s">
        <v>65</v>
      </c>
      <c r="H316" t="s">
        <v>30</v>
      </c>
      <c r="I316">
        <v>1</v>
      </c>
      <c r="J316" t="s">
        <v>68</v>
      </c>
      <c r="K316">
        <v>550</v>
      </c>
      <c r="L316" t="s">
        <v>66</v>
      </c>
      <c r="M316">
        <v>1</v>
      </c>
      <c r="N316" t="s">
        <v>44</v>
      </c>
      <c r="O316">
        <v>0.39</v>
      </c>
      <c r="P316" t="s">
        <v>67</v>
      </c>
      <c r="Q316">
        <v>16537</v>
      </c>
      <c r="R316">
        <v>29263</v>
      </c>
      <c r="S316" t="s">
        <v>44</v>
      </c>
      <c r="T316">
        <v>39796</v>
      </c>
      <c r="U316" t="s">
        <v>60</v>
      </c>
      <c r="V316">
        <v>48</v>
      </c>
      <c r="W316">
        <v>4</v>
      </c>
      <c r="X316" t="s">
        <v>31</v>
      </c>
      <c r="Y316" t="s">
        <v>38</v>
      </c>
      <c r="Z316" t="s">
        <v>39</v>
      </c>
      <c r="AA316" t="s">
        <v>34</v>
      </c>
      <c r="AB316" t="s">
        <v>35</v>
      </c>
      <c r="AC316" t="s">
        <v>36</v>
      </c>
    </row>
    <row r="317" spans="1:29" x14ac:dyDescent="0.25">
      <c r="A317">
        <v>332</v>
      </c>
      <c r="B317">
        <v>16262</v>
      </c>
      <c r="C317">
        <v>1040</v>
      </c>
      <c r="D317">
        <v>17302</v>
      </c>
      <c r="E317" t="s">
        <v>29</v>
      </c>
      <c r="F317">
        <v>30</v>
      </c>
      <c r="G317" t="s">
        <v>61</v>
      </c>
      <c r="H317" t="s">
        <v>30</v>
      </c>
      <c r="I317">
        <v>0</v>
      </c>
      <c r="J317" t="s">
        <v>54</v>
      </c>
      <c r="K317">
        <v>593</v>
      </c>
      <c r="L317" t="s">
        <v>55</v>
      </c>
      <c r="M317">
        <v>3</v>
      </c>
      <c r="N317" t="s">
        <v>44</v>
      </c>
      <c r="O317">
        <v>0.53</v>
      </c>
      <c r="P317" t="s">
        <v>56</v>
      </c>
      <c r="Q317">
        <v>19977</v>
      </c>
      <c r="R317">
        <v>32849</v>
      </c>
      <c r="S317" t="s">
        <v>44</v>
      </c>
      <c r="T317">
        <v>13207</v>
      </c>
      <c r="U317" t="s">
        <v>57</v>
      </c>
      <c r="V317">
        <v>24</v>
      </c>
      <c r="W317">
        <v>2</v>
      </c>
      <c r="X317" t="s">
        <v>50</v>
      </c>
      <c r="Y317" t="s">
        <v>32</v>
      </c>
      <c r="Z317" t="s">
        <v>33</v>
      </c>
      <c r="AA317" t="s">
        <v>40</v>
      </c>
      <c r="AB317" t="s">
        <v>43</v>
      </c>
      <c r="AC317" t="s">
        <v>36</v>
      </c>
    </row>
    <row r="318" spans="1:29" x14ac:dyDescent="0.25">
      <c r="A318">
        <v>333</v>
      </c>
      <c r="B318">
        <v>10308</v>
      </c>
      <c r="C318">
        <v>9109</v>
      </c>
      <c r="D318">
        <v>19417</v>
      </c>
      <c r="E318" t="s">
        <v>29</v>
      </c>
      <c r="F318">
        <v>28</v>
      </c>
      <c r="G318" t="s">
        <v>61</v>
      </c>
      <c r="H318" t="s">
        <v>30</v>
      </c>
      <c r="I318">
        <v>2</v>
      </c>
      <c r="J318" t="s">
        <v>62</v>
      </c>
      <c r="K318">
        <v>556</v>
      </c>
      <c r="L318" t="s">
        <v>66</v>
      </c>
      <c r="M318">
        <v>4</v>
      </c>
      <c r="N318" t="s">
        <v>44</v>
      </c>
      <c r="O318">
        <v>0.34</v>
      </c>
      <c r="P318" t="s">
        <v>67</v>
      </c>
      <c r="Q318">
        <v>8606</v>
      </c>
      <c r="R318">
        <v>0</v>
      </c>
      <c r="S318" t="s">
        <v>36</v>
      </c>
      <c r="T318">
        <v>7336</v>
      </c>
      <c r="U318" t="s">
        <v>57</v>
      </c>
      <c r="V318">
        <v>36</v>
      </c>
      <c r="W318">
        <v>3</v>
      </c>
      <c r="X318" t="s">
        <v>42</v>
      </c>
      <c r="Y318" t="s">
        <v>32</v>
      </c>
      <c r="Z318" t="s">
        <v>39</v>
      </c>
      <c r="AA318" t="s">
        <v>40</v>
      </c>
      <c r="AB318" t="s">
        <v>42</v>
      </c>
      <c r="AC318" t="s">
        <v>36</v>
      </c>
    </row>
    <row r="319" spans="1:29" x14ac:dyDescent="0.25">
      <c r="A319">
        <v>334</v>
      </c>
      <c r="B319">
        <v>7949</v>
      </c>
      <c r="C319">
        <v>8073</v>
      </c>
      <c r="D319">
        <v>16022</v>
      </c>
      <c r="E319" t="s">
        <v>29</v>
      </c>
      <c r="F319">
        <v>46</v>
      </c>
      <c r="G319" t="s">
        <v>53</v>
      </c>
      <c r="H319" t="s">
        <v>30</v>
      </c>
      <c r="I319">
        <v>2</v>
      </c>
      <c r="J319" t="s">
        <v>62</v>
      </c>
      <c r="K319">
        <v>798</v>
      </c>
      <c r="L319" t="s">
        <v>71</v>
      </c>
      <c r="M319">
        <v>0</v>
      </c>
      <c r="N319" t="s">
        <v>36</v>
      </c>
      <c r="O319">
        <v>0.6</v>
      </c>
      <c r="P319" t="s">
        <v>56</v>
      </c>
      <c r="Q319">
        <v>11616</v>
      </c>
      <c r="R319">
        <v>16078</v>
      </c>
      <c r="S319" t="s">
        <v>44</v>
      </c>
      <c r="T319">
        <v>10630</v>
      </c>
      <c r="U319" t="s">
        <v>57</v>
      </c>
      <c r="V319">
        <v>36</v>
      </c>
      <c r="W319">
        <v>3</v>
      </c>
      <c r="X319" t="s">
        <v>42</v>
      </c>
      <c r="Y319" t="s">
        <v>32</v>
      </c>
      <c r="Z319" t="s">
        <v>39</v>
      </c>
      <c r="AA319" t="s">
        <v>40</v>
      </c>
      <c r="AB319" t="s">
        <v>35</v>
      </c>
      <c r="AC319" t="s">
        <v>36</v>
      </c>
    </row>
    <row r="320" spans="1:29" x14ac:dyDescent="0.25">
      <c r="A320">
        <v>335</v>
      </c>
      <c r="B320">
        <v>3150</v>
      </c>
      <c r="C320">
        <v>9077</v>
      </c>
      <c r="D320">
        <v>12227</v>
      </c>
      <c r="E320" t="s">
        <v>29</v>
      </c>
      <c r="F320">
        <v>49</v>
      </c>
      <c r="G320" t="s">
        <v>53</v>
      </c>
      <c r="H320" t="s">
        <v>30</v>
      </c>
      <c r="I320">
        <v>3</v>
      </c>
      <c r="J320" t="s">
        <v>58</v>
      </c>
      <c r="K320">
        <v>721</v>
      </c>
      <c r="L320" t="s">
        <v>63</v>
      </c>
      <c r="M320">
        <v>0</v>
      </c>
      <c r="N320" t="s">
        <v>36</v>
      </c>
      <c r="O320">
        <v>0.44</v>
      </c>
      <c r="P320" t="s">
        <v>70</v>
      </c>
      <c r="Q320">
        <v>1284</v>
      </c>
      <c r="R320">
        <v>23383</v>
      </c>
      <c r="S320" t="s">
        <v>44</v>
      </c>
      <c r="T320">
        <v>18256</v>
      </c>
      <c r="U320" t="s">
        <v>57</v>
      </c>
      <c r="V320">
        <v>48</v>
      </c>
      <c r="W320">
        <v>4</v>
      </c>
      <c r="X320" t="s">
        <v>50</v>
      </c>
      <c r="Y320" t="s">
        <v>32</v>
      </c>
      <c r="Z320" t="s">
        <v>33</v>
      </c>
      <c r="AA320" t="s">
        <v>34</v>
      </c>
      <c r="AB320" t="s">
        <v>51</v>
      </c>
      <c r="AC320" t="s">
        <v>36</v>
      </c>
    </row>
    <row r="321" spans="1:29" x14ac:dyDescent="0.25">
      <c r="A321">
        <v>336</v>
      </c>
      <c r="B321">
        <v>3931</v>
      </c>
      <c r="C321">
        <v>2752</v>
      </c>
      <c r="D321">
        <v>6683</v>
      </c>
      <c r="E321" t="s">
        <v>29</v>
      </c>
      <c r="F321">
        <v>30</v>
      </c>
      <c r="G321" t="s">
        <v>61</v>
      </c>
      <c r="H321" t="s">
        <v>30</v>
      </c>
      <c r="I321">
        <v>1</v>
      </c>
      <c r="J321" t="s">
        <v>68</v>
      </c>
      <c r="K321">
        <v>666</v>
      </c>
      <c r="L321" t="s">
        <v>55</v>
      </c>
      <c r="M321">
        <v>4</v>
      </c>
      <c r="N321" t="s">
        <v>44</v>
      </c>
      <c r="O321">
        <v>0.14000000000000001</v>
      </c>
      <c r="P321" t="s">
        <v>59</v>
      </c>
      <c r="Q321">
        <v>3148</v>
      </c>
      <c r="R321">
        <v>15536</v>
      </c>
      <c r="S321" t="s">
        <v>44</v>
      </c>
      <c r="T321">
        <v>34909</v>
      </c>
      <c r="U321" t="s">
        <v>64</v>
      </c>
      <c r="V321">
        <v>24</v>
      </c>
      <c r="W321">
        <v>2</v>
      </c>
      <c r="X321" t="s">
        <v>31</v>
      </c>
      <c r="Y321" t="s">
        <v>45</v>
      </c>
      <c r="Z321" t="s">
        <v>39</v>
      </c>
      <c r="AA321" t="s">
        <v>40</v>
      </c>
      <c r="AB321" t="s">
        <v>43</v>
      </c>
      <c r="AC321" t="s">
        <v>36</v>
      </c>
    </row>
    <row r="322" spans="1:29" x14ac:dyDescent="0.25">
      <c r="A322">
        <v>337</v>
      </c>
      <c r="B322">
        <v>11204</v>
      </c>
      <c r="C322">
        <v>8213</v>
      </c>
      <c r="D322">
        <v>19417</v>
      </c>
      <c r="E322" t="s">
        <v>29</v>
      </c>
      <c r="F322">
        <v>37</v>
      </c>
      <c r="G322" t="s">
        <v>65</v>
      </c>
      <c r="H322" t="s">
        <v>41</v>
      </c>
      <c r="I322">
        <v>2</v>
      </c>
      <c r="J322" t="s">
        <v>62</v>
      </c>
      <c r="K322">
        <v>617</v>
      </c>
      <c r="L322" t="s">
        <v>55</v>
      </c>
      <c r="M322">
        <v>4</v>
      </c>
      <c r="N322" t="s">
        <v>44</v>
      </c>
      <c r="O322">
        <v>0.6</v>
      </c>
      <c r="P322" t="s">
        <v>56</v>
      </c>
      <c r="Q322">
        <v>768</v>
      </c>
      <c r="R322">
        <v>7410</v>
      </c>
      <c r="S322" t="s">
        <v>44</v>
      </c>
      <c r="T322">
        <v>34719</v>
      </c>
      <c r="U322" t="s">
        <v>64</v>
      </c>
      <c r="V322">
        <v>84</v>
      </c>
      <c r="W322">
        <v>7</v>
      </c>
      <c r="X322" t="s">
        <v>42</v>
      </c>
      <c r="Y322" t="s">
        <v>32</v>
      </c>
      <c r="Z322" t="s">
        <v>39</v>
      </c>
      <c r="AA322" t="s">
        <v>34</v>
      </c>
      <c r="AB322" t="s">
        <v>43</v>
      </c>
      <c r="AC322" t="s">
        <v>36</v>
      </c>
    </row>
    <row r="323" spans="1:29" x14ac:dyDescent="0.25">
      <c r="A323">
        <v>338</v>
      </c>
      <c r="B323">
        <v>3081</v>
      </c>
      <c r="C323">
        <v>4569</v>
      </c>
      <c r="D323">
        <v>7650</v>
      </c>
      <c r="E323" t="s">
        <v>29</v>
      </c>
      <c r="F323">
        <v>22</v>
      </c>
      <c r="G323" t="s">
        <v>72</v>
      </c>
      <c r="H323" t="s">
        <v>41</v>
      </c>
      <c r="I323">
        <v>3</v>
      </c>
      <c r="J323" t="s">
        <v>58</v>
      </c>
      <c r="K323">
        <v>583</v>
      </c>
      <c r="L323" t="s">
        <v>55</v>
      </c>
      <c r="M323">
        <v>0</v>
      </c>
      <c r="N323" t="s">
        <v>36</v>
      </c>
      <c r="O323">
        <v>0.3</v>
      </c>
      <c r="P323" t="s">
        <v>59</v>
      </c>
      <c r="Q323">
        <v>5607</v>
      </c>
      <c r="R323">
        <v>15926</v>
      </c>
      <c r="S323" t="s">
        <v>44</v>
      </c>
      <c r="T323">
        <v>31013</v>
      </c>
      <c r="U323" t="s">
        <v>64</v>
      </c>
      <c r="V323">
        <v>12</v>
      </c>
      <c r="W323">
        <v>1</v>
      </c>
      <c r="X323" t="s">
        <v>37</v>
      </c>
      <c r="Y323" t="s">
        <v>32</v>
      </c>
      <c r="Z323" t="s">
        <v>39</v>
      </c>
      <c r="AA323" t="s">
        <v>40</v>
      </c>
      <c r="AB323" t="s">
        <v>42</v>
      </c>
      <c r="AC323" t="s">
        <v>36</v>
      </c>
    </row>
    <row r="324" spans="1:29" x14ac:dyDescent="0.25">
      <c r="A324">
        <v>339</v>
      </c>
      <c r="B324">
        <v>18896</v>
      </c>
      <c r="C324">
        <v>6353</v>
      </c>
      <c r="D324">
        <v>25249</v>
      </c>
      <c r="E324" t="s">
        <v>29</v>
      </c>
      <c r="F324">
        <v>26</v>
      </c>
      <c r="G324" t="s">
        <v>61</v>
      </c>
      <c r="H324" t="s">
        <v>30</v>
      </c>
      <c r="I324">
        <v>2</v>
      </c>
      <c r="J324" t="s">
        <v>62</v>
      </c>
      <c r="K324">
        <v>743</v>
      </c>
      <c r="L324" t="s">
        <v>71</v>
      </c>
      <c r="M324">
        <v>1</v>
      </c>
      <c r="N324" t="s">
        <v>44</v>
      </c>
      <c r="O324">
        <v>0.24</v>
      </c>
      <c r="P324" t="s">
        <v>59</v>
      </c>
      <c r="Q324">
        <v>19586</v>
      </c>
      <c r="R324">
        <v>48268</v>
      </c>
      <c r="S324" t="s">
        <v>44</v>
      </c>
      <c r="T324">
        <v>15455</v>
      </c>
      <c r="U324" t="s">
        <v>57</v>
      </c>
      <c r="V324">
        <v>12</v>
      </c>
      <c r="W324">
        <v>1</v>
      </c>
      <c r="X324" t="s">
        <v>47</v>
      </c>
      <c r="Y324" t="s">
        <v>32</v>
      </c>
      <c r="Z324" t="s">
        <v>39</v>
      </c>
      <c r="AA324" t="s">
        <v>40</v>
      </c>
      <c r="AB324" t="s">
        <v>42</v>
      </c>
      <c r="AC324" t="s">
        <v>44</v>
      </c>
    </row>
    <row r="325" spans="1:29" x14ac:dyDescent="0.25">
      <c r="A325">
        <v>340</v>
      </c>
      <c r="B325">
        <v>15407</v>
      </c>
      <c r="C325">
        <v>2353</v>
      </c>
      <c r="D325">
        <v>17760</v>
      </c>
      <c r="E325" t="s">
        <v>29</v>
      </c>
      <c r="F325">
        <v>25</v>
      </c>
      <c r="G325" t="s">
        <v>61</v>
      </c>
      <c r="H325" t="s">
        <v>30</v>
      </c>
      <c r="I325">
        <v>1</v>
      </c>
      <c r="J325" t="s">
        <v>68</v>
      </c>
      <c r="K325">
        <v>618</v>
      </c>
      <c r="L325" t="s">
        <v>55</v>
      </c>
      <c r="M325">
        <v>4</v>
      </c>
      <c r="N325" t="s">
        <v>44</v>
      </c>
      <c r="O325">
        <v>0.38</v>
      </c>
      <c r="P325" t="s">
        <v>67</v>
      </c>
      <c r="Q325">
        <v>19171</v>
      </c>
      <c r="R325">
        <v>34248</v>
      </c>
      <c r="S325" t="s">
        <v>44</v>
      </c>
      <c r="T325">
        <v>5722</v>
      </c>
      <c r="U325" t="s">
        <v>57</v>
      </c>
      <c r="V325">
        <v>84</v>
      </c>
      <c r="W325">
        <v>7</v>
      </c>
      <c r="X325" t="s">
        <v>47</v>
      </c>
      <c r="Y325" t="s">
        <v>45</v>
      </c>
      <c r="Z325" t="s">
        <v>33</v>
      </c>
      <c r="AA325" t="s">
        <v>40</v>
      </c>
      <c r="AB325" t="s">
        <v>35</v>
      </c>
      <c r="AC325" t="s">
        <v>36</v>
      </c>
    </row>
    <row r="326" spans="1:29" x14ac:dyDescent="0.25">
      <c r="A326">
        <v>341</v>
      </c>
      <c r="B326">
        <v>9805</v>
      </c>
      <c r="C326">
        <v>7437</v>
      </c>
      <c r="D326">
        <v>17242</v>
      </c>
      <c r="E326" t="s">
        <v>49</v>
      </c>
      <c r="F326">
        <v>48</v>
      </c>
      <c r="G326" t="s">
        <v>53</v>
      </c>
      <c r="H326" t="s">
        <v>30</v>
      </c>
      <c r="I326">
        <v>3</v>
      </c>
      <c r="J326" t="s">
        <v>58</v>
      </c>
      <c r="K326">
        <v>604</v>
      </c>
      <c r="L326" t="s">
        <v>55</v>
      </c>
      <c r="M326">
        <v>0</v>
      </c>
      <c r="N326" t="s">
        <v>36</v>
      </c>
      <c r="O326">
        <v>0.25</v>
      </c>
      <c r="P326" t="s">
        <v>59</v>
      </c>
      <c r="Q326">
        <v>18594</v>
      </c>
      <c r="R326">
        <v>31159</v>
      </c>
      <c r="S326" t="s">
        <v>44</v>
      </c>
      <c r="T326">
        <v>13812</v>
      </c>
      <c r="U326" t="s">
        <v>57</v>
      </c>
      <c r="V326">
        <v>48</v>
      </c>
      <c r="W326">
        <v>4</v>
      </c>
      <c r="X326" t="s">
        <v>31</v>
      </c>
      <c r="Y326" t="s">
        <v>32</v>
      </c>
      <c r="Z326" t="s">
        <v>33</v>
      </c>
      <c r="AA326" t="s">
        <v>40</v>
      </c>
      <c r="AB326" t="s">
        <v>48</v>
      </c>
      <c r="AC326" t="s">
        <v>36</v>
      </c>
    </row>
    <row r="327" spans="1:29" x14ac:dyDescent="0.25">
      <c r="A327">
        <v>342</v>
      </c>
      <c r="B327">
        <v>7237</v>
      </c>
      <c r="C327">
        <v>4799</v>
      </c>
      <c r="D327">
        <v>12036</v>
      </c>
      <c r="E327" t="s">
        <v>29</v>
      </c>
      <c r="F327">
        <v>25</v>
      </c>
      <c r="G327" t="s">
        <v>61</v>
      </c>
      <c r="H327" t="s">
        <v>30</v>
      </c>
      <c r="I327">
        <v>3</v>
      </c>
      <c r="J327" t="s">
        <v>58</v>
      </c>
      <c r="K327">
        <v>559</v>
      </c>
      <c r="L327" t="s">
        <v>66</v>
      </c>
      <c r="M327">
        <v>3</v>
      </c>
      <c r="N327" t="s">
        <v>44</v>
      </c>
      <c r="O327">
        <v>0.14000000000000001</v>
      </c>
      <c r="P327" t="s">
        <v>59</v>
      </c>
      <c r="Q327">
        <v>7399</v>
      </c>
      <c r="R327">
        <v>0</v>
      </c>
      <c r="S327" t="s">
        <v>36</v>
      </c>
      <c r="T327">
        <v>31276</v>
      </c>
      <c r="U327" t="s">
        <v>64</v>
      </c>
      <c r="V327">
        <v>48</v>
      </c>
      <c r="W327">
        <v>4</v>
      </c>
      <c r="X327" t="s">
        <v>50</v>
      </c>
      <c r="Y327" t="s">
        <v>45</v>
      </c>
      <c r="Z327" t="s">
        <v>33</v>
      </c>
      <c r="AA327" t="s">
        <v>40</v>
      </c>
      <c r="AB327" t="s">
        <v>35</v>
      </c>
      <c r="AC327" t="s">
        <v>36</v>
      </c>
    </row>
    <row r="328" spans="1:29" x14ac:dyDescent="0.25">
      <c r="A328">
        <v>343</v>
      </c>
      <c r="B328">
        <v>18943</v>
      </c>
      <c r="C328">
        <v>686</v>
      </c>
      <c r="D328">
        <v>19629</v>
      </c>
      <c r="E328" t="s">
        <v>29</v>
      </c>
      <c r="F328">
        <v>38</v>
      </c>
      <c r="G328" t="s">
        <v>65</v>
      </c>
      <c r="H328" t="s">
        <v>41</v>
      </c>
      <c r="I328">
        <v>3</v>
      </c>
      <c r="J328" t="s">
        <v>58</v>
      </c>
      <c r="K328">
        <v>773</v>
      </c>
      <c r="L328" t="s">
        <v>71</v>
      </c>
      <c r="M328">
        <v>0</v>
      </c>
      <c r="N328" t="s">
        <v>36</v>
      </c>
      <c r="O328">
        <v>0.1</v>
      </c>
      <c r="P328" t="s">
        <v>59</v>
      </c>
      <c r="Q328">
        <v>358</v>
      </c>
      <c r="R328">
        <v>36366</v>
      </c>
      <c r="S328" t="s">
        <v>44</v>
      </c>
      <c r="T328">
        <v>37776</v>
      </c>
      <c r="U328" t="s">
        <v>60</v>
      </c>
      <c r="V328">
        <v>12</v>
      </c>
      <c r="W328">
        <v>1</v>
      </c>
      <c r="X328" t="s">
        <v>42</v>
      </c>
      <c r="Y328" t="s">
        <v>32</v>
      </c>
      <c r="Z328" t="s">
        <v>33</v>
      </c>
      <c r="AA328" t="s">
        <v>40</v>
      </c>
      <c r="AB328" t="s">
        <v>35</v>
      </c>
      <c r="AC328" t="s">
        <v>44</v>
      </c>
    </row>
    <row r="329" spans="1:29" x14ac:dyDescent="0.25">
      <c r="A329">
        <v>344</v>
      </c>
      <c r="B329">
        <v>14775</v>
      </c>
      <c r="C329">
        <v>8476</v>
      </c>
      <c r="D329">
        <v>23251</v>
      </c>
      <c r="E329" t="s">
        <v>46</v>
      </c>
      <c r="F329">
        <v>46</v>
      </c>
      <c r="G329" t="s">
        <v>53</v>
      </c>
      <c r="H329" t="s">
        <v>41</v>
      </c>
      <c r="I329">
        <v>2</v>
      </c>
      <c r="J329" t="s">
        <v>62</v>
      </c>
      <c r="K329">
        <v>591</v>
      </c>
      <c r="L329" t="s">
        <v>55</v>
      </c>
      <c r="M329">
        <v>2</v>
      </c>
      <c r="N329" t="s">
        <v>44</v>
      </c>
      <c r="O329">
        <v>0.32</v>
      </c>
      <c r="P329" t="s">
        <v>67</v>
      </c>
      <c r="Q329">
        <v>849</v>
      </c>
      <c r="R329">
        <v>47800</v>
      </c>
      <c r="S329" t="s">
        <v>44</v>
      </c>
      <c r="T329">
        <v>11060</v>
      </c>
      <c r="U329" t="s">
        <v>57</v>
      </c>
      <c r="V329">
        <v>12</v>
      </c>
      <c r="W329">
        <v>1</v>
      </c>
      <c r="X329" t="s">
        <v>42</v>
      </c>
      <c r="Y329" t="s">
        <v>32</v>
      </c>
      <c r="Z329" t="s">
        <v>39</v>
      </c>
      <c r="AA329" t="s">
        <v>34</v>
      </c>
      <c r="AB329" t="s">
        <v>51</v>
      </c>
      <c r="AC329" t="s">
        <v>36</v>
      </c>
    </row>
    <row r="330" spans="1:29" x14ac:dyDescent="0.25">
      <c r="A330">
        <v>345</v>
      </c>
      <c r="B330">
        <v>18244</v>
      </c>
      <c r="C330">
        <v>4811</v>
      </c>
      <c r="D330">
        <v>23055</v>
      </c>
      <c r="E330" t="s">
        <v>29</v>
      </c>
      <c r="F330">
        <v>40</v>
      </c>
      <c r="G330" t="s">
        <v>65</v>
      </c>
      <c r="H330" t="s">
        <v>30</v>
      </c>
      <c r="I330">
        <v>0</v>
      </c>
      <c r="J330" t="s">
        <v>54</v>
      </c>
      <c r="K330">
        <v>590</v>
      </c>
      <c r="L330" t="s">
        <v>55</v>
      </c>
      <c r="M330">
        <v>0</v>
      </c>
      <c r="N330" t="s">
        <v>36</v>
      </c>
      <c r="O330">
        <v>0.52</v>
      </c>
      <c r="P330" t="s">
        <v>56</v>
      </c>
      <c r="Q330">
        <v>7498</v>
      </c>
      <c r="R330">
        <v>40761</v>
      </c>
      <c r="S330" t="s">
        <v>44</v>
      </c>
      <c r="T330">
        <v>14056</v>
      </c>
      <c r="U330" t="s">
        <v>57</v>
      </c>
      <c r="V330">
        <v>84</v>
      </c>
      <c r="W330">
        <v>7</v>
      </c>
      <c r="X330" t="s">
        <v>42</v>
      </c>
      <c r="Y330" t="s">
        <v>32</v>
      </c>
      <c r="Z330" t="s">
        <v>33</v>
      </c>
      <c r="AA330" t="s">
        <v>40</v>
      </c>
      <c r="AB330" t="s">
        <v>48</v>
      </c>
      <c r="AC330" t="s">
        <v>36</v>
      </c>
    </row>
    <row r="331" spans="1:29" x14ac:dyDescent="0.25">
      <c r="A331">
        <v>346</v>
      </c>
      <c r="B331">
        <v>15184</v>
      </c>
      <c r="C331">
        <v>8954</v>
      </c>
      <c r="D331">
        <v>24138</v>
      </c>
      <c r="E331" t="s">
        <v>49</v>
      </c>
      <c r="F331">
        <v>47</v>
      </c>
      <c r="G331" t="s">
        <v>53</v>
      </c>
      <c r="H331" t="s">
        <v>30</v>
      </c>
      <c r="I331">
        <v>3</v>
      </c>
      <c r="J331" t="s">
        <v>58</v>
      </c>
      <c r="K331">
        <v>754</v>
      </c>
      <c r="L331" t="s">
        <v>71</v>
      </c>
      <c r="M331">
        <v>2</v>
      </c>
      <c r="N331" t="s">
        <v>44</v>
      </c>
      <c r="O331">
        <v>0.39</v>
      </c>
      <c r="P331" t="s">
        <v>67</v>
      </c>
      <c r="Q331">
        <v>4522</v>
      </c>
      <c r="R331">
        <v>29090</v>
      </c>
      <c r="S331" t="s">
        <v>44</v>
      </c>
      <c r="T331">
        <v>7655</v>
      </c>
      <c r="U331" t="s">
        <v>57</v>
      </c>
      <c r="V331">
        <v>24</v>
      </c>
      <c r="W331">
        <v>2</v>
      </c>
      <c r="X331" t="s">
        <v>37</v>
      </c>
      <c r="Y331" t="s">
        <v>38</v>
      </c>
      <c r="Z331" t="s">
        <v>39</v>
      </c>
      <c r="AA331" t="s">
        <v>40</v>
      </c>
      <c r="AB331" t="s">
        <v>51</v>
      </c>
      <c r="AC331" t="s">
        <v>36</v>
      </c>
    </row>
    <row r="332" spans="1:29" x14ac:dyDescent="0.25">
      <c r="A332">
        <v>347</v>
      </c>
      <c r="B332">
        <v>5343</v>
      </c>
      <c r="C332">
        <v>5346</v>
      </c>
      <c r="D332">
        <v>10689</v>
      </c>
      <c r="E332" t="s">
        <v>52</v>
      </c>
      <c r="F332">
        <v>32</v>
      </c>
      <c r="G332" t="s">
        <v>61</v>
      </c>
      <c r="H332" t="s">
        <v>30</v>
      </c>
      <c r="I332">
        <v>0</v>
      </c>
      <c r="J332" t="s">
        <v>54</v>
      </c>
      <c r="K332">
        <v>780</v>
      </c>
      <c r="L332" t="s">
        <v>71</v>
      </c>
      <c r="M332">
        <v>1</v>
      </c>
      <c r="N332" t="s">
        <v>44</v>
      </c>
      <c r="O332">
        <v>0.35</v>
      </c>
      <c r="P332" t="s">
        <v>67</v>
      </c>
      <c r="Q332">
        <v>18928</v>
      </c>
      <c r="R332">
        <v>20567</v>
      </c>
      <c r="S332" t="s">
        <v>44</v>
      </c>
      <c r="T332">
        <v>23574</v>
      </c>
      <c r="U332" t="s">
        <v>64</v>
      </c>
      <c r="V332">
        <v>84</v>
      </c>
      <c r="W332">
        <v>7</v>
      </c>
      <c r="X332" t="s">
        <v>37</v>
      </c>
      <c r="Y332" t="s">
        <v>45</v>
      </c>
      <c r="Z332" t="s">
        <v>39</v>
      </c>
      <c r="AA332" t="s">
        <v>40</v>
      </c>
      <c r="AB332" t="s">
        <v>51</v>
      </c>
      <c r="AC332" t="s">
        <v>36</v>
      </c>
    </row>
    <row r="333" spans="1:29" x14ac:dyDescent="0.25">
      <c r="A333">
        <v>348</v>
      </c>
      <c r="B333">
        <v>15500</v>
      </c>
      <c r="C333">
        <v>5043</v>
      </c>
      <c r="D333">
        <v>20543</v>
      </c>
      <c r="E333" t="s">
        <v>29</v>
      </c>
      <c r="F333">
        <v>27</v>
      </c>
      <c r="G333" t="s">
        <v>61</v>
      </c>
      <c r="H333" t="s">
        <v>41</v>
      </c>
      <c r="I333">
        <v>1</v>
      </c>
      <c r="J333" t="s">
        <v>68</v>
      </c>
      <c r="K333">
        <v>746</v>
      </c>
      <c r="L333" t="s">
        <v>71</v>
      </c>
      <c r="M333">
        <v>1</v>
      </c>
      <c r="N333" t="s">
        <v>44</v>
      </c>
      <c r="O333">
        <v>0.24</v>
      </c>
      <c r="P333" t="s">
        <v>59</v>
      </c>
      <c r="Q333">
        <v>12773</v>
      </c>
      <c r="R333">
        <v>43663</v>
      </c>
      <c r="S333" t="s">
        <v>44</v>
      </c>
      <c r="T333">
        <v>14027</v>
      </c>
      <c r="U333" t="s">
        <v>57</v>
      </c>
      <c r="V333">
        <v>48</v>
      </c>
      <c r="W333">
        <v>4</v>
      </c>
      <c r="X333" t="s">
        <v>42</v>
      </c>
      <c r="Y333" t="s">
        <v>32</v>
      </c>
      <c r="Z333" t="s">
        <v>39</v>
      </c>
      <c r="AA333" t="s">
        <v>40</v>
      </c>
      <c r="AB333" t="s">
        <v>42</v>
      </c>
      <c r="AC333" t="s">
        <v>44</v>
      </c>
    </row>
    <row r="334" spans="1:29" x14ac:dyDescent="0.25">
      <c r="A334">
        <v>349</v>
      </c>
      <c r="B334">
        <v>11662</v>
      </c>
      <c r="C334">
        <v>2428</v>
      </c>
      <c r="D334">
        <v>14090</v>
      </c>
      <c r="E334" t="s">
        <v>46</v>
      </c>
      <c r="F334">
        <v>23</v>
      </c>
      <c r="G334" t="s">
        <v>72</v>
      </c>
      <c r="H334" t="s">
        <v>41</v>
      </c>
      <c r="I334">
        <v>0</v>
      </c>
      <c r="J334" t="s">
        <v>54</v>
      </c>
      <c r="K334">
        <v>550</v>
      </c>
      <c r="L334" t="s">
        <v>66</v>
      </c>
      <c r="M334">
        <v>0</v>
      </c>
      <c r="N334" t="s">
        <v>36</v>
      </c>
      <c r="O334">
        <v>0.24</v>
      </c>
      <c r="P334" t="s">
        <v>59</v>
      </c>
      <c r="Q334">
        <v>18215</v>
      </c>
      <c r="R334">
        <v>15367</v>
      </c>
      <c r="S334" t="s">
        <v>44</v>
      </c>
      <c r="T334">
        <v>5030</v>
      </c>
      <c r="U334" t="s">
        <v>57</v>
      </c>
      <c r="V334">
        <v>84</v>
      </c>
      <c r="W334">
        <v>7</v>
      </c>
      <c r="X334" t="s">
        <v>31</v>
      </c>
      <c r="Y334" t="s">
        <v>45</v>
      </c>
      <c r="Z334" t="s">
        <v>39</v>
      </c>
      <c r="AA334" t="s">
        <v>40</v>
      </c>
      <c r="AB334" t="s">
        <v>48</v>
      </c>
      <c r="AC334" t="s">
        <v>44</v>
      </c>
    </row>
    <row r="335" spans="1:29" x14ac:dyDescent="0.25">
      <c r="A335">
        <v>350</v>
      </c>
      <c r="B335">
        <v>0</v>
      </c>
      <c r="C335">
        <v>5126</v>
      </c>
      <c r="D335">
        <v>5126</v>
      </c>
      <c r="E335" t="s">
        <v>29</v>
      </c>
      <c r="F335">
        <v>30</v>
      </c>
      <c r="G335" t="s">
        <v>61</v>
      </c>
      <c r="H335" t="s">
        <v>30</v>
      </c>
      <c r="I335">
        <v>0</v>
      </c>
      <c r="J335" t="s">
        <v>54</v>
      </c>
      <c r="K335">
        <v>687</v>
      </c>
      <c r="L335" t="s">
        <v>63</v>
      </c>
      <c r="M335">
        <v>1</v>
      </c>
      <c r="N335" t="s">
        <v>44</v>
      </c>
      <c r="O335">
        <v>0.18</v>
      </c>
      <c r="P335" t="s">
        <v>59</v>
      </c>
      <c r="Q335">
        <v>0</v>
      </c>
      <c r="R335">
        <v>40412</v>
      </c>
      <c r="S335" t="s">
        <v>44</v>
      </c>
      <c r="T335">
        <v>25243</v>
      </c>
      <c r="U335" t="s">
        <v>64</v>
      </c>
      <c r="V335">
        <v>84</v>
      </c>
      <c r="W335">
        <v>7</v>
      </c>
      <c r="X335" t="s">
        <v>42</v>
      </c>
      <c r="Y335" t="s">
        <v>38</v>
      </c>
      <c r="Z335" t="s">
        <v>33</v>
      </c>
      <c r="AA335" t="s">
        <v>40</v>
      </c>
      <c r="AB335" t="s">
        <v>35</v>
      </c>
      <c r="AC335" t="s">
        <v>44</v>
      </c>
    </row>
    <row r="336" spans="1:29" x14ac:dyDescent="0.25">
      <c r="A336">
        <v>351</v>
      </c>
      <c r="B336">
        <v>17125</v>
      </c>
      <c r="C336">
        <v>8220</v>
      </c>
      <c r="D336">
        <v>25345</v>
      </c>
      <c r="E336" t="s">
        <v>46</v>
      </c>
      <c r="F336">
        <v>54</v>
      </c>
      <c r="G336" t="s">
        <v>53</v>
      </c>
      <c r="H336" t="s">
        <v>30</v>
      </c>
      <c r="I336">
        <v>3</v>
      </c>
      <c r="J336" t="s">
        <v>58</v>
      </c>
      <c r="K336">
        <v>559</v>
      </c>
      <c r="L336" t="s">
        <v>66</v>
      </c>
      <c r="M336">
        <v>4</v>
      </c>
      <c r="N336" t="s">
        <v>44</v>
      </c>
      <c r="O336">
        <v>0.18</v>
      </c>
      <c r="P336" t="s">
        <v>59</v>
      </c>
      <c r="Q336">
        <v>9628</v>
      </c>
      <c r="R336">
        <v>44716</v>
      </c>
      <c r="S336" t="s">
        <v>44</v>
      </c>
      <c r="T336">
        <v>34289</v>
      </c>
      <c r="U336" t="s">
        <v>64</v>
      </c>
      <c r="V336">
        <v>48</v>
      </c>
      <c r="W336">
        <v>4</v>
      </c>
      <c r="X336" t="s">
        <v>37</v>
      </c>
      <c r="Y336" t="s">
        <v>32</v>
      </c>
      <c r="Z336" t="s">
        <v>39</v>
      </c>
      <c r="AA336" t="s">
        <v>40</v>
      </c>
      <c r="AB336" t="s">
        <v>51</v>
      </c>
      <c r="AC336" t="s">
        <v>36</v>
      </c>
    </row>
    <row r="337" spans="1:29" x14ac:dyDescent="0.25">
      <c r="A337">
        <v>352</v>
      </c>
      <c r="B337">
        <v>10130</v>
      </c>
      <c r="C337">
        <v>9098</v>
      </c>
      <c r="D337">
        <v>19228</v>
      </c>
      <c r="E337" t="s">
        <v>29</v>
      </c>
      <c r="F337">
        <v>45</v>
      </c>
      <c r="G337" t="s">
        <v>53</v>
      </c>
      <c r="H337" t="s">
        <v>41</v>
      </c>
      <c r="I337">
        <v>3</v>
      </c>
      <c r="J337" t="s">
        <v>58</v>
      </c>
      <c r="K337">
        <v>651</v>
      </c>
      <c r="L337" t="s">
        <v>55</v>
      </c>
      <c r="M337">
        <v>0</v>
      </c>
      <c r="N337" t="s">
        <v>36</v>
      </c>
      <c r="O337">
        <v>0.35</v>
      </c>
      <c r="P337" t="s">
        <v>67</v>
      </c>
      <c r="Q337">
        <v>329</v>
      </c>
      <c r="R337">
        <v>35367</v>
      </c>
      <c r="S337" t="s">
        <v>44</v>
      </c>
      <c r="T337">
        <v>20739</v>
      </c>
      <c r="U337" t="s">
        <v>64</v>
      </c>
      <c r="V337">
        <v>24</v>
      </c>
      <c r="W337">
        <v>2</v>
      </c>
      <c r="X337" t="s">
        <v>47</v>
      </c>
      <c r="Y337" t="s">
        <v>38</v>
      </c>
      <c r="Z337" t="s">
        <v>39</v>
      </c>
      <c r="AA337" t="s">
        <v>40</v>
      </c>
      <c r="AB337" t="s">
        <v>42</v>
      </c>
      <c r="AC337" t="s">
        <v>44</v>
      </c>
    </row>
    <row r="338" spans="1:29" x14ac:dyDescent="0.25">
      <c r="A338">
        <v>353</v>
      </c>
      <c r="B338">
        <v>3679</v>
      </c>
      <c r="C338">
        <v>7813</v>
      </c>
      <c r="D338">
        <v>11492</v>
      </c>
      <c r="E338" t="s">
        <v>49</v>
      </c>
      <c r="F338">
        <v>55</v>
      </c>
      <c r="G338" t="s">
        <v>69</v>
      </c>
      <c r="H338" t="s">
        <v>41</v>
      </c>
      <c r="I338">
        <v>2</v>
      </c>
      <c r="J338" t="s">
        <v>62</v>
      </c>
      <c r="K338">
        <v>768</v>
      </c>
      <c r="L338" t="s">
        <v>71</v>
      </c>
      <c r="M338">
        <v>1</v>
      </c>
      <c r="N338" t="s">
        <v>44</v>
      </c>
      <c r="O338">
        <v>0.5</v>
      </c>
      <c r="P338" t="s">
        <v>70</v>
      </c>
      <c r="Q338">
        <v>5851</v>
      </c>
      <c r="R338">
        <v>5813</v>
      </c>
      <c r="S338" t="s">
        <v>44</v>
      </c>
      <c r="T338">
        <v>35168</v>
      </c>
      <c r="U338" t="s">
        <v>60</v>
      </c>
      <c r="V338">
        <v>72</v>
      </c>
      <c r="W338">
        <v>6</v>
      </c>
      <c r="X338" t="s">
        <v>47</v>
      </c>
      <c r="Y338" t="s">
        <v>32</v>
      </c>
      <c r="Z338" t="s">
        <v>39</v>
      </c>
      <c r="AA338" t="s">
        <v>34</v>
      </c>
      <c r="AB338" t="s">
        <v>35</v>
      </c>
      <c r="AC338" t="s">
        <v>36</v>
      </c>
    </row>
    <row r="339" spans="1:29" x14ac:dyDescent="0.25">
      <c r="A339">
        <v>354</v>
      </c>
      <c r="B339">
        <v>5506</v>
      </c>
      <c r="C339">
        <v>9645</v>
      </c>
      <c r="D339">
        <v>15151</v>
      </c>
      <c r="E339" t="s">
        <v>29</v>
      </c>
      <c r="F339">
        <v>36</v>
      </c>
      <c r="G339" t="s">
        <v>65</v>
      </c>
      <c r="H339" t="s">
        <v>30</v>
      </c>
      <c r="I339">
        <v>2</v>
      </c>
      <c r="J339" t="s">
        <v>62</v>
      </c>
      <c r="K339">
        <v>737</v>
      </c>
      <c r="L339" t="s">
        <v>63</v>
      </c>
      <c r="M339">
        <v>0</v>
      </c>
      <c r="N339" t="s">
        <v>36</v>
      </c>
      <c r="O339">
        <v>0.35</v>
      </c>
      <c r="P339" t="s">
        <v>67</v>
      </c>
      <c r="Q339">
        <v>7032</v>
      </c>
      <c r="R339">
        <v>36621</v>
      </c>
      <c r="S339" t="s">
        <v>44</v>
      </c>
      <c r="T339">
        <v>37491</v>
      </c>
      <c r="U339" t="s">
        <v>60</v>
      </c>
      <c r="V339">
        <v>12</v>
      </c>
      <c r="W339">
        <v>1</v>
      </c>
      <c r="X339" t="s">
        <v>31</v>
      </c>
      <c r="Y339" t="s">
        <v>38</v>
      </c>
      <c r="Z339" t="s">
        <v>33</v>
      </c>
      <c r="AA339" t="s">
        <v>40</v>
      </c>
      <c r="AB339" t="s">
        <v>43</v>
      </c>
      <c r="AC339" t="s">
        <v>36</v>
      </c>
    </row>
    <row r="340" spans="1:29" x14ac:dyDescent="0.25">
      <c r="A340">
        <v>355</v>
      </c>
      <c r="B340">
        <v>15284</v>
      </c>
      <c r="C340">
        <v>3356</v>
      </c>
      <c r="D340">
        <v>18640</v>
      </c>
      <c r="E340" t="s">
        <v>46</v>
      </c>
      <c r="F340">
        <v>22</v>
      </c>
      <c r="G340" t="s">
        <v>72</v>
      </c>
      <c r="H340" t="s">
        <v>30</v>
      </c>
      <c r="I340">
        <v>2</v>
      </c>
      <c r="J340" t="s">
        <v>62</v>
      </c>
      <c r="K340">
        <v>677</v>
      </c>
      <c r="L340" t="s">
        <v>63</v>
      </c>
      <c r="M340">
        <v>0</v>
      </c>
      <c r="N340" t="s">
        <v>36</v>
      </c>
      <c r="O340">
        <v>0.59</v>
      </c>
      <c r="P340" t="s">
        <v>56</v>
      </c>
      <c r="Q340">
        <v>15326</v>
      </c>
      <c r="R340">
        <v>0</v>
      </c>
      <c r="S340" t="s">
        <v>36</v>
      </c>
      <c r="T340">
        <v>31013</v>
      </c>
      <c r="U340" t="s">
        <v>64</v>
      </c>
      <c r="V340">
        <v>60</v>
      </c>
      <c r="W340">
        <v>5</v>
      </c>
      <c r="X340" t="s">
        <v>37</v>
      </c>
      <c r="Y340" t="s">
        <v>45</v>
      </c>
      <c r="Z340" t="s">
        <v>39</v>
      </c>
      <c r="AA340" t="s">
        <v>40</v>
      </c>
      <c r="AB340" t="s">
        <v>43</v>
      </c>
      <c r="AC340" t="s">
        <v>36</v>
      </c>
    </row>
    <row r="341" spans="1:29" x14ac:dyDescent="0.25">
      <c r="A341">
        <v>357</v>
      </c>
      <c r="B341">
        <v>11435</v>
      </c>
      <c r="C341">
        <v>7266</v>
      </c>
      <c r="D341">
        <v>18701</v>
      </c>
      <c r="E341" t="s">
        <v>29</v>
      </c>
      <c r="F341">
        <v>30</v>
      </c>
      <c r="G341" t="s">
        <v>61</v>
      </c>
      <c r="H341" t="s">
        <v>30</v>
      </c>
      <c r="I341">
        <v>2</v>
      </c>
      <c r="J341" t="s">
        <v>62</v>
      </c>
      <c r="K341">
        <v>698</v>
      </c>
      <c r="L341" t="s">
        <v>63</v>
      </c>
      <c r="M341">
        <v>0</v>
      </c>
      <c r="N341" t="s">
        <v>36</v>
      </c>
      <c r="O341">
        <v>0.54</v>
      </c>
      <c r="P341" t="s">
        <v>56</v>
      </c>
      <c r="Q341">
        <v>4354</v>
      </c>
      <c r="R341">
        <v>40318</v>
      </c>
      <c r="S341" t="s">
        <v>44</v>
      </c>
      <c r="T341">
        <v>19242</v>
      </c>
      <c r="U341" t="s">
        <v>57</v>
      </c>
      <c r="V341">
        <v>60</v>
      </c>
      <c r="W341">
        <v>5</v>
      </c>
      <c r="X341" t="s">
        <v>50</v>
      </c>
      <c r="Y341" t="s">
        <v>32</v>
      </c>
      <c r="Z341" t="s">
        <v>39</v>
      </c>
      <c r="AA341" t="s">
        <v>40</v>
      </c>
      <c r="AB341" t="s">
        <v>35</v>
      </c>
      <c r="AC341" t="s">
        <v>36</v>
      </c>
    </row>
    <row r="342" spans="1:29" x14ac:dyDescent="0.25">
      <c r="A342">
        <v>358</v>
      </c>
      <c r="B342">
        <v>13310</v>
      </c>
      <c r="C342">
        <v>6540</v>
      </c>
      <c r="D342">
        <v>19850</v>
      </c>
      <c r="E342" t="s">
        <v>29</v>
      </c>
      <c r="F342">
        <v>58</v>
      </c>
      <c r="G342" t="s">
        <v>69</v>
      </c>
      <c r="H342" t="s">
        <v>30</v>
      </c>
      <c r="I342">
        <v>0</v>
      </c>
      <c r="J342" t="s">
        <v>54</v>
      </c>
      <c r="K342">
        <v>685</v>
      </c>
      <c r="L342" t="s">
        <v>63</v>
      </c>
      <c r="M342">
        <v>1</v>
      </c>
      <c r="N342" t="s">
        <v>44</v>
      </c>
      <c r="O342">
        <v>0.26</v>
      </c>
      <c r="P342" t="s">
        <v>59</v>
      </c>
      <c r="Q342">
        <v>15082</v>
      </c>
      <c r="R342">
        <v>37018</v>
      </c>
      <c r="S342" t="s">
        <v>44</v>
      </c>
      <c r="T342">
        <v>5781</v>
      </c>
      <c r="U342" t="s">
        <v>57</v>
      </c>
      <c r="V342">
        <v>72</v>
      </c>
      <c r="W342">
        <v>6</v>
      </c>
      <c r="X342" t="s">
        <v>31</v>
      </c>
      <c r="Y342" t="s">
        <v>38</v>
      </c>
      <c r="Z342" t="s">
        <v>39</v>
      </c>
      <c r="AA342" t="s">
        <v>34</v>
      </c>
      <c r="AB342" t="s">
        <v>51</v>
      </c>
      <c r="AC342" t="s">
        <v>44</v>
      </c>
    </row>
    <row r="343" spans="1:29" x14ac:dyDescent="0.25">
      <c r="A343">
        <v>359</v>
      </c>
      <c r="B343">
        <v>15296</v>
      </c>
      <c r="C343">
        <v>38</v>
      </c>
      <c r="D343">
        <v>15334</v>
      </c>
      <c r="E343" t="s">
        <v>49</v>
      </c>
      <c r="F343">
        <v>40</v>
      </c>
      <c r="G343" t="s">
        <v>65</v>
      </c>
      <c r="H343" t="s">
        <v>30</v>
      </c>
      <c r="I343">
        <v>2</v>
      </c>
      <c r="J343" t="s">
        <v>62</v>
      </c>
      <c r="K343">
        <v>742</v>
      </c>
      <c r="L343" t="s">
        <v>71</v>
      </c>
      <c r="M343">
        <v>1</v>
      </c>
      <c r="N343" t="s">
        <v>44</v>
      </c>
      <c r="O343">
        <v>0.16</v>
      </c>
      <c r="P343" t="s">
        <v>59</v>
      </c>
      <c r="Q343">
        <v>4722</v>
      </c>
      <c r="R343">
        <v>39759</v>
      </c>
      <c r="S343" t="s">
        <v>44</v>
      </c>
      <c r="T343">
        <v>21448</v>
      </c>
      <c r="U343" t="s">
        <v>64</v>
      </c>
      <c r="V343">
        <v>12</v>
      </c>
      <c r="W343">
        <v>1</v>
      </c>
      <c r="X343" t="s">
        <v>31</v>
      </c>
      <c r="Y343" t="s">
        <v>45</v>
      </c>
      <c r="Z343" t="s">
        <v>39</v>
      </c>
      <c r="AA343" t="s">
        <v>40</v>
      </c>
      <c r="AB343" t="s">
        <v>35</v>
      </c>
      <c r="AC343" t="s">
        <v>44</v>
      </c>
    </row>
    <row r="344" spans="1:29" x14ac:dyDescent="0.25">
      <c r="A344">
        <v>360</v>
      </c>
      <c r="B344">
        <v>15245</v>
      </c>
      <c r="C344">
        <v>3342</v>
      </c>
      <c r="D344">
        <v>18587</v>
      </c>
      <c r="E344" t="s">
        <v>49</v>
      </c>
      <c r="F344">
        <v>46</v>
      </c>
      <c r="G344" t="s">
        <v>53</v>
      </c>
      <c r="H344" t="s">
        <v>30</v>
      </c>
      <c r="I344">
        <v>3</v>
      </c>
      <c r="J344" t="s">
        <v>58</v>
      </c>
      <c r="K344">
        <v>641</v>
      </c>
      <c r="L344" t="s">
        <v>55</v>
      </c>
      <c r="M344">
        <v>1</v>
      </c>
      <c r="N344" t="s">
        <v>44</v>
      </c>
      <c r="O344">
        <v>0.54</v>
      </c>
      <c r="P344" t="s">
        <v>56</v>
      </c>
      <c r="Q344">
        <v>17772</v>
      </c>
      <c r="R344">
        <v>16498</v>
      </c>
      <c r="S344" t="s">
        <v>44</v>
      </c>
      <c r="T344">
        <v>0</v>
      </c>
      <c r="U344" t="s">
        <v>73</v>
      </c>
      <c r="V344">
        <v>48</v>
      </c>
      <c r="W344">
        <v>4</v>
      </c>
      <c r="X344" t="s">
        <v>50</v>
      </c>
      <c r="Y344" t="s">
        <v>45</v>
      </c>
      <c r="Z344" t="s">
        <v>39</v>
      </c>
      <c r="AA344" t="s">
        <v>40</v>
      </c>
      <c r="AB344" t="s">
        <v>43</v>
      </c>
      <c r="AC344" t="s">
        <v>36</v>
      </c>
    </row>
    <row r="345" spans="1:29" x14ac:dyDescent="0.25">
      <c r="A345">
        <v>361</v>
      </c>
      <c r="B345">
        <v>0</v>
      </c>
      <c r="C345">
        <v>9078</v>
      </c>
      <c r="D345">
        <v>9078</v>
      </c>
      <c r="E345" t="s">
        <v>29</v>
      </c>
      <c r="F345">
        <v>40</v>
      </c>
      <c r="G345" t="s">
        <v>65</v>
      </c>
      <c r="H345" t="s">
        <v>30</v>
      </c>
      <c r="I345">
        <v>2</v>
      </c>
      <c r="J345" t="s">
        <v>62</v>
      </c>
      <c r="K345">
        <v>662</v>
      </c>
      <c r="L345" t="s">
        <v>55</v>
      </c>
      <c r="M345">
        <v>2</v>
      </c>
      <c r="N345" t="s">
        <v>44</v>
      </c>
      <c r="O345">
        <v>0.42</v>
      </c>
      <c r="P345" t="s">
        <v>70</v>
      </c>
      <c r="Q345">
        <v>8911</v>
      </c>
      <c r="R345">
        <v>25989</v>
      </c>
      <c r="S345" t="s">
        <v>44</v>
      </c>
      <c r="T345">
        <v>12043</v>
      </c>
      <c r="U345" t="s">
        <v>57</v>
      </c>
      <c r="V345">
        <v>60</v>
      </c>
      <c r="W345">
        <v>5</v>
      </c>
      <c r="X345" t="s">
        <v>50</v>
      </c>
      <c r="Y345" t="s">
        <v>32</v>
      </c>
      <c r="Z345" t="s">
        <v>33</v>
      </c>
      <c r="AA345" t="s">
        <v>34</v>
      </c>
      <c r="AB345" t="s">
        <v>51</v>
      </c>
      <c r="AC345" t="s">
        <v>36</v>
      </c>
    </row>
    <row r="346" spans="1:29" x14ac:dyDescent="0.25">
      <c r="A346">
        <v>362</v>
      </c>
      <c r="B346">
        <v>12457</v>
      </c>
      <c r="C346">
        <v>2844</v>
      </c>
      <c r="D346">
        <v>15301</v>
      </c>
      <c r="E346" t="s">
        <v>49</v>
      </c>
      <c r="F346">
        <v>47</v>
      </c>
      <c r="G346" t="s">
        <v>53</v>
      </c>
      <c r="H346" t="s">
        <v>41</v>
      </c>
      <c r="I346">
        <v>1</v>
      </c>
      <c r="J346" t="s">
        <v>68</v>
      </c>
      <c r="K346">
        <v>780</v>
      </c>
      <c r="L346" t="s">
        <v>71</v>
      </c>
      <c r="M346">
        <v>0</v>
      </c>
      <c r="N346" t="s">
        <v>36</v>
      </c>
      <c r="O346">
        <v>0.18</v>
      </c>
      <c r="P346" t="s">
        <v>59</v>
      </c>
      <c r="Q346">
        <v>3235</v>
      </c>
      <c r="R346">
        <v>37174</v>
      </c>
      <c r="S346" t="s">
        <v>44</v>
      </c>
      <c r="T346">
        <v>20853</v>
      </c>
      <c r="U346" t="s">
        <v>64</v>
      </c>
      <c r="V346">
        <v>48</v>
      </c>
      <c r="W346">
        <v>4</v>
      </c>
      <c r="X346" t="s">
        <v>47</v>
      </c>
      <c r="Y346" t="s">
        <v>32</v>
      </c>
      <c r="Z346" t="s">
        <v>39</v>
      </c>
      <c r="AA346" t="s">
        <v>40</v>
      </c>
      <c r="AB346" t="s">
        <v>43</v>
      </c>
      <c r="AC346" t="s">
        <v>44</v>
      </c>
    </row>
    <row r="347" spans="1:29" x14ac:dyDescent="0.25">
      <c r="A347">
        <v>363</v>
      </c>
      <c r="B347">
        <v>4479</v>
      </c>
      <c r="C347">
        <v>1098</v>
      </c>
      <c r="D347">
        <v>5577</v>
      </c>
      <c r="E347" t="s">
        <v>48</v>
      </c>
      <c r="F347">
        <v>49</v>
      </c>
      <c r="G347" t="s">
        <v>53</v>
      </c>
      <c r="H347" t="s">
        <v>30</v>
      </c>
      <c r="I347">
        <v>0</v>
      </c>
      <c r="J347" t="s">
        <v>54</v>
      </c>
      <c r="K347">
        <v>627</v>
      </c>
      <c r="L347" t="s">
        <v>55</v>
      </c>
      <c r="M347">
        <v>3</v>
      </c>
      <c r="N347" t="s">
        <v>44</v>
      </c>
      <c r="O347">
        <v>0.31</v>
      </c>
      <c r="P347" t="s">
        <v>67</v>
      </c>
      <c r="Q347">
        <v>0</v>
      </c>
      <c r="R347">
        <v>25568</v>
      </c>
      <c r="S347" t="s">
        <v>44</v>
      </c>
      <c r="T347">
        <v>21079</v>
      </c>
      <c r="U347" t="s">
        <v>64</v>
      </c>
      <c r="V347">
        <v>60</v>
      </c>
      <c r="W347">
        <v>5</v>
      </c>
      <c r="X347" t="s">
        <v>31</v>
      </c>
      <c r="Y347" t="s">
        <v>32</v>
      </c>
      <c r="Z347" t="s">
        <v>39</v>
      </c>
      <c r="AA347" t="s">
        <v>34</v>
      </c>
      <c r="AB347" t="s">
        <v>35</v>
      </c>
      <c r="AC347" t="s">
        <v>36</v>
      </c>
    </row>
    <row r="348" spans="1:29" x14ac:dyDescent="0.25">
      <c r="A348">
        <v>364</v>
      </c>
      <c r="B348">
        <v>6452</v>
      </c>
      <c r="C348">
        <v>7027</v>
      </c>
      <c r="D348">
        <v>13479</v>
      </c>
      <c r="E348" t="s">
        <v>49</v>
      </c>
      <c r="F348">
        <v>58</v>
      </c>
      <c r="G348" t="s">
        <v>69</v>
      </c>
      <c r="H348" t="s">
        <v>30</v>
      </c>
      <c r="I348">
        <v>0</v>
      </c>
      <c r="J348" t="s">
        <v>54</v>
      </c>
      <c r="K348">
        <v>634</v>
      </c>
      <c r="L348" t="s">
        <v>55</v>
      </c>
      <c r="M348">
        <v>1</v>
      </c>
      <c r="N348" t="s">
        <v>44</v>
      </c>
      <c r="O348">
        <v>0.24</v>
      </c>
      <c r="P348" t="s">
        <v>59</v>
      </c>
      <c r="Q348">
        <v>1100</v>
      </c>
      <c r="R348">
        <v>1041</v>
      </c>
      <c r="S348" t="s">
        <v>44</v>
      </c>
      <c r="T348">
        <v>18101</v>
      </c>
      <c r="U348" t="s">
        <v>57</v>
      </c>
      <c r="V348">
        <v>48</v>
      </c>
      <c r="W348">
        <v>4</v>
      </c>
      <c r="X348" t="s">
        <v>31</v>
      </c>
      <c r="Y348" t="s">
        <v>32</v>
      </c>
      <c r="Z348" t="s">
        <v>39</v>
      </c>
      <c r="AA348" t="s">
        <v>34</v>
      </c>
      <c r="AB348" t="s">
        <v>35</v>
      </c>
      <c r="AC348" t="s">
        <v>36</v>
      </c>
    </row>
    <row r="349" spans="1:29" x14ac:dyDescent="0.25">
      <c r="A349">
        <v>365</v>
      </c>
      <c r="B349">
        <v>7881</v>
      </c>
      <c r="C349">
        <v>1823</v>
      </c>
      <c r="D349">
        <v>9704</v>
      </c>
      <c r="E349" t="s">
        <v>29</v>
      </c>
      <c r="F349">
        <v>40</v>
      </c>
      <c r="G349" t="s">
        <v>65</v>
      </c>
      <c r="H349" t="s">
        <v>30</v>
      </c>
      <c r="I349">
        <v>1</v>
      </c>
      <c r="J349" t="s">
        <v>68</v>
      </c>
      <c r="K349">
        <v>579</v>
      </c>
      <c r="L349" t="s">
        <v>66</v>
      </c>
      <c r="M349">
        <v>0</v>
      </c>
      <c r="N349" t="s">
        <v>36</v>
      </c>
      <c r="O349">
        <v>0.47</v>
      </c>
      <c r="P349" t="s">
        <v>70</v>
      </c>
      <c r="Q349">
        <v>8864</v>
      </c>
      <c r="R349">
        <v>39695</v>
      </c>
      <c r="S349" t="s">
        <v>44</v>
      </c>
      <c r="T349">
        <v>0</v>
      </c>
      <c r="U349" t="s">
        <v>73</v>
      </c>
      <c r="V349">
        <v>84</v>
      </c>
      <c r="W349">
        <v>7</v>
      </c>
      <c r="X349" t="s">
        <v>50</v>
      </c>
      <c r="Y349" t="s">
        <v>45</v>
      </c>
      <c r="Z349" t="s">
        <v>39</v>
      </c>
      <c r="AA349" t="s">
        <v>40</v>
      </c>
      <c r="AB349" t="s">
        <v>42</v>
      </c>
      <c r="AC349" t="s">
        <v>36</v>
      </c>
    </row>
    <row r="350" spans="1:29" x14ac:dyDescent="0.25">
      <c r="A350">
        <v>366</v>
      </c>
      <c r="B350">
        <v>16069</v>
      </c>
      <c r="C350">
        <v>3155</v>
      </c>
      <c r="D350">
        <v>19224</v>
      </c>
      <c r="E350" t="s">
        <v>49</v>
      </c>
      <c r="F350">
        <v>47</v>
      </c>
      <c r="G350" t="s">
        <v>53</v>
      </c>
      <c r="H350" t="s">
        <v>30</v>
      </c>
      <c r="I350">
        <v>2</v>
      </c>
      <c r="J350" t="s">
        <v>62</v>
      </c>
      <c r="K350">
        <v>762</v>
      </c>
      <c r="L350" t="s">
        <v>71</v>
      </c>
      <c r="M350">
        <v>4</v>
      </c>
      <c r="N350" t="s">
        <v>44</v>
      </c>
      <c r="O350">
        <v>0.35</v>
      </c>
      <c r="P350" t="s">
        <v>67</v>
      </c>
      <c r="Q350">
        <v>8708</v>
      </c>
      <c r="R350">
        <v>49163</v>
      </c>
      <c r="S350" t="s">
        <v>44</v>
      </c>
      <c r="T350">
        <v>29016</v>
      </c>
      <c r="U350" t="s">
        <v>64</v>
      </c>
      <c r="V350">
        <v>60</v>
      </c>
      <c r="W350">
        <v>5</v>
      </c>
      <c r="X350" t="s">
        <v>42</v>
      </c>
      <c r="Y350" t="s">
        <v>38</v>
      </c>
      <c r="Z350" t="s">
        <v>39</v>
      </c>
      <c r="AA350" t="s">
        <v>40</v>
      </c>
      <c r="AB350" t="s">
        <v>48</v>
      </c>
      <c r="AC350" t="s">
        <v>44</v>
      </c>
    </row>
    <row r="351" spans="1:29" x14ac:dyDescent="0.25">
      <c r="A351">
        <v>367</v>
      </c>
      <c r="B351">
        <v>4849</v>
      </c>
      <c r="C351">
        <v>3093</v>
      </c>
      <c r="D351">
        <v>7942</v>
      </c>
      <c r="E351" t="s">
        <v>29</v>
      </c>
      <c r="F351">
        <v>40</v>
      </c>
      <c r="G351" t="s">
        <v>65</v>
      </c>
      <c r="H351" t="s">
        <v>41</v>
      </c>
      <c r="I351">
        <v>3</v>
      </c>
      <c r="J351" t="s">
        <v>58</v>
      </c>
      <c r="K351">
        <v>598</v>
      </c>
      <c r="L351" t="s">
        <v>55</v>
      </c>
      <c r="M351">
        <v>1</v>
      </c>
      <c r="N351" t="s">
        <v>44</v>
      </c>
      <c r="O351">
        <v>0.59</v>
      </c>
      <c r="P351" t="s">
        <v>56</v>
      </c>
      <c r="Q351">
        <v>18916</v>
      </c>
      <c r="R351">
        <v>30099</v>
      </c>
      <c r="S351" t="s">
        <v>44</v>
      </c>
      <c r="T351">
        <v>19932</v>
      </c>
      <c r="U351" t="s">
        <v>57</v>
      </c>
      <c r="V351">
        <v>48</v>
      </c>
      <c r="W351">
        <v>4</v>
      </c>
      <c r="X351" t="s">
        <v>42</v>
      </c>
      <c r="Y351" t="s">
        <v>45</v>
      </c>
      <c r="Z351" t="s">
        <v>39</v>
      </c>
      <c r="AA351" t="s">
        <v>40</v>
      </c>
      <c r="AB351" t="s">
        <v>48</v>
      </c>
      <c r="AC351" t="s">
        <v>36</v>
      </c>
    </row>
    <row r="352" spans="1:29" x14ac:dyDescent="0.25">
      <c r="A352">
        <v>368</v>
      </c>
      <c r="B352">
        <v>9390</v>
      </c>
      <c r="C352">
        <v>5658</v>
      </c>
      <c r="D352">
        <v>15048</v>
      </c>
      <c r="E352" t="s">
        <v>48</v>
      </c>
      <c r="F352">
        <v>39</v>
      </c>
      <c r="G352" t="s">
        <v>65</v>
      </c>
      <c r="H352" t="s">
        <v>30</v>
      </c>
      <c r="I352">
        <v>1</v>
      </c>
      <c r="J352" t="s">
        <v>68</v>
      </c>
      <c r="K352">
        <v>558</v>
      </c>
      <c r="L352" t="s">
        <v>66</v>
      </c>
      <c r="M352">
        <v>1</v>
      </c>
      <c r="N352" t="s">
        <v>44</v>
      </c>
      <c r="O352">
        <v>0.13</v>
      </c>
      <c r="P352" t="s">
        <v>59</v>
      </c>
      <c r="Q352">
        <v>17165</v>
      </c>
      <c r="R352">
        <v>24364</v>
      </c>
      <c r="S352" t="s">
        <v>44</v>
      </c>
      <c r="T352">
        <v>0</v>
      </c>
      <c r="U352" t="s">
        <v>73</v>
      </c>
      <c r="V352">
        <v>72</v>
      </c>
      <c r="W352">
        <v>6</v>
      </c>
      <c r="X352" t="s">
        <v>47</v>
      </c>
      <c r="Y352" t="s">
        <v>32</v>
      </c>
      <c r="Z352" t="s">
        <v>39</v>
      </c>
      <c r="AA352" t="s">
        <v>40</v>
      </c>
      <c r="AB352" t="s">
        <v>42</v>
      </c>
      <c r="AC352" t="s">
        <v>36</v>
      </c>
    </row>
    <row r="353" spans="1:29" x14ac:dyDescent="0.25">
      <c r="A353">
        <v>369</v>
      </c>
      <c r="B353">
        <v>13922</v>
      </c>
      <c r="C353">
        <v>3778</v>
      </c>
      <c r="D353">
        <v>17700</v>
      </c>
      <c r="E353" t="s">
        <v>29</v>
      </c>
      <c r="F353">
        <v>40</v>
      </c>
      <c r="G353" t="s">
        <v>65</v>
      </c>
      <c r="H353" t="s">
        <v>30</v>
      </c>
      <c r="I353">
        <v>0</v>
      </c>
      <c r="J353" t="s">
        <v>54</v>
      </c>
      <c r="K353">
        <v>694</v>
      </c>
      <c r="L353" t="s">
        <v>63</v>
      </c>
      <c r="M353">
        <v>3</v>
      </c>
      <c r="N353" t="s">
        <v>44</v>
      </c>
      <c r="O353">
        <v>0.28000000000000003</v>
      </c>
      <c r="P353" t="s">
        <v>59</v>
      </c>
      <c r="Q353">
        <v>14439</v>
      </c>
      <c r="R353">
        <v>40639</v>
      </c>
      <c r="S353" t="s">
        <v>44</v>
      </c>
      <c r="T353">
        <v>8549</v>
      </c>
      <c r="U353" t="s">
        <v>57</v>
      </c>
      <c r="V353">
        <v>24</v>
      </c>
      <c r="W353">
        <v>2</v>
      </c>
      <c r="X353" t="s">
        <v>42</v>
      </c>
      <c r="Y353" t="s">
        <v>45</v>
      </c>
      <c r="Z353" t="s">
        <v>33</v>
      </c>
      <c r="AA353" t="s">
        <v>40</v>
      </c>
      <c r="AB353" t="s">
        <v>35</v>
      </c>
      <c r="AC353" t="s">
        <v>44</v>
      </c>
    </row>
    <row r="354" spans="1:29" x14ac:dyDescent="0.25">
      <c r="A354">
        <v>370</v>
      </c>
      <c r="B354">
        <v>4489</v>
      </c>
      <c r="C354">
        <v>2896</v>
      </c>
      <c r="D354">
        <v>7385</v>
      </c>
      <c r="E354" t="s">
        <v>52</v>
      </c>
      <c r="F354">
        <v>55</v>
      </c>
      <c r="G354" t="s">
        <v>69</v>
      </c>
      <c r="H354" t="s">
        <v>41</v>
      </c>
      <c r="I354">
        <v>2</v>
      </c>
      <c r="J354" t="s">
        <v>62</v>
      </c>
      <c r="K354">
        <v>618</v>
      </c>
      <c r="L354" t="s">
        <v>55</v>
      </c>
      <c r="M354">
        <v>2</v>
      </c>
      <c r="N354" t="s">
        <v>44</v>
      </c>
      <c r="O354">
        <v>0.34</v>
      </c>
      <c r="P354" t="s">
        <v>67</v>
      </c>
      <c r="Q354">
        <v>19907</v>
      </c>
      <c r="R354">
        <v>39143</v>
      </c>
      <c r="S354" t="s">
        <v>44</v>
      </c>
      <c r="T354">
        <v>14397</v>
      </c>
      <c r="U354" t="s">
        <v>57</v>
      </c>
      <c r="V354">
        <v>48</v>
      </c>
      <c r="W354">
        <v>4</v>
      </c>
      <c r="X354" t="s">
        <v>42</v>
      </c>
      <c r="Y354" t="s">
        <v>38</v>
      </c>
      <c r="Z354" t="s">
        <v>39</v>
      </c>
      <c r="AA354" t="s">
        <v>40</v>
      </c>
      <c r="AB354" t="s">
        <v>35</v>
      </c>
      <c r="AC354" t="s">
        <v>36</v>
      </c>
    </row>
    <row r="355" spans="1:29" x14ac:dyDescent="0.25">
      <c r="A355">
        <v>371</v>
      </c>
      <c r="B355">
        <v>11823</v>
      </c>
      <c r="C355">
        <v>988</v>
      </c>
      <c r="D355">
        <v>12811</v>
      </c>
      <c r="E355" t="s">
        <v>49</v>
      </c>
      <c r="F355">
        <v>22</v>
      </c>
      <c r="G355" t="s">
        <v>72</v>
      </c>
      <c r="H355" t="s">
        <v>30</v>
      </c>
      <c r="I355">
        <v>0</v>
      </c>
      <c r="J355" t="s">
        <v>54</v>
      </c>
      <c r="K355">
        <v>607</v>
      </c>
      <c r="L355" t="s">
        <v>55</v>
      </c>
      <c r="M355">
        <v>2</v>
      </c>
      <c r="N355" t="s">
        <v>44</v>
      </c>
      <c r="O355">
        <v>0.35</v>
      </c>
      <c r="P355" t="s">
        <v>67</v>
      </c>
      <c r="Q355">
        <v>11750</v>
      </c>
      <c r="R355">
        <v>23482</v>
      </c>
      <c r="S355" t="s">
        <v>44</v>
      </c>
      <c r="T355">
        <v>26362</v>
      </c>
      <c r="U355" t="s">
        <v>64</v>
      </c>
      <c r="V355">
        <v>24</v>
      </c>
      <c r="W355">
        <v>2</v>
      </c>
      <c r="X355" t="s">
        <v>42</v>
      </c>
      <c r="Y355" t="s">
        <v>45</v>
      </c>
      <c r="Z355" t="s">
        <v>39</v>
      </c>
      <c r="AA355" t="s">
        <v>34</v>
      </c>
      <c r="AB355" t="s">
        <v>35</v>
      </c>
      <c r="AC355" t="s">
        <v>36</v>
      </c>
    </row>
    <row r="356" spans="1:29" x14ac:dyDescent="0.25">
      <c r="A356">
        <v>373</v>
      </c>
      <c r="B356">
        <v>11540</v>
      </c>
      <c r="C356">
        <v>6446</v>
      </c>
      <c r="D356">
        <v>17986</v>
      </c>
      <c r="E356" t="s">
        <v>48</v>
      </c>
      <c r="F356">
        <v>54</v>
      </c>
      <c r="G356" t="s">
        <v>53</v>
      </c>
      <c r="H356" t="s">
        <v>30</v>
      </c>
      <c r="I356">
        <v>1</v>
      </c>
      <c r="J356" t="s">
        <v>68</v>
      </c>
      <c r="K356">
        <v>611</v>
      </c>
      <c r="L356" t="s">
        <v>55</v>
      </c>
      <c r="M356">
        <v>0</v>
      </c>
      <c r="N356" t="s">
        <v>36</v>
      </c>
      <c r="O356">
        <v>0.46</v>
      </c>
      <c r="P356" t="s">
        <v>70</v>
      </c>
      <c r="Q356">
        <v>0</v>
      </c>
      <c r="R356">
        <v>45785</v>
      </c>
      <c r="S356" t="s">
        <v>44</v>
      </c>
      <c r="T356">
        <v>24016</v>
      </c>
      <c r="U356" t="s">
        <v>64</v>
      </c>
      <c r="V356">
        <v>12</v>
      </c>
      <c r="W356">
        <v>1</v>
      </c>
      <c r="X356" t="s">
        <v>47</v>
      </c>
      <c r="Y356" t="s">
        <v>38</v>
      </c>
      <c r="Z356" t="s">
        <v>39</v>
      </c>
      <c r="AA356" t="s">
        <v>34</v>
      </c>
      <c r="AB356" t="s">
        <v>35</v>
      </c>
      <c r="AC356" t="s">
        <v>36</v>
      </c>
    </row>
    <row r="357" spans="1:29" x14ac:dyDescent="0.25">
      <c r="A357">
        <v>374</v>
      </c>
      <c r="B357">
        <v>18364</v>
      </c>
      <c r="C357">
        <v>4179</v>
      </c>
      <c r="D357">
        <v>22543</v>
      </c>
      <c r="E357" t="s">
        <v>48</v>
      </c>
      <c r="F357">
        <v>42</v>
      </c>
      <c r="G357" t="s">
        <v>65</v>
      </c>
      <c r="H357" t="s">
        <v>30</v>
      </c>
      <c r="I357">
        <v>0</v>
      </c>
      <c r="J357" t="s">
        <v>54</v>
      </c>
      <c r="K357">
        <v>772</v>
      </c>
      <c r="L357" t="s">
        <v>71</v>
      </c>
      <c r="M357">
        <v>4</v>
      </c>
      <c r="N357" t="s">
        <v>44</v>
      </c>
      <c r="O357">
        <v>0.54</v>
      </c>
      <c r="P357" t="s">
        <v>56</v>
      </c>
      <c r="Q357">
        <v>17885</v>
      </c>
      <c r="R357">
        <v>21781</v>
      </c>
      <c r="S357" t="s">
        <v>44</v>
      </c>
      <c r="T357">
        <v>15732</v>
      </c>
      <c r="U357" t="s">
        <v>57</v>
      </c>
      <c r="V357">
        <v>84</v>
      </c>
      <c r="W357">
        <v>7</v>
      </c>
      <c r="X357" t="s">
        <v>50</v>
      </c>
      <c r="Y357" t="s">
        <v>45</v>
      </c>
      <c r="Z357" t="s">
        <v>39</v>
      </c>
      <c r="AA357" t="s">
        <v>34</v>
      </c>
      <c r="AB357" t="s">
        <v>35</v>
      </c>
      <c r="AC357" t="s">
        <v>36</v>
      </c>
    </row>
    <row r="358" spans="1:29" x14ac:dyDescent="0.25">
      <c r="A358">
        <v>375</v>
      </c>
      <c r="B358">
        <v>6611</v>
      </c>
      <c r="C358">
        <v>1682</v>
      </c>
      <c r="D358">
        <v>8293</v>
      </c>
      <c r="E358" t="s">
        <v>46</v>
      </c>
      <c r="F358">
        <v>23</v>
      </c>
      <c r="G358" t="s">
        <v>72</v>
      </c>
      <c r="H358" t="s">
        <v>30</v>
      </c>
      <c r="I358">
        <v>2</v>
      </c>
      <c r="J358" t="s">
        <v>62</v>
      </c>
      <c r="K358">
        <v>601</v>
      </c>
      <c r="L358" t="s">
        <v>55</v>
      </c>
      <c r="M358">
        <v>4</v>
      </c>
      <c r="N358" t="s">
        <v>44</v>
      </c>
      <c r="O358">
        <v>0.35</v>
      </c>
      <c r="P358" t="s">
        <v>67</v>
      </c>
      <c r="Q358">
        <v>11986</v>
      </c>
      <c r="R358">
        <v>0</v>
      </c>
      <c r="S358" t="s">
        <v>36</v>
      </c>
      <c r="T358">
        <v>27911</v>
      </c>
      <c r="U358" t="s">
        <v>64</v>
      </c>
      <c r="V358">
        <v>72</v>
      </c>
      <c r="W358">
        <v>6</v>
      </c>
      <c r="X358" t="s">
        <v>42</v>
      </c>
      <c r="Y358" t="s">
        <v>32</v>
      </c>
      <c r="Z358" t="s">
        <v>39</v>
      </c>
      <c r="AA358" t="s">
        <v>34</v>
      </c>
      <c r="AB358" t="s">
        <v>42</v>
      </c>
      <c r="AC358" t="s">
        <v>36</v>
      </c>
    </row>
    <row r="359" spans="1:29" x14ac:dyDescent="0.25">
      <c r="A359">
        <v>376</v>
      </c>
      <c r="B359">
        <v>7878</v>
      </c>
      <c r="C359">
        <v>5626</v>
      </c>
      <c r="D359">
        <v>13504</v>
      </c>
      <c r="E359" t="s">
        <v>29</v>
      </c>
      <c r="F359">
        <v>26</v>
      </c>
      <c r="G359" t="s">
        <v>61</v>
      </c>
      <c r="H359" t="s">
        <v>30</v>
      </c>
      <c r="I359">
        <v>1</v>
      </c>
      <c r="J359" t="s">
        <v>68</v>
      </c>
      <c r="K359">
        <v>738</v>
      </c>
      <c r="L359" t="s">
        <v>63</v>
      </c>
      <c r="M359">
        <v>0</v>
      </c>
      <c r="N359" t="s">
        <v>36</v>
      </c>
      <c r="O359">
        <v>0.5</v>
      </c>
      <c r="P359" t="s">
        <v>70</v>
      </c>
      <c r="Q359">
        <v>12510</v>
      </c>
      <c r="R359">
        <v>3065</v>
      </c>
      <c r="S359" t="s">
        <v>44</v>
      </c>
      <c r="T359">
        <v>18866</v>
      </c>
      <c r="U359" t="s">
        <v>57</v>
      </c>
      <c r="V359">
        <v>24</v>
      </c>
      <c r="W359">
        <v>2</v>
      </c>
      <c r="X359" t="s">
        <v>37</v>
      </c>
      <c r="Y359" t="s">
        <v>32</v>
      </c>
      <c r="Z359" t="s">
        <v>33</v>
      </c>
      <c r="AA359" t="s">
        <v>40</v>
      </c>
      <c r="AB359" t="s">
        <v>35</v>
      </c>
      <c r="AC359" t="s">
        <v>36</v>
      </c>
    </row>
    <row r="360" spans="1:29" x14ac:dyDescent="0.25">
      <c r="A360">
        <v>377</v>
      </c>
      <c r="B360">
        <v>18347</v>
      </c>
      <c r="C360">
        <v>7424</v>
      </c>
      <c r="D360">
        <v>25771</v>
      </c>
      <c r="E360" t="s">
        <v>46</v>
      </c>
      <c r="F360">
        <v>35</v>
      </c>
      <c r="G360" t="s">
        <v>65</v>
      </c>
      <c r="H360" t="s">
        <v>41</v>
      </c>
      <c r="I360">
        <v>3</v>
      </c>
      <c r="J360" t="s">
        <v>58</v>
      </c>
      <c r="K360">
        <v>589</v>
      </c>
      <c r="L360" t="s">
        <v>55</v>
      </c>
      <c r="M360">
        <v>1</v>
      </c>
      <c r="N360" t="s">
        <v>44</v>
      </c>
      <c r="O360">
        <v>0.53</v>
      </c>
      <c r="P360" t="s">
        <v>56</v>
      </c>
      <c r="Q360">
        <v>19464</v>
      </c>
      <c r="R360">
        <v>2036</v>
      </c>
      <c r="S360" t="s">
        <v>44</v>
      </c>
      <c r="T360">
        <v>28621</v>
      </c>
      <c r="U360" t="s">
        <v>64</v>
      </c>
      <c r="V360">
        <v>36</v>
      </c>
      <c r="W360">
        <v>3</v>
      </c>
      <c r="X360" t="s">
        <v>42</v>
      </c>
      <c r="Y360" t="s">
        <v>38</v>
      </c>
      <c r="Z360" t="s">
        <v>39</v>
      </c>
      <c r="AA360" t="s">
        <v>40</v>
      </c>
      <c r="AB360" t="s">
        <v>42</v>
      </c>
      <c r="AC360" t="s">
        <v>36</v>
      </c>
    </row>
    <row r="361" spans="1:29" x14ac:dyDescent="0.25">
      <c r="A361">
        <v>378</v>
      </c>
      <c r="B361">
        <v>2851</v>
      </c>
      <c r="C361">
        <v>933</v>
      </c>
      <c r="D361">
        <v>3784</v>
      </c>
      <c r="E361" t="s">
        <v>29</v>
      </c>
      <c r="F361">
        <v>47</v>
      </c>
      <c r="G361" t="s">
        <v>53</v>
      </c>
      <c r="H361" t="s">
        <v>41</v>
      </c>
      <c r="I361">
        <v>1</v>
      </c>
      <c r="J361" t="s">
        <v>68</v>
      </c>
      <c r="K361">
        <v>715</v>
      </c>
      <c r="L361" t="s">
        <v>63</v>
      </c>
      <c r="M361">
        <v>4</v>
      </c>
      <c r="N361" t="s">
        <v>44</v>
      </c>
      <c r="O361">
        <v>0.38</v>
      </c>
      <c r="P361" t="s">
        <v>67</v>
      </c>
      <c r="Q361">
        <v>9268</v>
      </c>
      <c r="R361">
        <v>35814</v>
      </c>
      <c r="S361" t="s">
        <v>44</v>
      </c>
      <c r="T361">
        <v>13823</v>
      </c>
      <c r="U361" t="s">
        <v>57</v>
      </c>
      <c r="V361">
        <v>84</v>
      </c>
      <c r="W361">
        <v>7</v>
      </c>
      <c r="X361" t="s">
        <v>37</v>
      </c>
      <c r="Y361" t="s">
        <v>32</v>
      </c>
      <c r="Z361" t="s">
        <v>39</v>
      </c>
      <c r="AA361" t="s">
        <v>34</v>
      </c>
      <c r="AB361" t="s">
        <v>48</v>
      </c>
      <c r="AC361" t="s">
        <v>36</v>
      </c>
    </row>
    <row r="362" spans="1:29" x14ac:dyDescent="0.25">
      <c r="A362">
        <v>379</v>
      </c>
      <c r="B362">
        <v>8833</v>
      </c>
      <c r="C362">
        <v>3598</v>
      </c>
      <c r="D362">
        <v>12431</v>
      </c>
      <c r="E362" t="s">
        <v>29</v>
      </c>
      <c r="F362">
        <v>30</v>
      </c>
      <c r="G362" t="s">
        <v>61</v>
      </c>
      <c r="H362" t="s">
        <v>30</v>
      </c>
      <c r="I362">
        <v>2</v>
      </c>
      <c r="J362" t="s">
        <v>62</v>
      </c>
      <c r="K362">
        <v>720</v>
      </c>
      <c r="L362" t="s">
        <v>63</v>
      </c>
      <c r="M362">
        <v>2</v>
      </c>
      <c r="N362" t="s">
        <v>44</v>
      </c>
      <c r="O362">
        <v>0.51</v>
      </c>
      <c r="P362" t="s">
        <v>56</v>
      </c>
      <c r="Q362">
        <v>502</v>
      </c>
      <c r="R362">
        <v>16924</v>
      </c>
      <c r="S362" t="s">
        <v>44</v>
      </c>
      <c r="T362">
        <v>30986</v>
      </c>
      <c r="U362" t="s">
        <v>64</v>
      </c>
      <c r="V362">
        <v>24</v>
      </c>
      <c r="W362">
        <v>2</v>
      </c>
      <c r="X362" t="s">
        <v>47</v>
      </c>
      <c r="Y362" t="s">
        <v>32</v>
      </c>
      <c r="Z362" t="s">
        <v>33</v>
      </c>
      <c r="AA362" t="s">
        <v>34</v>
      </c>
      <c r="AB362" t="s">
        <v>42</v>
      </c>
      <c r="AC362" t="s">
        <v>36</v>
      </c>
    </row>
    <row r="363" spans="1:29" x14ac:dyDescent="0.25">
      <c r="A363">
        <v>380</v>
      </c>
      <c r="B363">
        <v>13938</v>
      </c>
      <c r="C363">
        <v>1980</v>
      </c>
      <c r="D363">
        <v>15918</v>
      </c>
      <c r="E363" t="s">
        <v>49</v>
      </c>
      <c r="F363">
        <v>29</v>
      </c>
      <c r="G363" t="s">
        <v>61</v>
      </c>
      <c r="H363" t="s">
        <v>30</v>
      </c>
      <c r="I363">
        <v>1</v>
      </c>
      <c r="J363" t="s">
        <v>68</v>
      </c>
      <c r="K363">
        <v>612</v>
      </c>
      <c r="L363" t="s">
        <v>55</v>
      </c>
      <c r="M363">
        <v>0</v>
      </c>
      <c r="N363" t="s">
        <v>36</v>
      </c>
      <c r="O363">
        <v>0.25</v>
      </c>
      <c r="P363" t="s">
        <v>59</v>
      </c>
      <c r="Q363">
        <v>9531</v>
      </c>
      <c r="R363">
        <v>32844</v>
      </c>
      <c r="S363" t="s">
        <v>44</v>
      </c>
      <c r="T363">
        <v>15690</v>
      </c>
      <c r="U363" t="s">
        <v>57</v>
      </c>
      <c r="V363">
        <v>48</v>
      </c>
      <c r="W363">
        <v>4</v>
      </c>
      <c r="X363" t="s">
        <v>42</v>
      </c>
      <c r="Y363" t="s">
        <v>32</v>
      </c>
      <c r="Z363" t="s">
        <v>39</v>
      </c>
      <c r="AA363" t="s">
        <v>34</v>
      </c>
      <c r="AB363" t="s">
        <v>35</v>
      </c>
      <c r="AC363" t="s">
        <v>36</v>
      </c>
    </row>
    <row r="364" spans="1:29" x14ac:dyDescent="0.25">
      <c r="A364">
        <v>381</v>
      </c>
      <c r="B364">
        <v>4427</v>
      </c>
      <c r="C364">
        <v>3056</v>
      </c>
      <c r="D364">
        <v>7483</v>
      </c>
      <c r="E364" t="s">
        <v>29</v>
      </c>
      <c r="F364">
        <v>53</v>
      </c>
      <c r="G364" t="s">
        <v>53</v>
      </c>
      <c r="H364" t="s">
        <v>41</v>
      </c>
      <c r="I364">
        <v>0</v>
      </c>
      <c r="J364" t="s">
        <v>54</v>
      </c>
      <c r="K364">
        <v>696</v>
      </c>
      <c r="L364" t="s">
        <v>63</v>
      </c>
      <c r="M364">
        <v>3</v>
      </c>
      <c r="N364" t="s">
        <v>44</v>
      </c>
      <c r="O364">
        <v>0.3</v>
      </c>
      <c r="P364" t="s">
        <v>59</v>
      </c>
      <c r="Q364">
        <v>8009</v>
      </c>
      <c r="R364">
        <v>48648</v>
      </c>
      <c r="S364" t="s">
        <v>44</v>
      </c>
      <c r="T364">
        <v>0</v>
      </c>
      <c r="U364" t="s">
        <v>73</v>
      </c>
      <c r="V364">
        <v>24</v>
      </c>
      <c r="W364">
        <v>2</v>
      </c>
      <c r="X364" t="s">
        <v>37</v>
      </c>
      <c r="Y364" t="s">
        <v>32</v>
      </c>
      <c r="Z364" t="s">
        <v>33</v>
      </c>
      <c r="AA364" t="s">
        <v>40</v>
      </c>
      <c r="AB364" t="s">
        <v>51</v>
      </c>
      <c r="AC364" t="s">
        <v>44</v>
      </c>
    </row>
    <row r="365" spans="1:29" x14ac:dyDescent="0.25">
      <c r="A365">
        <v>382</v>
      </c>
      <c r="B365">
        <v>6000</v>
      </c>
      <c r="C365">
        <v>8984</v>
      </c>
      <c r="D365">
        <v>14984</v>
      </c>
      <c r="E365" t="s">
        <v>29</v>
      </c>
      <c r="F365">
        <v>52</v>
      </c>
      <c r="G365" t="s">
        <v>53</v>
      </c>
      <c r="H365" t="s">
        <v>41</v>
      </c>
      <c r="I365">
        <v>1</v>
      </c>
      <c r="J365" t="s">
        <v>68</v>
      </c>
      <c r="K365">
        <v>777</v>
      </c>
      <c r="L365" t="s">
        <v>71</v>
      </c>
      <c r="M365">
        <v>1</v>
      </c>
      <c r="N365" t="s">
        <v>44</v>
      </c>
      <c r="O365">
        <v>0.26</v>
      </c>
      <c r="P365" t="s">
        <v>59</v>
      </c>
      <c r="Q365">
        <v>17007</v>
      </c>
      <c r="R365">
        <v>16407</v>
      </c>
      <c r="S365" t="s">
        <v>44</v>
      </c>
      <c r="T365">
        <v>22303</v>
      </c>
      <c r="U365" t="s">
        <v>64</v>
      </c>
      <c r="V365">
        <v>48</v>
      </c>
      <c r="W365">
        <v>4</v>
      </c>
      <c r="X365" t="s">
        <v>31</v>
      </c>
      <c r="Y365" t="s">
        <v>38</v>
      </c>
      <c r="Z365" t="s">
        <v>39</v>
      </c>
      <c r="AA365" t="s">
        <v>40</v>
      </c>
      <c r="AB365" t="s">
        <v>35</v>
      </c>
      <c r="AC365" t="s">
        <v>44</v>
      </c>
    </row>
    <row r="366" spans="1:29" x14ac:dyDescent="0.25">
      <c r="A366">
        <v>383</v>
      </c>
      <c r="B366">
        <v>7052</v>
      </c>
      <c r="C366">
        <v>791</v>
      </c>
      <c r="D366">
        <v>7843</v>
      </c>
      <c r="E366" t="s">
        <v>48</v>
      </c>
      <c r="F366">
        <v>26</v>
      </c>
      <c r="G366" t="s">
        <v>61</v>
      </c>
      <c r="H366" t="s">
        <v>30</v>
      </c>
      <c r="I366">
        <v>1</v>
      </c>
      <c r="J366" t="s">
        <v>68</v>
      </c>
      <c r="K366">
        <v>599</v>
      </c>
      <c r="L366" t="s">
        <v>55</v>
      </c>
      <c r="M366">
        <v>0</v>
      </c>
      <c r="N366" t="s">
        <v>36</v>
      </c>
      <c r="O366">
        <v>0.33</v>
      </c>
      <c r="P366" t="s">
        <v>67</v>
      </c>
      <c r="Q366">
        <v>11542</v>
      </c>
      <c r="R366">
        <v>21518</v>
      </c>
      <c r="S366" t="s">
        <v>44</v>
      </c>
      <c r="T366">
        <v>37533</v>
      </c>
      <c r="U366" t="s">
        <v>60</v>
      </c>
      <c r="V366">
        <v>48</v>
      </c>
      <c r="W366">
        <v>4</v>
      </c>
      <c r="X366" t="s">
        <v>31</v>
      </c>
      <c r="Y366" t="s">
        <v>32</v>
      </c>
      <c r="Z366" t="s">
        <v>39</v>
      </c>
      <c r="AA366" t="s">
        <v>40</v>
      </c>
      <c r="AB366" t="s">
        <v>35</v>
      </c>
      <c r="AC366" t="s">
        <v>36</v>
      </c>
    </row>
    <row r="367" spans="1:29" x14ac:dyDescent="0.25">
      <c r="A367">
        <v>385</v>
      </c>
      <c r="B367">
        <v>0</v>
      </c>
      <c r="C367">
        <v>6635</v>
      </c>
      <c r="D367">
        <v>6635</v>
      </c>
      <c r="E367" t="s">
        <v>29</v>
      </c>
      <c r="F367">
        <v>22</v>
      </c>
      <c r="G367" t="s">
        <v>72</v>
      </c>
      <c r="H367" t="s">
        <v>30</v>
      </c>
      <c r="I367">
        <v>0</v>
      </c>
      <c r="J367" t="s">
        <v>54</v>
      </c>
      <c r="K367">
        <v>690</v>
      </c>
      <c r="L367" t="s">
        <v>63</v>
      </c>
      <c r="M367">
        <v>1</v>
      </c>
      <c r="N367" t="s">
        <v>44</v>
      </c>
      <c r="O367">
        <v>0.57999999999999996</v>
      </c>
      <c r="P367" t="s">
        <v>56</v>
      </c>
      <c r="Q367">
        <v>0</v>
      </c>
      <c r="R367">
        <v>23052</v>
      </c>
      <c r="S367" t="s">
        <v>44</v>
      </c>
      <c r="T367">
        <v>36595</v>
      </c>
      <c r="U367" t="s">
        <v>60</v>
      </c>
      <c r="V367">
        <v>24</v>
      </c>
      <c r="W367">
        <v>2</v>
      </c>
      <c r="X367" t="s">
        <v>42</v>
      </c>
      <c r="Y367" t="s">
        <v>38</v>
      </c>
      <c r="Z367" t="s">
        <v>33</v>
      </c>
      <c r="AA367" t="s">
        <v>34</v>
      </c>
      <c r="AB367" t="s">
        <v>35</v>
      </c>
      <c r="AC367" t="s">
        <v>36</v>
      </c>
    </row>
    <row r="368" spans="1:29" x14ac:dyDescent="0.25">
      <c r="A368">
        <v>386</v>
      </c>
      <c r="B368">
        <v>10002</v>
      </c>
      <c r="C368">
        <v>2255</v>
      </c>
      <c r="D368">
        <v>12257</v>
      </c>
      <c r="E368" t="s">
        <v>48</v>
      </c>
      <c r="F368">
        <v>49</v>
      </c>
      <c r="G368" t="s">
        <v>53</v>
      </c>
      <c r="H368" t="s">
        <v>41</v>
      </c>
      <c r="I368">
        <v>2</v>
      </c>
      <c r="J368" t="s">
        <v>62</v>
      </c>
      <c r="K368">
        <v>627</v>
      </c>
      <c r="L368" t="s">
        <v>55</v>
      </c>
      <c r="M368">
        <v>2</v>
      </c>
      <c r="N368" t="s">
        <v>44</v>
      </c>
      <c r="O368">
        <v>0.26</v>
      </c>
      <c r="P368" t="s">
        <v>59</v>
      </c>
      <c r="Q368">
        <v>13435</v>
      </c>
      <c r="R368">
        <v>4267</v>
      </c>
      <c r="S368" t="s">
        <v>44</v>
      </c>
      <c r="T368">
        <v>3058</v>
      </c>
      <c r="U368" t="s">
        <v>73</v>
      </c>
      <c r="V368">
        <v>24</v>
      </c>
      <c r="W368">
        <v>2</v>
      </c>
      <c r="X368" t="s">
        <v>42</v>
      </c>
      <c r="Y368" t="s">
        <v>32</v>
      </c>
      <c r="Z368" t="s">
        <v>33</v>
      </c>
      <c r="AA368" t="s">
        <v>40</v>
      </c>
      <c r="AB368" t="s">
        <v>42</v>
      </c>
      <c r="AC368" t="s">
        <v>36</v>
      </c>
    </row>
    <row r="369" spans="1:29" x14ac:dyDescent="0.25">
      <c r="A369">
        <v>387</v>
      </c>
      <c r="B369">
        <v>7536</v>
      </c>
      <c r="C369">
        <v>3610</v>
      </c>
      <c r="D369">
        <v>11146</v>
      </c>
      <c r="E369" t="s">
        <v>29</v>
      </c>
      <c r="F369">
        <v>24</v>
      </c>
      <c r="G369" t="s">
        <v>72</v>
      </c>
      <c r="H369" t="s">
        <v>30</v>
      </c>
      <c r="I369">
        <v>1</v>
      </c>
      <c r="J369" t="s">
        <v>68</v>
      </c>
      <c r="K369">
        <v>797</v>
      </c>
      <c r="L369" t="s">
        <v>71</v>
      </c>
      <c r="M369">
        <v>1</v>
      </c>
      <c r="N369" t="s">
        <v>44</v>
      </c>
      <c r="O369">
        <v>0.15</v>
      </c>
      <c r="P369" t="s">
        <v>59</v>
      </c>
      <c r="Q369">
        <v>4114</v>
      </c>
      <c r="R369">
        <v>5988</v>
      </c>
      <c r="S369" t="s">
        <v>44</v>
      </c>
      <c r="T369">
        <v>12519</v>
      </c>
      <c r="U369" t="s">
        <v>57</v>
      </c>
      <c r="V369">
        <v>60</v>
      </c>
      <c r="W369">
        <v>5</v>
      </c>
      <c r="X369" t="s">
        <v>47</v>
      </c>
      <c r="Y369" t="s">
        <v>32</v>
      </c>
      <c r="Z369" t="s">
        <v>39</v>
      </c>
      <c r="AA369" t="s">
        <v>40</v>
      </c>
      <c r="AB369" t="s">
        <v>48</v>
      </c>
      <c r="AC369" t="s">
        <v>44</v>
      </c>
    </row>
    <row r="370" spans="1:29" x14ac:dyDescent="0.25">
      <c r="A370">
        <v>388</v>
      </c>
      <c r="B370">
        <v>0</v>
      </c>
      <c r="C370">
        <v>1607</v>
      </c>
      <c r="D370">
        <v>1607</v>
      </c>
      <c r="E370" t="s">
        <v>49</v>
      </c>
      <c r="F370">
        <v>21</v>
      </c>
      <c r="G370" t="s">
        <v>72</v>
      </c>
      <c r="H370" t="s">
        <v>30</v>
      </c>
      <c r="I370">
        <v>3</v>
      </c>
      <c r="J370" t="s">
        <v>58</v>
      </c>
      <c r="K370">
        <v>646</v>
      </c>
      <c r="L370" t="s">
        <v>55</v>
      </c>
      <c r="M370">
        <v>1</v>
      </c>
      <c r="N370" t="s">
        <v>44</v>
      </c>
      <c r="O370">
        <v>0.36</v>
      </c>
      <c r="P370" t="s">
        <v>67</v>
      </c>
      <c r="Q370">
        <v>13568</v>
      </c>
      <c r="R370">
        <v>27974</v>
      </c>
      <c r="S370" t="s">
        <v>44</v>
      </c>
      <c r="T370">
        <v>32115</v>
      </c>
      <c r="U370" t="s">
        <v>64</v>
      </c>
      <c r="V370">
        <v>84</v>
      </c>
      <c r="W370">
        <v>7</v>
      </c>
      <c r="X370" t="s">
        <v>47</v>
      </c>
      <c r="Y370" t="s">
        <v>38</v>
      </c>
      <c r="Z370" t="s">
        <v>39</v>
      </c>
      <c r="AA370" t="s">
        <v>34</v>
      </c>
      <c r="AB370" t="s">
        <v>48</v>
      </c>
      <c r="AC370" t="s">
        <v>36</v>
      </c>
    </row>
    <row r="371" spans="1:29" x14ac:dyDescent="0.25">
      <c r="A371">
        <v>389</v>
      </c>
      <c r="B371">
        <v>5913</v>
      </c>
      <c r="C371">
        <v>5179</v>
      </c>
      <c r="D371">
        <v>11092</v>
      </c>
      <c r="E371" t="s">
        <v>48</v>
      </c>
      <c r="F371">
        <v>39</v>
      </c>
      <c r="G371" t="s">
        <v>65</v>
      </c>
      <c r="H371" t="s">
        <v>41</v>
      </c>
      <c r="I371">
        <v>1</v>
      </c>
      <c r="J371" t="s">
        <v>68</v>
      </c>
      <c r="K371">
        <v>739</v>
      </c>
      <c r="L371" t="s">
        <v>63</v>
      </c>
      <c r="M371">
        <v>2</v>
      </c>
      <c r="N371" t="s">
        <v>44</v>
      </c>
      <c r="O371">
        <v>0.13</v>
      </c>
      <c r="P371" t="s">
        <v>59</v>
      </c>
      <c r="Q371">
        <v>3367</v>
      </c>
      <c r="R371">
        <v>24036</v>
      </c>
      <c r="S371" t="s">
        <v>44</v>
      </c>
      <c r="T371">
        <v>1730</v>
      </c>
      <c r="U371" t="s">
        <v>73</v>
      </c>
      <c r="V371">
        <v>60</v>
      </c>
      <c r="W371">
        <v>5</v>
      </c>
      <c r="X371" t="s">
        <v>50</v>
      </c>
      <c r="Y371" t="s">
        <v>32</v>
      </c>
      <c r="Z371" t="s">
        <v>39</v>
      </c>
      <c r="AA371" t="s">
        <v>34</v>
      </c>
      <c r="AB371" t="s">
        <v>35</v>
      </c>
      <c r="AC371" t="s">
        <v>44</v>
      </c>
    </row>
    <row r="372" spans="1:29" x14ac:dyDescent="0.25">
      <c r="A372">
        <v>390</v>
      </c>
      <c r="B372">
        <v>19450</v>
      </c>
      <c r="C372">
        <v>6573</v>
      </c>
      <c r="D372">
        <v>26023</v>
      </c>
      <c r="E372" t="s">
        <v>48</v>
      </c>
      <c r="F372">
        <v>46</v>
      </c>
      <c r="G372" t="s">
        <v>53</v>
      </c>
      <c r="H372" t="s">
        <v>30</v>
      </c>
      <c r="I372">
        <v>2</v>
      </c>
      <c r="J372" t="s">
        <v>62</v>
      </c>
      <c r="K372">
        <v>770</v>
      </c>
      <c r="L372" t="s">
        <v>71</v>
      </c>
      <c r="M372">
        <v>2</v>
      </c>
      <c r="N372" t="s">
        <v>44</v>
      </c>
      <c r="O372">
        <v>0.16</v>
      </c>
      <c r="P372" t="s">
        <v>59</v>
      </c>
      <c r="Q372">
        <v>8095</v>
      </c>
      <c r="R372">
        <v>8680</v>
      </c>
      <c r="S372" t="s">
        <v>44</v>
      </c>
      <c r="T372">
        <v>2832</v>
      </c>
      <c r="U372" t="s">
        <v>73</v>
      </c>
      <c r="V372">
        <v>12</v>
      </c>
      <c r="W372">
        <v>1</v>
      </c>
      <c r="X372" t="s">
        <v>47</v>
      </c>
      <c r="Y372" t="s">
        <v>45</v>
      </c>
      <c r="Z372" t="s">
        <v>39</v>
      </c>
      <c r="AA372" t="s">
        <v>40</v>
      </c>
      <c r="AB372" t="s">
        <v>48</v>
      </c>
      <c r="AC372" t="s">
        <v>44</v>
      </c>
    </row>
    <row r="373" spans="1:29" x14ac:dyDescent="0.25">
      <c r="A373">
        <v>391</v>
      </c>
      <c r="B373">
        <v>12636</v>
      </c>
      <c r="C373">
        <v>984</v>
      </c>
      <c r="D373">
        <v>13620</v>
      </c>
      <c r="E373" t="s">
        <v>46</v>
      </c>
      <c r="F373">
        <v>45</v>
      </c>
      <c r="G373" t="s">
        <v>53</v>
      </c>
      <c r="H373" t="s">
        <v>30</v>
      </c>
      <c r="I373">
        <v>3</v>
      </c>
      <c r="J373" t="s">
        <v>58</v>
      </c>
      <c r="K373">
        <v>592</v>
      </c>
      <c r="L373" t="s">
        <v>55</v>
      </c>
      <c r="M373">
        <v>1</v>
      </c>
      <c r="N373" t="s">
        <v>44</v>
      </c>
      <c r="O373">
        <v>0.21</v>
      </c>
      <c r="P373" t="s">
        <v>59</v>
      </c>
      <c r="Q373">
        <v>5141</v>
      </c>
      <c r="R373">
        <v>1485</v>
      </c>
      <c r="S373" t="s">
        <v>44</v>
      </c>
      <c r="T373">
        <v>23889</v>
      </c>
      <c r="U373" t="s">
        <v>64</v>
      </c>
      <c r="V373">
        <v>48</v>
      </c>
      <c r="W373">
        <v>4</v>
      </c>
      <c r="X373" t="s">
        <v>42</v>
      </c>
      <c r="Y373" t="s">
        <v>45</v>
      </c>
      <c r="Z373" t="s">
        <v>39</v>
      </c>
      <c r="AA373" t="s">
        <v>40</v>
      </c>
      <c r="AB373" t="s">
        <v>35</v>
      </c>
      <c r="AC373" t="s">
        <v>36</v>
      </c>
    </row>
    <row r="374" spans="1:29" x14ac:dyDescent="0.25">
      <c r="A374">
        <v>392</v>
      </c>
      <c r="B374">
        <v>7726</v>
      </c>
      <c r="C374">
        <v>5776</v>
      </c>
      <c r="D374">
        <v>13502</v>
      </c>
      <c r="E374" t="s">
        <v>29</v>
      </c>
      <c r="F374">
        <v>30</v>
      </c>
      <c r="G374" t="s">
        <v>61</v>
      </c>
      <c r="H374" t="s">
        <v>30</v>
      </c>
      <c r="I374">
        <v>2</v>
      </c>
      <c r="J374" t="s">
        <v>62</v>
      </c>
      <c r="K374">
        <v>726</v>
      </c>
      <c r="L374" t="s">
        <v>63</v>
      </c>
      <c r="M374">
        <v>2</v>
      </c>
      <c r="N374" t="s">
        <v>44</v>
      </c>
      <c r="O374">
        <v>0.33</v>
      </c>
      <c r="P374" t="s">
        <v>67</v>
      </c>
      <c r="Q374">
        <v>3951</v>
      </c>
      <c r="R374">
        <v>14713</v>
      </c>
      <c r="S374" t="s">
        <v>44</v>
      </c>
      <c r="T374">
        <v>5179</v>
      </c>
      <c r="U374" t="s">
        <v>57</v>
      </c>
      <c r="V374">
        <v>36</v>
      </c>
      <c r="W374">
        <v>3</v>
      </c>
      <c r="X374" t="s">
        <v>50</v>
      </c>
      <c r="Y374" t="s">
        <v>32</v>
      </c>
      <c r="Z374" t="s">
        <v>39</v>
      </c>
      <c r="AA374" t="s">
        <v>34</v>
      </c>
      <c r="AB374" t="s">
        <v>35</v>
      </c>
      <c r="AC374" t="s">
        <v>44</v>
      </c>
    </row>
    <row r="375" spans="1:29" x14ac:dyDescent="0.25">
      <c r="A375">
        <v>393</v>
      </c>
      <c r="B375">
        <v>5373</v>
      </c>
      <c r="C375">
        <v>3676</v>
      </c>
      <c r="D375">
        <v>9049</v>
      </c>
      <c r="E375" t="s">
        <v>29</v>
      </c>
      <c r="F375">
        <v>35</v>
      </c>
      <c r="G375" t="s">
        <v>65</v>
      </c>
      <c r="H375" t="s">
        <v>30</v>
      </c>
      <c r="I375">
        <v>0</v>
      </c>
      <c r="J375" t="s">
        <v>54</v>
      </c>
      <c r="K375">
        <v>585</v>
      </c>
      <c r="L375" t="s">
        <v>55</v>
      </c>
      <c r="M375">
        <v>0</v>
      </c>
      <c r="N375" t="s">
        <v>36</v>
      </c>
      <c r="O375">
        <v>0.32</v>
      </c>
      <c r="P375" t="s">
        <v>67</v>
      </c>
      <c r="Q375">
        <v>14887</v>
      </c>
      <c r="R375">
        <v>20043</v>
      </c>
      <c r="S375" t="s">
        <v>44</v>
      </c>
      <c r="T375">
        <v>7299</v>
      </c>
      <c r="U375" t="s">
        <v>57</v>
      </c>
      <c r="V375">
        <v>60</v>
      </c>
      <c r="W375">
        <v>5</v>
      </c>
      <c r="X375" t="s">
        <v>47</v>
      </c>
      <c r="Y375" t="s">
        <v>38</v>
      </c>
      <c r="Z375" t="s">
        <v>39</v>
      </c>
      <c r="AA375" t="s">
        <v>40</v>
      </c>
      <c r="AB375" t="s">
        <v>35</v>
      </c>
      <c r="AC375" t="s">
        <v>36</v>
      </c>
    </row>
    <row r="376" spans="1:29" x14ac:dyDescent="0.25">
      <c r="A376">
        <v>394</v>
      </c>
      <c r="B376">
        <v>14161</v>
      </c>
      <c r="C376">
        <v>3380</v>
      </c>
      <c r="D376">
        <v>17541</v>
      </c>
      <c r="E376" t="s">
        <v>49</v>
      </c>
      <c r="F376">
        <v>42</v>
      </c>
      <c r="G376" t="s">
        <v>65</v>
      </c>
      <c r="H376" t="s">
        <v>30</v>
      </c>
      <c r="I376">
        <v>0</v>
      </c>
      <c r="J376" t="s">
        <v>54</v>
      </c>
      <c r="K376">
        <v>671</v>
      </c>
      <c r="L376" t="s">
        <v>63</v>
      </c>
      <c r="M376">
        <v>2</v>
      </c>
      <c r="N376" t="s">
        <v>44</v>
      </c>
      <c r="O376">
        <v>0.5</v>
      </c>
      <c r="P376" t="s">
        <v>70</v>
      </c>
      <c r="Q376">
        <v>1573</v>
      </c>
      <c r="R376">
        <v>2419</v>
      </c>
      <c r="S376" t="s">
        <v>44</v>
      </c>
      <c r="T376">
        <v>8830</v>
      </c>
      <c r="U376" t="s">
        <v>57</v>
      </c>
      <c r="V376">
        <v>24</v>
      </c>
      <c r="W376">
        <v>2</v>
      </c>
      <c r="X376" t="s">
        <v>37</v>
      </c>
      <c r="Y376" t="s">
        <v>32</v>
      </c>
      <c r="Z376" t="s">
        <v>39</v>
      </c>
      <c r="AA376" t="s">
        <v>40</v>
      </c>
      <c r="AB376" t="s">
        <v>35</v>
      </c>
      <c r="AC376" t="s">
        <v>36</v>
      </c>
    </row>
    <row r="377" spans="1:29" x14ac:dyDescent="0.25">
      <c r="A377">
        <v>395</v>
      </c>
      <c r="B377">
        <v>4082</v>
      </c>
      <c r="C377">
        <v>8711</v>
      </c>
      <c r="D377">
        <v>12793</v>
      </c>
      <c r="E377" t="s">
        <v>49</v>
      </c>
      <c r="F377">
        <v>41</v>
      </c>
      <c r="G377" t="s">
        <v>65</v>
      </c>
      <c r="H377" t="s">
        <v>30</v>
      </c>
      <c r="I377">
        <v>3</v>
      </c>
      <c r="J377" t="s">
        <v>58</v>
      </c>
      <c r="K377">
        <v>657</v>
      </c>
      <c r="L377" t="s">
        <v>55</v>
      </c>
      <c r="M377">
        <v>2</v>
      </c>
      <c r="N377" t="s">
        <v>44</v>
      </c>
      <c r="O377">
        <v>0.47</v>
      </c>
      <c r="P377" t="s">
        <v>70</v>
      </c>
      <c r="Q377">
        <v>13359</v>
      </c>
      <c r="R377">
        <v>48080</v>
      </c>
      <c r="S377" t="s">
        <v>44</v>
      </c>
      <c r="T377">
        <v>38570</v>
      </c>
      <c r="U377" t="s">
        <v>60</v>
      </c>
      <c r="V377">
        <v>12</v>
      </c>
      <c r="W377">
        <v>1</v>
      </c>
      <c r="X377" t="s">
        <v>31</v>
      </c>
      <c r="Y377" t="s">
        <v>32</v>
      </c>
      <c r="Z377" t="s">
        <v>39</v>
      </c>
      <c r="AA377" t="s">
        <v>40</v>
      </c>
      <c r="AB377" t="s">
        <v>35</v>
      </c>
      <c r="AC377" t="s">
        <v>36</v>
      </c>
    </row>
    <row r="378" spans="1:29" x14ac:dyDescent="0.25">
      <c r="A378">
        <v>396</v>
      </c>
      <c r="B378">
        <v>18281</v>
      </c>
      <c r="C378">
        <v>8782</v>
      </c>
      <c r="D378">
        <v>27063</v>
      </c>
      <c r="E378" t="s">
        <v>46</v>
      </c>
      <c r="F378">
        <v>42</v>
      </c>
      <c r="G378" t="s">
        <v>65</v>
      </c>
      <c r="H378" t="s">
        <v>30</v>
      </c>
      <c r="I378">
        <v>1</v>
      </c>
      <c r="J378" t="s">
        <v>68</v>
      </c>
      <c r="K378">
        <v>559</v>
      </c>
      <c r="L378" t="s">
        <v>66</v>
      </c>
      <c r="M378">
        <v>1</v>
      </c>
      <c r="N378" t="s">
        <v>44</v>
      </c>
      <c r="O378">
        <v>0.31</v>
      </c>
      <c r="P378" t="s">
        <v>67</v>
      </c>
      <c r="Q378">
        <v>19018</v>
      </c>
      <c r="R378">
        <v>36263</v>
      </c>
      <c r="S378" t="s">
        <v>44</v>
      </c>
      <c r="T378">
        <v>23441</v>
      </c>
      <c r="U378" t="s">
        <v>64</v>
      </c>
      <c r="V378">
        <v>36</v>
      </c>
      <c r="W378">
        <v>3</v>
      </c>
      <c r="X378" t="s">
        <v>47</v>
      </c>
      <c r="Y378" t="s">
        <v>32</v>
      </c>
      <c r="Z378" t="s">
        <v>33</v>
      </c>
      <c r="AA378" t="s">
        <v>40</v>
      </c>
      <c r="AB378" t="s">
        <v>51</v>
      </c>
      <c r="AC378" t="s">
        <v>36</v>
      </c>
    </row>
    <row r="379" spans="1:29" x14ac:dyDescent="0.25">
      <c r="A379">
        <v>397</v>
      </c>
      <c r="B379">
        <v>17305</v>
      </c>
      <c r="C379">
        <v>1050</v>
      </c>
      <c r="D379">
        <v>18355</v>
      </c>
      <c r="E379" t="s">
        <v>29</v>
      </c>
      <c r="F379">
        <v>56</v>
      </c>
      <c r="G379" t="s">
        <v>69</v>
      </c>
      <c r="H379" t="s">
        <v>30</v>
      </c>
      <c r="I379">
        <v>2</v>
      </c>
      <c r="J379" t="s">
        <v>62</v>
      </c>
      <c r="K379">
        <v>644</v>
      </c>
      <c r="L379" t="s">
        <v>55</v>
      </c>
      <c r="M379">
        <v>0</v>
      </c>
      <c r="N379" t="s">
        <v>36</v>
      </c>
      <c r="O379">
        <v>0.27</v>
      </c>
      <c r="P379" t="s">
        <v>59</v>
      </c>
      <c r="Q379">
        <v>2768</v>
      </c>
      <c r="R379">
        <v>17140</v>
      </c>
      <c r="S379" t="s">
        <v>44</v>
      </c>
      <c r="T379">
        <v>7615</v>
      </c>
      <c r="U379" t="s">
        <v>57</v>
      </c>
      <c r="V379">
        <v>72</v>
      </c>
      <c r="W379">
        <v>6</v>
      </c>
      <c r="X379" t="s">
        <v>47</v>
      </c>
      <c r="Y379" t="s">
        <v>32</v>
      </c>
      <c r="Z379" t="s">
        <v>33</v>
      </c>
      <c r="AA379" t="s">
        <v>40</v>
      </c>
      <c r="AB379" t="s">
        <v>35</v>
      </c>
      <c r="AC379" t="s">
        <v>36</v>
      </c>
    </row>
    <row r="380" spans="1:29" x14ac:dyDescent="0.25">
      <c r="A380">
        <v>398</v>
      </c>
      <c r="B380">
        <v>11817</v>
      </c>
      <c r="C380">
        <v>0</v>
      </c>
      <c r="D380">
        <v>11817</v>
      </c>
      <c r="E380" t="s">
        <v>29</v>
      </c>
      <c r="F380">
        <v>54</v>
      </c>
      <c r="G380" t="s">
        <v>53</v>
      </c>
      <c r="H380" t="s">
        <v>41</v>
      </c>
      <c r="I380">
        <v>1</v>
      </c>
      <c r="J380" t="s">
        <v>68</v>
      </c>
      <c r="K380">
        <v>555</v>
      </c>
      <c r="L380" t="s">
        <v>66</v>
      </c>
      <c r="M380">
        <v>3</v>
      </c>
      <c r="N380" t="s">
        <v>44</v>
      </c>
      <c r="O380">
        <v>0.26</v>
      </c>
      <c r="P380" t="s">
        <v>59</v>
      </c>
      <c r="Q380">
        <v>5302</v>
      </c>
      <c r="R380">
        <v>43484</v>
      </c>
      <c r="S380" t="s">
        <v>44</v>
      </c>
      <c r="T380">
        <v>7762</v>
      </c>
      <c r="U380" t="s">
        <v>57</v>
      </c>
      <c r="V380">
        <v>24</v>
      </c>
      <c r="W380">
        <v>2</v>
      </c>
      <c r="X380" t="s">
        <v>37</v>
      </c>
      <c r="Y380" t="s">
        <v>38</v>
      </c>
      <c r="Z380" t="s">
        <v>39</v>
      </c>
      <c r="AA380" t="s">
        <v>34</v>
      </c>
      <c r="AB380" t="s">
        <v>35</v>
      </c>
      <c r="AC380" t="s">
        <v>36</v>
      </c>
    </row>
    <row r="381" spans="1:29" x14ac:dyDescent="0.25">
      <c r="A381">
        <v>399</v>
      </c>
      <c r="B381">
        <v>13261</v>
      </c>
      <c r="C381">
        <v>6342</v>
      </c>
      <c r="D381">
        <v>19603</v>
      </c>
      <c r="E381" t="s">
        <v>29</v>
      </c>
      <c r="F381">
        <v>50</v>
      </c>
      <c r="G381" t="s">
        <v>53</v>
      </c>
      <c r="H381" t="s">
        <v>41</v>
      </c>
      <c r="I381">
        <v>0</v>
      </c>
      <c r="J381" t="s">
        <v>54</v>
      </c>
      <c r="K381">
        <v>606</v>
      </c>
      <c r="L381" t="s">
        <v>55</v>
      </c>
      <c r="M381">
        <v>3</v>
      </c>
      <c r="N381" t="s">
        <v>44</v>
      </c>
      <c r="O381">
        <v>0.49</v>
      </c>
      <c r="P381" t="s">
        <v>70</v>
      </c>
      <c r="Q381">
        <v>13746</v>
      </c>
      <c r="R381">
        <v>45210</v>
      </c>
      <c r="S381" t="s">
        <v>44</v>
      </c>
      <c r="T381">
        <v>39311</v>
      </c>
      <c r="U381" t="s">
        <v>60</v>
      </c>
      <c r="V381">
        <v>24</v>
      </c>
      <c r="W381">
        <v>2</v>
      </c>
      <c r="X381" t="s">
        <v>42</v>
      </c>
      <c r="Y381" t="s">
        <v>45</v>
      </c>
      <c r="Z381" t="s">
        <v>39</v>
      </c>
      <c r="AA381" t="s">
        <v>34</v>
      </c>
      <c r="AB381" t="s">
        <v>48</v>
      </c>
      <c r="AC381" t="s">
        <v>36</v>
      </c>
    </row>
    <row r="382" spans="1:29" x14ac:dyDescent="0.25">
      <c r="A382">
        <v>400</v>
      </c>
      <c r="B382">
        <v>2417</v>
      </c>
      <c r="C382">
        <v>959</v>
      </c>
      <c r="D382">
        <v>3376</v>
      </c>
      <c r="E382" t="s">
        <v>49</v>
      </c>
      <c r="F382">
        <v>45</v>
      </c>
      <c r="G382" t="s">
        <v>53</v>
      </c>
      <c r="H382" t="s">
        <v>30</v>
      </c>
      <c r="I382">
        <v>0</v>
      </c>
      <c r="J382" t="s">
        <v>54</v>
      </c>
      <c r="K382">
        <v>678</v>
      </c>
      <c r="L382" t="s">
        <v>63</v>
      </c>
      <c r="M382">
        <v>4</v>
      </c>
      <c r="N382" t="s">
        <v>44</v>
      </c>
      <c r="O382">
        <v>0.13</v>
      </c>
      <c r="P382" t="s">
        <v>59</v>
      </c>
      <c r="Q382">
        <v>1211</v>
      </c>
      <c r="R382">
        <v>12961</v>
      </c>
      <c r="S382" t="s">
        <v>44</v>
      </c>
      <c r="T382">
        <v>25709</v>
      </c>
      <c r="U382" t="s">
        <v>64</v>
      </c>
      <c r="V382">
        <v>72</v>
      </c>
      <c r="W382">
        <v>6</v>
      </c>
      <c r="X382" t="s">
        <v>37</v>
      </c>
      <c r="Y382" t="s">
        <v>38</v>
      </c>
      <c r="Z382" t="s">
        <v>39</v>
      </c>
      <c r="AA382" t="s">
        <v>34</v>
      </c>
      <c r="AB382" t="s">
        <v>35</v>
      </c>
      <c r="AC382" t="s">
        <v>36</v>
      </c>
    </row>
    <row r="383" spans="1:29" x14ac:dyDescent="0.25">
      <c r="A383">
        <v>401</v>
      </c>
      <c r="B383">
        <v>10808</v>
      </c>
      <c r="C383">
        <v>6059</v>
      </c>
      <c r="D383">
        <v>16867</v>
      </c>
      <c r="E383" t="s">
        <v>29</v>
      </c>
      <c r="F383">
        <v>48</v>
      </c>
      <c r="G383" t="s">
        <v>53</v>
      </c>
      <c r="H383" t="s">
        <v>30</v>
      </c>
      <c r="I383">
        <v>3</v>
      </c>
      <c r="J383" t="s">
        <v>58</v>
      </c>
      <c r="K383">
        <v>620</v>
      </c>
      <c r="L383" t="s">
        <v>55</v>
      </c>
      <c r="M383">
        <v>2</v>
      </c>
      <c r="N383" t="s">
        <v>44</v>
      </c>
      <c r="O383">
        <v>0.11</v>
      </c>
      <c r="P383" t="s">
        <v>59</v>
      </c>
      <c r="Q383">
        <v>15445</v>
      </c>
      <c r="R383">
        <v>43075</v>
      </c>
      <c r="S383" t="s">
        <v>44</v>
      </c>
      <c r="T383">
        <v>0</v>
      </c>
      <c r="U383" t="s">
        <v>73</v>
      </c>
      <c r="V383">
        <v>48</v>
      </c>
      <c r="W383">
        <v>4</v>
      </c>
      <c r="X383" t="s">
        <v>47</v>
      </c>
      <c r="Y383" t="s">
        <v>32</v>
      </c>
      <c r="Z383" t="s">
        <v>33</v>
      </c>
      <c r="AA383" t="s">
        <v>40</v>
      </c>
      <c r="AB383" t="s">
        <v>35</v>
      </c>
      <c r="AC383" t="s">
        <v>36</v>
      </c>
    </row>
    <row r="384" spans="1:29" x14ac:dyDescent="0.25">
      <c r="A384">
        <v>402</v>
      </c>
      <c r="B384">
        <v>5267</v>
      </c>
      <c r="C384">
        <v>0</v>
      </c>
      <c r="D384">
        <v>5267</v>
      </c>
      <c r="E384" t="s">
        <v>48</v>
      </c>
      <c r="F384">
        <v>21</v>
      </c>
      <c r="G384" t="s">
        <v>72</v>
      </c>
      <c r="H384" t="s">
        <v>30</v>
      </c>
      <c r="I384">
        <v>0</v>
      </c>
      <c r="J384" t="s">
        <v>54</v>
      </c>
      <c r="K384">
        <v>735</v>
      </c>
      <c r="L384" t="s">
        <v>63</v>
      </c>
      <c r="M384">
        <v>0</v>
      </c>
      <c r="N384" t="s">
        <v>36</v>
      </c>
      <c r="O384">
        <v>0.5</v>
      </c>
      <c r="P384" t="s">
        <v>70</v>
      </c>
      <c r="Q384">
        <v>15815</v>
      </c>
      <c r="R384">
        <v>6487</v>
      </c>
      <c r="S384" t="s">
        <v>44</v>
      </c>
      <c r="T384">
        <v>24434</v>
      </c>
      <c r="U384" t="s">
        <v>64</v>
      </c>
      <c r="V384">
        <v>48</v>
      </c>
      <c r="W384">
        <v>4</v>
      </c>
      <c r="X384" t="s">
        <v>42</v>
      </c>
      <c r="Y384" t="s">
        <v>45</v>
      </c>
      <c r="Z384" t="s">
        <v>39</v>
      </c>
      <c r="AA384" t="s">
        <v>34</v>
      </c>
      <c r="AB384" t="s">
        <v>42</v>
      </c>
      <c r="AC384" t="s">
        <v>36</v>
      </c>
    </row>
    <row r="385" spans="1:29" x14ac:dyDescent="0.25">
      <c r="A385">
        <v>403</v>
      </c>
      <c r="B385">
        <v>19209</v>
      </c>
      <c r="C385">
        <v>5655</v>
      </c>
      <c r="D385">
        <v>24864</v>
      </c>
      <c r="E385" t="s">
        <v>49</v>
      </c>
      <c r="F385">
        <v>40</v>
      </c>
      <c r="G385" t="s">
        <v>65</v>
      </c>
      <c r="H385" t="s">
        <v>30</v>
      </c>
      <c r="I385">
        <v>0</v>
      </c>
      <c r="J385" t="s">
        <v>54</v>
      </c>
      <c r="K385">
        <v>768</v>
      </c>
      <c r="L385" t="s">
        <v>71</v>
      </c>
      <c r="M385">
        <v>0</v>
      </c>
      <c r="N385" t="s">
        <v>36</v>
      </c>
      <c r="O385">
        <v>0.34</v>
      </c>
      <c r="P385" t="s">
        <v>67</v>
      </c>
      <c r="Q385">
        <v>1160</v>
      </c>
      <c r="R385">
        <v>31110</v>
      </c>
      <c r="S385" t="s">
        <v>44</v>
      </c>
      <c r="T385">
        <v>22343</v>
      </c>
      <c r="U385" t="s">
        <v>64</v>
      </c>
      <c r="V385">
        <v>60</v>
      </c>
      <c r="W385">
        <v>5</v>
      </c>
      <c r="X385" t="s">
        <v>50</v>
      </c>
      <c r="Y385" t="s">
        <v>45</v>
      </c>
      <c r="Z385" t="s">
        <v>39</v>
      </c>
      <c r="AA385" t="s">
        <v>34</v>
      </c>
      <c r="AB385" t="s">
        <v>35</v>
      </c>
      <c r="AC385" t="s">
        <v>44</v>
      </c>
    </row>
    <row r="386" spans="1:29" x14ac:dyDescent="0.25">
      <c r="A386">
        <v>404</v>
      </c>
      <c r="B386">
        <v>0</v>
      </c>
      <c r="C386">
        <v>4473</v>
      </c>
      <c r="D386">
        <v>4473</v>
      </c>
      <c r="E386" t="s">
        <v>29</v>
      </c>
      <c r="F386">
        <v>27</v>
      </c>
      <c r="G386" t="s">
        <v>61</v>
      </c>
      <c r="H386" t="s">
        <v>30</v>
      </c>
      <c r="I386">
        <v>1</v>
      </c>
      <c r="J386" t="s">
        <v>68</v>
      </c>
      <c r="K386">
        <v>570</v>
      </c>
      <c r="L386" t="s">
        <v>66</v>
      </c>
      <c r="M386">
        <v>3</v>
      </c>
      <c r="N386" t="s">
        <v>44</v>
      </c>
      <c r="O386">
        <v>0.17</v>
      </c>
      <c r="P386" t="s">
        <v>59</v>
      </c>
      <c r="Q386">
        <v>7041</v>
      </c>
      <c r="R386">
        <v>42432</v>
      </c>
      <c r="S386" t="s">
        <v>44</v>
      </c>
      <c r="T386">
        <v>16739</v>
      </c>
      <c r="U386" t="s">
        <v>57</v>
      </c>
      <c r="V386">
        <v>60</v>
      </c>
      <c r="W386">
        <v>5</v>
      </c>
      <c r="X386" t="s">
        <v>47</v>
      </c>
      <c r="Y386" t="s">
        <v>38</v>
      </c>
      <c r="Z386" t="s">
        <v>33</v>
      </c>
      <c r="AA386" t="s">
        <v>34</v>
      </c>
      <c r="AB386" t="s">
        <v>35</v>
      </c>
      <c r="AC386" t="s">
        <v>36</v>
      </c>
    </row>
    <row r="387" spans="1:29" x14ac:dyDescent="0.25">
      <c r="A387">
        <v>405</v>
      </c>
      <c r="B387">
        <v>13338</v>
      </c>
      <c r="C387">
        <v>2946</v>
      </c>
      <c r="D387">
        <v>16284</v>
      </c>
      <c r="E387" t="s">
        <v>46</v>
      </c>
      <c r="F387">
        <v>40</v>
      </c>
      <c r="G387" t="s">
        <v>65</v>
      </c>
      <c r="H387" t="s">
        <v>41</v>
      </c>
      <c r="I387">
        <v>0</v>
      </c>
      <c r="J387" t="s">
        <v>54</v>
      </c>
      <c r="K387">
        <v>641</v>
      </c>
      <c r="L387" t="s">
        <v>55</v>
      </c>
      <c r="M387">
        <v>4</v>
      </c>
      <c r="N387" t="s">
        <v>44</v>
      </c>
      <c r="O387">
        <v>0.22</v>
      </c>
      <c r="P387" t="s">
        <v>59</v>
      </c>
      <c r="Q387">
        <v>18767</v>
      </c>
      <c r="R387">
        <v>16360</v>
      </c>
      <c r="S387" t="s">
        <v>44</v>
      </c>
      <c r="T387">
        <v>1666</v>
      </c>
      <c r="U387" t="s">
        <v>73</v>
      </c>
      <c r="V387">
        <v>24</v>
      </c>
      <c r="W387">
        <v>2</v>
      </c>
      <c r="X387" t="s">
        <v>37</v>
      </c>
      <c r="Y387" t="s">
        <v>45</v>
      </c>
      <c r="Z387" t="s">
        <v>39</v>
      </c>
      <c r="AA387" t="s">
        <v>34</v>
      </c>
      <c r="AB387" t="s">
        <v>43</v>
      </c>
      <c r="AC387" t="s">
        <v>36</v>
      </c>
    </row>
    <row r="388" spans="1:29" x14ac:dyDescent="0.25">
      <c r="A388">
        <v>406</v>
      </c>
      <c r="B388">
        <v>2412</v>
      </c>
      <c r="C388">
        <v>7725</v>
      </c>
      <c r="D388">
        <v>10137</v>
      </c>
      <c r="E388" t="s">
        <v>29</v>
      </c>
      <c r="F388">
        <v>56</v>
      </c>
      <c r="G388" t="s">
        <v>69</v>
      </c>
      <c r="H388" t="s">
        <v>30</v>
      </c>
      <c r="I388">
        <v>0</v>
      </c>
      <c r="J388" t="s">
        <v>54</v>
      </c>
      <c r="K388">
        <v>676</v>
      </c>
      <c r="L388" t="s">
        <v>63</v>
      </c>
      <c r="M388">
        <v>0</v>
      </c>
      <c r="N388" t="s">
        <v>36</v>
      </c>
      <c r="O388">
        <v>0.56999999999999995</v>
      </c>
      <c r="P388" t="s">
        <v>56</v>
      </c>
      <c r="Q388">
        <v>10846</v>
      </c>
      <c r="R388">
        <v>49410</v>
      </c>
      <c r="S388" t="s">
        <v>44</v>
      </c>
      <c r="T388">
        <v>34044</v>
      </c>
      <c r="U388" t="s">
        <v>64</v>
      </c>
      <c r="V388">
        <v>84</v>
      </c>
      <c r="W388">
        <v>7</v>
      </c>
      <c r="X388" t="s">
        <v>50</v>
      </c>
      <c r="Y388" t="s">
        <v>32</v>
      </c>
      <c r="Z388" t="s">
        <v>33</v>
      </c>
      <c r="AA388" t="s">
        <v>34</v>
      </c>
      <c r="AB388" t="s">
        <v>43</v>
      </c>
      <c r="AC388" t="s">
        <v>36</v>
      </c>
    </row>
    <row r="389" spans="1:29" x14ac:dyDescent="0.25">
      <c r="A389">
        <v>407</v>
      </c>
      <c r="B389">
        <v>9543</v>
      </c>
      <c r="C389">
        <v>526</v>
      </c>
      <c r="D389">
        <v>10069</v>
      </c>
      <c r="E389" t="s">
        <v>46</v>
      </c>
      <c r="F389">
        <v>39</v>
      </c>
      <c r="G389" t="s">
        <v>65</v>
      </c>
      <c r="H389" t="s">
        <v>30</v>
      </c>
      <c r="I389">
        <v>2</v>
      </c>
      <c r="J389" t="s">
        <v>62</v>
      </c>
      <c r="K389">
        <v>629</v>
      </c>
      <c r="L389" t="s">
        <v>55</v>
      </c>
      <c r="M389">
        <v>2</v>
      </c>
      <c r="N389" t="s">
        <v>44</v>
      </c>
      <c r="O389">
        <v>0.53</v>
      </c>
      <c r="P389" t="s">
        <v>56</v>
      </c>
      <c r="Q389">
        <v>5876</v>
      </c>
      <c r="R389">
        <v>36843</v>
      </c>
      <c r="S389" t="s">
        <v>44</v>
      </c>
      <c r="T389">
        <v>28883</v>
      </c>
      <c r="U389" t="s">
        <v>64</v>
      </c>
      <c r="V389">
        <v>24</v>
      </c>
      <c r="W389">
        <v>2</v>
      </c>
      <c r="X389" t="s">
        <v>42</v>
      </c>
      <c r="Y389" t="s">
        <v>32</v>
      </c>
      <c r="Z389" t="s">
        <v>33</v>
      </c>
      <c r="AA389" t="s">
        <v>40</v>
      </c>
      <c r="AB389" t="s">
        <v>43</v>
      </c>
      <c r="AC389" t="s">
        <v>36</v>
      </c>
    </row>
    <row r="390" spans="1:29" x14ac:dyDescent="0.25">
      <c r="A390">
        <v>408</v>
      </c>
      <c r="B390">
        <v>9587</v>
      </c>
      <c r="C390">
        <v>3224</v>
      </c>
      <c r="D390">
        <v>12811</v>
      </c>
      <c r="E390" t="s">
        <v>49</v>
      </c>
      <c r="F390">
        <v>21</v>
      </c>
      <c r="G390" t="s">
        <v>72</v>
      </c>
      <c r="H390" t="s">
        <v>30</v>
      </c>
      <c r="I390">
        <v>0</v>
      </c>
      <c r="J390" t="s">
        <v>54</v>
      </c>
      <c r="K390">
        <v>605</v>
      </c>
      <c r="L390" t="s">
        <v>55</v>
      </c>
      <c r="M390">
        <v>3</v>
      </c>
      <c r="N390" t="s">
        <v>44</v>
      </c>
      <c r="O390">
        <v>0.45</v>
      </c>
      <c r="P390" t="s">
        <v>70</v>
      </c>
      <c r="Q390">
        <v>19924</v>
      </c>
      <c r="R390">
        <v>24882</v>
      </c>
      <c r="S390" t="s">
        <v>44</v>
      </c>
      <c r="T390">
        <v>15063</v>
      </c>
      <c r="U390" t="s">
        <v>57</v>
      </c>
      <c r="V390">
        <v>60</v>
      </c>
      <c r="W390">
        <v>5</v>
      </c>
      <c r="X390" t="s">
        <v>42</v>
      </c>
      <c r="Y390" t="s">
        <v>32</v>
      </c>
      <c r="Z390" t="s">
        <v>33</v>
      </c>
      <c r="AA390" t="s">
        <v>34</v>
      </c>
      <c r="AB390" t="s">
        <v>43</v>
      </c>
      <c r="AC390" t="s">
        <v>36</v>
      </c>
    </row>
    <row r="391" spans="1:29" x14ac:dyDescent="0.25">
      <c r="A391">
        <v>409</v>
      </c>
      <c r="B391">
        <v>2728</v>
      </c>
      <c r="C391">
        <v>1875</v>
      </c>
      <c r="D391">
        <v>4603</v>
      </c>
      <c r="E391" t="s">
        <v>49</v>
      </c>
      <c r="F391">
        <v>30</v>
      </c>
      <c r="G391" t="s">
        <v>61</v>
      </c>
      <c r="H391" t="s">
        <v>41</v>
      </c>
      <c r="I391">
        <v>2</v>
      </c>
      <c r="J391" t="s">
        <v>62</v>
      </c>
      <c r="K391">
        <v>787</v>
      </c>
      <c r="L391" t="s">
        <v>71</v>
      </c>
      <c r="M391">
        <v>4</v>
      </c>
      <c r="N391" t="s">
        <v>44</v>
      </c>
      <c r="O391">
        <v>0.34</v>
      </c>
      <c r="P391" t="s">
        <v>67</v>
      </c>
      <c r="Q391">
        <v>12889</v>
      </c>
      <c r="R391">
        <v>17502</v>
      </c>
      <c r="S391" t="s">
        <v>44</v>
      </c>
      <c r="T391">
        <v>34649</v>
      </c>
      <c r="U391" t="s">
        <v>64</v>
      </c>
      <c r="V391">
        <v>72</v>
      </c>
      <c r="W391">
        <v>6</v>
      </c>
      <c r="X391" t="s">
        <v>37</v>
      </c>
      <c r="Y391" t="s">
        <v>45</v>
      </c>
      <c r="Z391" t="s">
        <v>39</v>
      </c>
      <c r="AA391" t="s">
        <v>40</v>
      </c>
      <c r="AB391" t="s">
        <v>43</v>
      </c>
      <c r="AC391" t="s">
        <v>36</v>
      </c>
    </row>
    <row r="392" spans="1:29" x14ac:dyDescent="0.25">
      <c r="A392">
        <v>410</v>
      </c>
      <c r="B392">
        <v>13657</v>
      </c>
      <c r="C392">
        <v>1763</v>
      </c>
      <c r="D392">
        <v>15420</v>
      </c>
      <c r="E392" t="s">
        <v>49</v>
      </c>
      <c r="F392">
        <v>56</v>
      </c>
      <c r="G392" t="s">
        <v>69</v>
      </c>
      <c r="H392" t="s">
        <v>30</v>
      </c>
      <c r="I392">
        <v>0</v>
      </c>
      <c r="J392" t="s">
        <v>54</v>
      </c>
      <c r="K392">
        <v>764</v>
      </c>
      <c r="L392" t="s">
        <v>71</v>
      </c>
      <c r="M392">
        <v>1</v>
      </c>
      <c r="N392" t="s">
        <v>44</v>
      </c>
      <c r="O392">
        <v>0.36</v>
      </c>
      <c r="P392" t="s">
        <v>67</v>
      </c>
      <c r="Q392">
        <v>13882</v>
      </c>
      <c r="R392">
        <v>48053</v>
      </c>
      <c r="S392" t="s">
        <v>44</v>
      </c>
      <c r="T392">
        <v>35828</v>
      </c>
      <c r="U392" t="s">
        <v>60</v>
      </c>
      <c r="V392">
        <v>60</v>
      </c>
      <c r="W392">
        <v>5</v>
      </c>
      <c r="X392" t="s">
        <v>50</v>
      </c>
      <c r="Y392" t="s">
        <v>38</v>
      </c>
      <c r="Z392" t="s">
        <v>39</v>
      </c>
      <c r="AA392" t="s">
        <v>40</v>
      </c>
      <c r="AB392" t="s">
        <v>42</v>
      </c>
      <c r="AC392" t="s">
        <v>44</v>
      </c>
    </row>
    <row r="393" spans="1:29" x14ac:dyDescent="0.25">
      <c r="A393">
        <v>411</v>
      </c>
      <c r="B393">
        <v>7988</v>
      </c>
      <c r="C393">
        <v>0</v>
      </c>
      <c r="D393">
        <v>7988</v>
      </c>
      <c r="E393" t="s">
        <v>29</v>
      </c>
      <c r="F393">
        <v>29</v>
      </c>
      <c r="G393" t="s">
        <v>61</v>
      </c>
      <c r="H393" t="s">
        <v>41</v>
      </c>
      <c r="I393">
        <v>0</v>
      </c>
      <c r="J393" t="s">
        <v>54</v>
      </c>
      <c r="K393">
        <v>665</v>
      </c>
      <c r="L393" t="s">
        <v>55</v>
      </c>
      <c r="M393">
        <v>3</v>
      </c>
      <c r="N393" t="s">
        <v>44</v>
      </c>
      <c r="O393">
        <v>0.59</v>
      </c>
      <c r="P393" t="s">
        <v>56</v>
      </c>
      <c r="Q393">
        <v>14738</v>
      </c>
      <c r="R393">
        <v>7631</v>
      </c>
      <c r="S393" t="s">
        <v>44</v>
      </c>
      <c r="T393">
        <v>10429</v>
      </c>
      <c r="U393" t="s">
        <v>57</v>
      </c>
      <c r="V393">
        <v>24</v>
      </c>
      <c r="W393">
        <v>2</v>
      </c>
      <c r="X393" t="s">
        <v>37</v>
      </c>
      <c r="Y393" t="s">
        <v>32</v>
      </c>
      <c r="Z393" t="s">
        <v>39</v>
      </c>
      <c r="AA393" t="s">
        <v>34</v>
      </c>
      <c r="AB393" t="s">
        <v>42</v>
      </c>
      <c r="AC393" t="s">
        <v>36</v>
      </c>
    </row>
    <row r="394" spans="1:29" x14ac:dyDescent="0.25">
      <c r="A394">
        <v>412</v>
      </c>
      <c r="B394">
        <v>4967</v>
      </c>
      <c r="C394">
        <v>5797</v>
      </c>
      <c r="D394">
        <v>10764</v>
      </c>
      <c r="E394" t="s">
        <v>29</v>
      </c>
      <c r="F394">
        <v>40</v>
      </c>
      <c r="G394" t="s">
        <v>65</v>
      </c>
      <c r="H394" t="s">
        <v>30</v>
      </c>
      <c r="I394">
        <v>3</v>
      </c>
      <c r="J394" t="s">
        <v>58</v>
      </c>
      <c r="K394">
        <v>697</v>
      </c>
      <c r="L394" t="s">
        <v>63</v>
      </c>
      <c r="M394">
        <v>4</v>
      </c>
      <c r="N394" t="s">
        <v>44</v>
      </c>
      <c r="O394">
        <v>0.57999999999999996</v>
      </c>
      <c r="P394" t="s">
        <v>56</v>
      </c>
      <c r="Q394">
        <v>1095</v>
      </c>
      <c r="R394">
        <v>3017</v>
      </c>
      <c r="S394" t="s">
        <v>44</v>
      </c>
      <c r="T394">
        <v>33926</v>
      </c>
      <c r="U394" t="s">
        <v>64</v>
      </c>
      <c r="V394">
        <v>36</v>
      </c>
      <c r="W394">
        <v>3</v>
      </c>
      <c r="X394" t="s">
        <v>47</v>
      </c>
      <c r="Y394" t="s">
        <v>32</v>
      </c>
      <c r="Z394" t="s">
        <v>33</v>
      </c>
      <c r="AA394" t="s">
        <v>40</v>
      </c>
      <c r="AB394" t="s">
        <v>43</v>
      </c>
      <c r="AC394" t="s">
        <v>36</v>
      </c>
    </row>
    <row r="395" spans="1:29" x14ac:dyDescent="0.25">
      <c r="A395">
        <v>413</v>
      </c>
      <c r="B395">
        <v>16527</v>
      </c>
      <c r="C395">
        <v>9208</v>
      </c>
      <c r="D395">
        <v>25735</v>
      </c>
      <c r="E395" t="s">
        <v>49</v>
      </c>
      <c r="F395">
        <v>52</v>
      </c>
      <c r="G395" t="s">
        <v>53</v>
      </c>
      <c r="H395" t="s">
        <v>41</v>
      </c>
      <c r="I395">
        <v>3</v>
      </c>
      <c r="J395" t="s">
        <v>58</v>
      </c>
      <c r="K395">
        <v>779</v>
      </c>
      <c r="L395" t="s">
        <v>71</v>
      </c>
      <c r="M395">
        <v>0</v>
      </c>
      <c r="N395" t="s">
        <v>36</v>
      </c>
      <c r="O395">
        <v>0.21</v>
      </c>
      <c r="P395" t="s">
        <v>59</v>
      </c>
      <c r="Q395">
        <v>5901</v>
      </c>
      <c r="R395">
        <v>20725</v>
      </c>
      <c r="S395" t="s">
        <v>44</v>
      </c>
      <c r="T395">
        <v>38997</v>
      </c>
      <c r="U395" t="s">
        <v>60</v>
      </c>
      <c r="V395">
        <v>24</v>
      </c>
      <c r="W395">
        <v>2</v>
      </c>
      <c r="X395" t="s">
        <v>42</v>
      </c>
      <c r="Y395" t="s">
        <v>32</v>
      </c>
      <c r="Z395" t="s">
        <v>39</v>
      </c>
      <c r="AA395" t="s">
        <v>40</v>
      </c>
      <c r="AB395" t="s">
        <v>35</v>
      </c>
      <c r="AC395" t="s">
        <v>44</v>
      </c>
    </row>
    <row r="396" spans="1:29" x14ac:dyDescent="0.25">
      <c r="A396">
        <v>414</v>
      </c>
      <c r="B396">
        <v>18048</v>
      </c>
      <c r="C396">
        <v>7099</v>
      </c>
      <c r="D396">
        <v>25147</v>
      </c>
      <c r="E396" t="s">
        <v>29</v>
      </c>
      <c r="F396">
        <v>26</v>
      </c>
      <c r="G396" t="s">
        <v>61</v>
      </c>
      <c r="H396" t="s">
        <v>41</v>
      </c>
      <c r="I396">
        <v>2</v>
      </c>
      <c r="J396" t="s">
        <v>62</v>
      </c>
      <c r="K396">
        <v>731</v>
      </c>
      <c r="L396" t="s">
        <v>63</v>
      </c>
      <c r="M396">
        <v>1</v>
      </c>
      <c r="N396" t="s">
        <v>44</v>
      </c>
      <c r="O396">
        <v>0.51</v>
      </c>
      <c r="P396" t="s">
        <v>56</v>
      </c>
      <c r="Q396">
        <v>8215</v>
      </c>
      <c r="R396">
        <v>24762</v>
      </c>
      <c r="S396" t="s">
        <v>44</v>
      </c>
      <c r="T396">
        <v>33269</v>
      </c>
      <c r="U396" t="s">
        <v>64</v>
      </c>
      <c r="V396">
        <v>36</v>
      </c>
      <c r="W396">
        <v>3</v>
      </c>
      <c r="X396" t="s">
        <v>31</v>
      </c>
      <c r="Y396" t="s">
        <v>45</v>
      </c>
      <c r="Z396" t="s">
        <v>39</v>
      </c>
      <c r="AA396" t="s">
        <v>34</v>
      </c>
      <c r="AB396" t="s">
        <v>42</v>
      </c>
      <c r="AC396" t="s">
        <v>36</v>
      </c>
    </row>
    <row r="397" spans="1:29" x14ac:dyDescent="0.25">
      <c r="A397">
        <v>415</v>
      </c>
      <c r="B397">
        <v>19506</v>
      </c>
      <c r="C397">
        <v>5109</v>
      </c>
      <c r="D397">
        <v>24615</v>
      </c>
      <c r="E397" t="s">
        <v>29</v>
      </c>
      <c r="F397">
        <v>58</v>
      </c>
      <c r="G397" t="s">
        <v>69</v>
      </c>
      <c r="H397" t="s">
        <v>30</v>
      </c>
      <c r="I397">
        <v>0</v>
      </c>
      <c r="J397" t="s">
        <v>54</v>
      </c>
      <c r="K397">
        <v>574</v>
      </c>
      <c r="L397" t="s">
        <v>66</v>
      </c>
      <c r="M397">
        <v>4</v>
      </c>
      <c r="N397" t="s">
        <v>44</v>
      </c>
      <c r="O397">
        <v>0.2</v>
      </c>
      <c r="P397" t="s">
        <v>59</v>
      </c>
      <c r="Q397">
        <v>12911</v>
      </c>
      <c r="R397">
        <v>784</v>
      </c>
      <c r="S397" t="s">
        <v>44</v>
      </c>
      <c r="T397">
        <v>32704</v>
      </c>
      <c r="U397" t="s">
        <v>64</v>
      </c>
      <c r="V397">
        <v>36</v>
      </c>
      <c r="W397">
        <v>3</v>
      </c>
      <c r="X397" t="s">
        <v>42</v>
      </c>
      <c r="Y397" t="s">
        <v>32</v>
      </c>
      <c r="Z397" t="s">
        <v>39</v>
      </c>
      <c r="AA397" t="s">
        <v>40</v>
      </c>
      <c r="AB397" t="s">
        <v>51</v>
      </c>
      <c r="AC397" t="s">
        <v>36</v>
      </c>
    </row>
    <row r="398" spans="1:29" x14ac:dyDescent="0.25">
      <c r="A398">
        <v>416</v>
      </c>
      <c r="B398">
        <v>19955</v>
      </c>
      <c r="C398">
        <v>6644</v>
      </c>
      <c r="D398">
        <v>26599</v>
      </c>
      <c r="E398" t="s">
        <v>29</v>
      </c>
      <c r="F398">
        <v>37</v>
      </c>
      <c r="G398" t="s">
        <v>65</v>
      </c>
      <c r="H398" t="s">
        <v>30</v>
      </c>
      <c r="I398">
        <v>1</v>
      </c>
      <c r="J398" t="s">
        <v>68</v>
      </c>
      <c r="K398">
        <v>705</v>
      </c>
      <c r="L398" t="s">
        <v>63</v>
      </c>
      <c r="M398">
        <v>4</v>
      </c>
      <c r="N398" t="s">
        <v>44</v>
      </c>
      <c r="O398">
        <v>0.21</v>
      </c>
      <c r="P398" t="s">
        <v>59</v>
      </c>
      <c r="Q398">
        <v>14123</v>
      </c>
      <c r="R398">
        <v>28020</v>
      </c>
      <c r="S398" t="s">
        <v>44</v>
      </c>
      <c r="T398">
        <v>0</v>
      </c>
      <c r="U398" t="s">
        <v>73</v>
      </c>
      <c r="V398">
        <v>24</v>
      </c>
      <c r="W398">
        <v>2</v>
      </c>
      <c r="X398" t="s">
        <v>42</v>
      </c>
      <c r="Y398" t="s">
        <v>32</v>
      </c>
      <c r="Z398" t="s">
        <v>39</v>
      </c>
      <c r="AA398" t="s">
        <v>40</v>
      </c>
      <c r="AB398" t="s">
        <v>42</v>
      </c>
      <c r="AC398" t="s">
        <v>44</v>
      </c>
    </row>
    <row r="399" spans="1:29" x14ac:dyDescent="0.25">
      <c r="A399">
        <v>417</v>
      </c>
      <c r="B399">
        <v>7073</v>
      </c>
      <c r="C399">
        <v>116</v>
      </c>
      <c r="D399">
        <v>7189</v>
      </c>
      <c r="E399" t="s">
        <v>46</v>
      </c>
      <c r="F399">
        <v>40</v>
      </c>
      <c r="G399" t="s">
        <v>65</v>
      </c>
      <c r="H399" t="s">
        <v>30</v>
      </c>
      <c r="I399">
        <v>3</v>
      </c>
      <c r="J399" t="s">
        <v>58</v>
      </c>
      <c r="K399">
        <v>554</v>
      </c>
      <c r="L399" t="s">
        <v>66</v>
      </c>
      <c r="M399">
        <v>2</v>
      </c>
      <c r="N399" t="s">
        <v>44</v>
      </c>
      <c r="O399">
        <v>0.44</v>
      </c>
      <c r="P399" t="s">
        <v>70</v>
      </c>
      <c r="Q399">
        <v>1079</v>
      </c>
      <c r="R399">
        <v>38459</v>
      </c>
      <c r="S399" t="s">
        <v>44</v>
      </c>
      <c r="T399">
        <v>25187</v>
      </c>
      <c r="U399" t="s">
        <v>64</v>
      </c>
      <c r="V399">
        <v>84</v>
      </c>
      <c r="W399">
        <v>7</v>
      </c>
      <c r="X399" t="s">
        <v>42</v>
      </c>
      <c r="Y399" t="s">
        <v>32</v>
      </c>
      <c r="Z399" t="s">
        <v>39</v>
      </c>
      <c r="AA399" t="s">
        <v>34</v>
      </c>
      <c r="AB399" t="s">
        <v>43</v>
      </c>
      <c r="AC399" t="s">
        <v>36</v>
      </c>
    </row>
    <row r="400" spans="1:29" x14ac:dyDescent="0.25">
      <c r="A400">
        <v>418</v>
      </c>
      <c r="B400">
        <v>7104</v>
      </c>
      <c r="C400">
        <v>2433</v>
      </c>
      <c r="D400">
        <v>9537</v>
      </c>
      <c r="E400" t="s">
        <v>29</v>
      </c>
      <c r="F400">
        <v>47</v>
      </c>
      <c r="G400" t="s">
        <v>53</v>
      </c>
      <c r="H400" t="s">
        <v>30</v>
      </c>
      <c r="I400">
        <v>1</v>
      </c>
      <c r="J400" t="s">
        <v>68</v>
      </c>
      <c r="K400">
        <v>669</v>
      </c>
      <c r="L400" t="s">
        <v>55</v>
      </c>
      <c r="M400">
        <v>3</v>
      </c>
      <c r="N400" t="s">
        <v>44</v>
      </c>
      <c r="O400">
        <v>0.3</v>
      </c>
      <c r="P400" t="s">
        <v>59</v>
      </c>
      <c r="Q400">
        <v>12510</v>
      </c>
      <c r="R400">
        <v>15765</v>
      </c>
      <c r="S400" t="s">
        <v>44</v>
      </c>
      <c r="T400">
        <v>3526</v>
      </c>
      <c r="U400" t="s">
        <v>73</v>
      </c>
      <c r="V400">
        <v>84</v>
      </c>
      <c r="W400">
        <v>7</v>
      </c>
      <c r="X400" t="s">
        <v>37</v>
      </c>
      <c r="Y400" t="s">
        <v>45</v>
      </c>
      <c r="Z400" t="s">
        <v>39</v>
      </c>
      <c r="AA400" t="s">
        <v>40</v>
      </c>
      <c r="AB400" t="s">
        <v>35</v>
      </c>
      <c r="AC400" t="s">
        <v>44</v>
      </c>
    </row>
    <row r="401" spans="1:29" x14ac:dyDescent="0.25">
      <c r="A401">
        <v>419</v>
      </c>
      <c r="B401">
        <v>4143</v>
      </c>
      <c r="C401">
        <v>5463</v>
      </c>
      <c r="D401">
        <v>9606</v>
      </c>
      <c r="E401" t="s">
        <v>46</v>
      </c>
      <c r="F401">
        <v>55</v>
      </c>
      <c r="G401" t="s">
        <v>69</v>
      </c>
      <c r="H401" t="s">
        <v>41</v>
      </c>
      <c r="I401">
        <v>3</v>
      </c>
      <c r="J401" t="s">
        <v>58</v>
      </c>
      <c r="K401">
        <v>550</v>
      </c>
      <c r="L401" t="s">
        <v>66</v>
      </c>
      <c r="M401">
        <v>0</v>
      </c>
      <c r="N401" t="s">
        <v>36</v>
      </c>
      <c r="O401">
        <v>0.56999999999999995</v>
      </c>
      <c r="P401" t="s">
        <v>56</v>
      </c>
      <c r="Q401">
        <v>19231</v>
      </c>
      <c r="R401">
        <v>31127</v>
      </c>
      <c r="S401" t="s">
        <v>44</v>
      </c>
      <c r="T401">
        <v>25686</v>
      </c>
      <c r="U401" t="s">
        <v>64</v>
      </c>
      <c r="V401">
        <v>12</v>
      </c>
      <c r="W401">
        <v>1</v>
      </c>
      <c r="X401" t="s">
        <v>37</v>
      </c>
      <c r="Y401" t="s">
        <v>45</v>
      </c>
      <c r="Z401" t="s">
        <v>33</v>
      </c>
      <c r="AA401" t="s">
        <v>40</v>
      </c>
      <c r="AB401" t="s">
        <v>42</v>
      </c>
      <c r="AC401" t="s">
        <v>36</v>
      </c>
    </row>
    <row r="402" spans="1:29" x14ac:dyDescent="0.25">
      <c r="A402">
        <v>421</v>
      </c>
      <c r="B402">
        <v>14043</v>
      </c>
      <c r="C402">
        <v>8586</v>
      </c>
      <c r="D402">
        <v>22629</v>
      </c>
      <c r="E402" t="s">
        <v>29</v>
      </c>
      <c r="F402">
        <v>45</v>
      </c>
      <c r="G402" t="s">
        <v>53</v>
      </c>
      <c r="H402" t="s">
        <v>41</v>
      </c>
      <c r="I402">
        <v>0</v>
      </c>
      <c r="J402" t="s">
        <v>54</v>
      </c>
      <c r="K402">
        <v>724</v>
      </c>
      <c r="L402" t="s">
        <v>63</v>
      </c>
      <c r="M402">
        <v>4</v>
      </c>
      <c r="N402" t="s">
        <v>44</v>
      </c>
      <c r="O402">
        <v>0.36</v>
      </c>
      <c r="P402" t="s">
        <v>67</v>
      </c>
      <c r="Q402">
        <v>1473</v>
      </c>
      <c r="R402">
        <v>9552</v>
      </c>
      <c r="S402" t="s">
        <v>44</v>
      </c>
      <c r="T402">
        <v>33668</v>
      </c>
      <c r="U402" t="s">
        <v>64</v>
      </c>
      <c r="V402">
        <v>84</v>
      </c>
      <c r="W402">
        <v>7</v>
      </c>
      <c r="X402" t="s">
        <v>42</v>
      </c>
      <c r="Y402" t="s">
        <v>32</v>
      </c>
      <c r="Z402" t="s">
        <v>33</v>
      </c>
      <c r="AA402" t="s">
        <v>40</v>
      </c>
      <c r="AB402" t="s">
        <v>48</v>
      </c>
      <c r="AC402" t="s">
        <v>44</v>
      </c>
    </row>
    <row r="403" spans="1:29" x14ac:dyDescent="0.25">
      <c r="A403">
        <v>422</v>
      </c>
      <c r="B403">
        <v>5440</v>
      </c>
      <c r="C403">
        <v>3788</v>
      </c>
      <c r="D403">
        <v>9228</v>
      </c>
      <c r="E403" t="s">
        <v>29</v>
      </c>
      <c r="F403">
        <v>48</v>
      </c>
      <c r="G403" t="s">
        <v>53</v>
      </c>
      <c r="H403" t="s">
        <v>41</v>
      </c>
      <c r="I403">
        <v>3</v>
      </c>
      <c r="J403" t="s">
        <v>58</v>
      </c>
      <c r="K403">
        <v>747</v>
      </c>
      <c r="L403" t="s">
        <v>71</v>
      </c>
      <c r="M403">
        <v>2</v>
      </c>
      <c r="N403" t="s">
        <v>44</v>
      </c>
      <c r="O403">
        <v>0.56000000000000005</v>
      </c>
      <c r="P403" t="s">
        <v>56</v>
      </c>
      <c r="Q403">
        <v>4888</v>
      </c>
      <c r="R403">
        <v>41300</v>
      </c>
      <c r="S403" t="s">
        <v>44</v>
      </c>
      <c r="T403">
        <v>7574</v>
      </c>
      <c r="U403" t="s">
        <v>57</v>
      </c>
      <c r="V403">
        <v>48</v>
      </c>
      <c r="W403">
        <v>4</v>
      </c>
      <c r="X403" t="s">
        <v>37</v>
      </c>
      <c r="Y403" t="s">
        <v>32</v>
      </c>
      <c r="Z403" t="s">
        <v>39</v>
      </c>
      <c r="AA403" t="s">
        <v>40</v>
      </c>
      <c r="AB403" t="s">
        <v>35</v>
      </c>
      <c r="AC403" t="s">
        <v>36</v>
      </c>
    </row>
    <row r="404" spans="1:29" x14ac:dyDescent="0.25">
      <c r="A404">
        <v>423</v>
      </c>
      <c r="B404">
        <v>7644</v>
      </c>
      <c r="C404">
        <v>4167</v>
      </c>
      <c r="D404">
        <v>11811</v>
      </c>
      <c r="E404" t="s">
        <v>29</v>
      </c>
      <c r="F404">
        <v>35</v>
      </c>
      <c r="G404" t="s">
        <v>65</v>
      </c>
      <c r="H404" t="s">
        <v>30</v>
      </c>
      <c r="I404">
        <v>1</v>
      </c>
      <c r="J404" t="s">
        <v>68</v>
      </c>
      <c r="K404">
        <v>606</v>
      </c>
      <c r="L404" t="s">
        <v>55</v>
      </c>
      <c r="M404">
        <v>3</v>
      </c>
      <c r="N404" t="s">
        <v>44</v>
      </c>
      <c r="O404">
        <v>0.55000000000000004</v>
      </c>
      <c r="P404" t="s">
        <v>56</v>
      </c>
      <c r="Q404">
        <v>4979</v>
      </c>
      <c r="R404">
        <v>49714</v>
      </c>
      <c r="S404" t="s">
        <v>44</v>
      </c>
      <c r="T404">
        <v>9733</v>
      </c>
      <c r="U404" t="s">
        <v>57</v>
      </c>
      <c r="V404">
        <v>24</v>
      </c>
      <c r="W404">
        <v>2</v>
      </c>
      <c r="X404" t="s">
        <v>37</v>
      </c>
      <c r="Y404" t="s">
        <v>32</v>
      </c>
      <c r="Z404" t="s">
        <v>39</v>
      </c>
      <c r="AA404" t="s">
        <v>40</v>
      </c>
      <c r="AB404" t="s">
        <v>35</v>
      </c>
      <c r="AC404" t="s">
        <v>36</v>
      </c>
    </row>
    <row r="405" spans="1:29" x14ac:dyDescent="0.25">
      <c r="A405">
        <v>424</v>
      </c>
      <c r="B405">
        <v>12518</v>
      </c>
      <c r="C405">
        <v>8465</v>
      </c>
      <c r="D405">
        <v>20983</v>
      </c>
      <c r="E405" t="s">
        <v>49</v>
      </c>
      <c r="F405">
        <v>24</v>
      </c>
      <c r="G405" t="s">
        <v>72</v>
      </c>
      <c r="H405" t="s">
        <v>30</v>
      </c>
      <c r="I405">
        <v>3</v>
      </c>
      <c r="J405" t="s">
        <v>58</v>
      </c>
      <c r="K405">
        <v>642</v>
      </c>
      <c r="L405" t="s">
        <v>55</v>
      </c>
      <c r="M405">
        <v>0</v>
      </c>
      <c r="N405" t="s">
        <v>36</v>
      </c>
      <c r="O405">
        <v>0.18</v>
      </c>
      <c r="P405" t="s">
        <v>59</v>
      </c>
      <c r="Q405">
        <v>1212</v>
      </c>
      <c r="R405">
        <v>31921</v>
      </c>
      <c r="S405" t="s">
        <v>44</v>
      </c>
      <c r="T405">
        <v>8257</v>
      </c>
      <c r="U405" t="s">
        <v>57</v>
      </c>
      <c r="V405">
        <v>36</v>
      </c>
      <c r="W405">
        <v>3</v>
      </c>
      <c r="X405" t="s">
        <v>37</v>
      </c>
      <c r="Y405" t="s">
        <v>32</v>
      </c>
      <c r="Z405" t="s">
        <v>39</v>
      </c>
      <c r="AA405" t="s">
        <v>34</v>
      </c>
      <c r="AB405" t="s">
        <v>43</v>
      </c>
      <c r="AC405" t="s">
        <v>36</v>
      </c>
    </row>
    <row r="406" spans="1:29" x14ac:dyDescent="0.25">
      <c r="A406">
        <v>425</v>
      </c>
      <c r="B406">
        <v>16552</v>
      </c>
      <c r="C406">
        <v>1389</v>
      </c>
      <c r="D406">
        <v>17941</v>
      </c>
      <c r="E406" t="s">
        <v>52</v>
      </c>
      <c r="F406">
        <v>49</v>
      </c>
      <c r="G406" t="s">
        <v>53</v>
      </c>
      <c r="H406" t="s">
        <v>41</v>
      </c>
      <c r="I406">
        <v>2</v>
      </c>
      <c r="J406" t="s">
        <v>62</v>
      </c>
      <c r="K406">
        <v>568</v>
      </c>
      <c r="L406" t="s">
        <v>66</v>
      </c>
      <c r="M406">
        <v>0</v>
      </c>
      <c r="N406" t="s">
        <v>36</v>
      </c>
      <c r="O406">
        <v>0.28000000000000003</v>
      </c>
      <c r="P406" t="s">
        <v>59</v>
      </c>
      <c r="Q406">
        <v>9001</v>
      </c>
      <c r="R406">
        <v>4746</v>
      </c>
      <c r="S406" t="s">
        <v>44</v>
      </c>
      <c r="T406">
        <v>37051</v>
      </c>
      <c r="U406" t="s">
        <v>60</v>
      </c>
      <c r="V406">
        <v>24</v>
      </c>
      <c r="W406">
        <v>2</v>
      </c>
      <c r="X406" t="s">
        <v>47</v>
      </c>
      <c r="Y406" t="s">
        <v>32</v>
      </c>
      <c r="Z406" t="s">
        <v>39</v>
      </c>
      <c r="AA406" t="s">
        <v>34</v>
      </c>
      <c r="AB406" t="s">
        <v>51</v>
      </c>
      <c r="AC406" t="s">
        <v>36</v>
      </c>
    </row>
    <row r="407" spans="1:29" x14ac:dyDescent="0.25">
      <c r="A407">
        <v>426</v>
      </c>
      <c r="B407">
        <v>4914</v>
      </c>
      <c r="C407">
        <v>8357</v>
      </c>
      <c r="D407">
        <v>13271</v>
      </c>
      <c r="E407" t="s">
        <v>29</v>
      </c>
      <c r="F407">
        <v>29</v>
      </c>
      <c r="G407" t="s">
        <v>61</v>
      </c>
      <c r="H407" t="s">
        <v>30</v>
      </c>
      <c r="I407">
        <v>0</v>
      </c>
      <c r="J407" t="s">
        <v>54</v>
      </c>
      <c r="K407">
        <v>677</v>
      </c>
      <c r="L407" t="s">
        <v>63</v>
      </c>
      <c r="M407">
        <v>2</v>
      </c>
      <c r="N407" t="s">
        <v>44</v>
      </c>
      <c r="O407">
        <v>0.41</v>
      </c>
      <c r="P407" t="s">
        <v>70</v>
      </c>
      <c r="Q407">
        <v>13248</v>
      </c>
      <c r="R407">
        <v>2999</v>
      </c>
      <c r="S407" t="s">
        <v>44</v>
      </c>
      <c r="T407">
        <v>16909</v>
      </c>
      <c r="U407" t="s">
        <v>57</v>
      </c>
      <c r="V407">
        <v>60</v>
      </c>
      <c r="W407">
        <v>5</v>
      </c>
      <c r="X407" t="s">
        <v>31</v>
      </c>
      <c r="Y407" t="s">
        <v>32</v>
      </c>
      <c r="Z407" t="s">
        <v>39</v>
      </c>
      <c r="AA407" t="s">
        <v>34</v>
      </c>
      <c r="AB407" t="s">
        <v>35</v>
      </c>
      <c r="AC407" t="s">
        <v>36</v>
      </c>
    </row>
    <row r="408" spans="1:29" x14ac:dyDescent="0.25">
      <c r="A408">
        <v>427</v>
      </c>
      <c r="B408">
        <v>15584</v>
      </c>
      <c r="C408">
        <v>9759</v>
      </c>
      <c r="D408">
        <v>25343</v>
      </c>
      <c r="E408" t="s">
        <v>29</v>
      </c>
      <c r="F408">
        <v>47</v>
      </c>
      <c r="G408" t="s">
        <v>53</v>
      </c>
      <c r="H408" t="s">
        <v>41</v>
      </c>
      <c r="I408">
        <v>0</v>
      </c>
      <c r="J408" t="s">
        <v>54</v>
      </c>
      <c r="K408">
        <v>646</v>
      </c>
      <c r="L408" t="s">
        <v>55</v>
      </c>
      <c r="M408">
        <v>1</v>
      </c>
      <c r="N408" t="s">
        <v>44</v>
      </c>
      <c r="O408">
        <v>0.18</v>
      </c>
      <c r="P408" t="s">
        <v>59</v>
      </c>
      <c r="Q408">
        <v>419</v>
      </c>
      <c r="R408">
        <v>44070</v>
      </c>
      <c r="S408" t="s">
        <v>44</v>
      </c>
      <c r="T408">
        <v>25146</v>
      </c>
      <c r="U408" t="s">
        <v>64</v>
      </c>
      <c r="V408">
        <v>72</v>
      </c>
      <c r="W408">
        <v>6</v>
      </c>
      <c r="X408" t="s">
        <v>37</v>
      </c>
      <c r="Y408" t="s">
        <v>45</v>
      </c>
      <c r="Z408" t="s">
        <v>33</v>
      </c>
      <c r="AA408" t="s">
        <v>34</v>
      </c>
      <c r="AB408" t="s">
        <v>43</v>
      </c>
      <c r="AC408" t="s">
        <v>36</v>
      </c>
    </row>
    <row r="409" spans="1:29" x14ac:dyDescent="0.25">
      <c r="A409">
        <v>428</v>
      </c>
      <c r="B409">
        <v>14144</v>
      </c>
      <c r="C409">
        <v>6154</v>
      </c>
      <c r="D409">
        <v>20298</v>
      </c>
      <c r="E409" t="s">
        <v>49</v>
      </c>
      <c r="F409">
        <v>46</v>
      </c>
      <c r="G409" t="s">
        <v>53</v>
      </c>
      <c r="H409" t="s">
        <v>30</v>
      </c>
      <c r="I409">
        <v>2</v>
      </c>
      <c r="J409" t="s">
        <v>62</v>
      </c>
      <c r="K409">
        <v>742</v>
      </c>
      <c r="L409" t="s">
        <v>71</v>
      </c>
      <c r="M409">
        <v>0</v>
      </c>
      <c r="N409" t="s">
        <v>36</v>
      </c>
      <c r="O409">
        <v>0.57999999999999996</v>
      </c>
      <c r="P409" t="s">
        <v>56</v>
      </c>
      <c r="Q409">
        <v>15608</v>
      </c>
      <c r="R409">
        <v>49220</v>
      </c>
      <c r="S409" t="s">
        <v>44</v>
      </c>
      <c r="T409">
        <v>12802</v>
      </c>
      <c r="U409" t="s">
        <v>57</v>
      </c>
      <c r="V409">
        <v>84</v>
      </c>
      <c r="W409">
        <v>7</v>
      </c>
      <c r="X409" t="s">
        <v>31</v>
      </c>
      <c r="Y409" t="s">
        <v>32</v>
      </c>
      <c r="Z409" t="s">
        <v>39</v>
      </c>
      <c r="AA409" t="s">
        <v>40</v>
      </c>
      <c r="AB409" t="s">
        <v>42</v>
      </c>
      <c r="AC409" t="s">
        <v>36</v>
      </c>
    </row>
    <row r="410" spans="1:29" x14ac:dyDescent="0.25">
      <c r="A410">
        <v>429</v>
      </c>
      <c r="B410">
        <v>16397</v>
      </c>
      <c r="C410">
        <v>5420</v>
      </c>
      <c r="D410">
        <v>21817</v>
      </c>
      <c r="E410" t="s">
        <v>29</v>
      </c>
      <c r="F410">
        <v>39</v>
      </c>
      <c r="G410" t="s">
        <v>65</v>
      </c>
      <c r="H410" t="s">
        <v>30</v>
      </c>
      <c r="I410">
        <v>2</v>
      </c>
      <c r="J410" t="s">
        <v>62</v>
      </c>
      <c r="K410">
        <v>786</v>
      </c>
      <c r="L410" t="s">
        <v>71</v>
      </c>
      <c r="M410">
        <v>2</v>
      </c>
      <c r="N410" t="s">
        <v>44</v>
      </c>
      <c r="O410">
        <v>0.56000000000000005</v>
      </c>
      <c r="P410" t="s">
        <v>56</v>
      </c>
      <c r="Q410">
        <v>3659</v>
      </c>
      <c r="R410">
        <v>15595</v>
      </c>
      <c r="S410" t="s">
        <v>44</v>
      </c>
      <c r="T410">
        <v>8896</v>
      </c>
      <c r="U410" t="s">
        <v>57</v>
      </c>
      <c r="V410">
        <v>84</v>
      </c>
      <c r="W410">
        <v>7</v>
      </c>
      <c r="X410" t="s">
        <v>50</v>
      </c>
      <c r="Y410" t="s">
        <v>32</v>
      </c>
      <c r="Z410" t="s">
        <v>39</v>
      </c>
      <c r="AA410" t="s">
        <v>34</v>
      </c>
      <c r="AB410" t="s">
        <v>51</v>
      </c>
      <c r="AC410" t="s">
        <v>36</v>
      </c>
    </row>
    <row r="411" spans="1:29" x14ac:dyDescent="0.25">
      <c r="A411">
        <v>430</v>
      </c>
      <c r="B411">
        <v>10787</v>
      </c>
      <c r="C411">
        <v>8920</v>
      </c>
      <c r="D411">
        <v>19707</v>
      </c>
      <c r="E411" t="s">
        <v>49</v>
      </c>
      <c r="F411">
        <v>48</v>
      </c>
      <c r="G411" t="s">
        <v>53</v>
      </c>
      <c r="H411" t="s">
        <v>41</v>
      </c>
      <c r="I411">
        <v>2</v>
      </c>
      <c r="J411" t="s">
        <v>62</v>
      </c>
      <c r="K411">
        <v>680</v>
      </c>
      <c r="L411" t="s">
        <v>63</v>
      </c>
      <c r="M411">
        <v>1</v>
      </c>
      <c r="N411" t="s">
        <v>44</v>
      </c>
      <c r="O411">
        <v>0.18</v>
      </c>
      <c r="P411" t="s">
        <v>59</v>
      </c>
      <c r="Q411">
        <v>5283</v>
      </c>
      <c r="R411">
        <v>0</v>
      </c>
      <c r="S411" t="s">
        <v>36</v>
      </c>
      <c r="T411">
        <v>29133</v>
      </c>
      <c r="U411" t="s">
        <v>64</v>
      </c>
      <c r="V411">
        <v>84</v>
      </c>
      <c r="W411">
        <v>7</v>
      </c>
      <c r="X411" t="s">
        <v>47</v>
      </c>
      <c r="Y411" t="s">
        <v>38</v>
      </c>
      <c r="Z411" t="s">
        <v>39</v>
      </c>
      <c r="AA411" t="s">
        <v>40</v>
      </c>
      <c r="AB411" t="s">
        <v>35</v>
      </c>
      <c r="AC411" t="s">
        <v>44</v>
      </c>
    </row>
    <row r="412" spans="1:29" x14ac:dyDescent="0.25">
      <c r="A412">
        <v>431</v>
      </c>
      <c r="B412">
        <v>16191</v>
      </c>
      <c r="C412">
        <v>2043</v>
      </c>
      <c r="D412">
        <v>18234</v>
      </c>
      <c r="E412" t="s">
        <v>48</v>
      </c>
      <c r="F412">
        <v>37</v>
      </c>
      <c r="G412" t="s">
        <v>65</v>
      </c>
      <c r="H412" t="s">
        <v>30</v>
      </c>
      <c r="I412">
        <v>3</v>
      </c>
      <c r="J412" t="s">
        <v>58</v>
      </c>
      <c r="K412">
        <v>719</v>
      </c>
      <c r="L412" t="s">
        <v>63</v>
      </c>
      <c r="M412">
        <v>1</v>
      </c>
      <c r="N412" t="s">
        <v>44</v>
      </c>
      <c r="O412">
        <v>0.16</v>
      </c>
      <c r="P412" t="s">
        <v>59</v>
      </c>
      <c r="Q412">
        <v>10715</v>
      </c>
      <c r="R412">
        <v>6200</v>
      </c>
      <c r="S412" t="s">
        <v>44</v>
      </c>
      <c r="T412">
        <v>14526</v>
      </c>
      <c r="U412" t="s">
        <v>57</v>
      </c>
      <c r="V412">
        <v>36</v>
      </c>
      <c r="W412">
        <v>3</v>
      </c>
      <c r="X412" t="s">
        <v>42</v>
      </c>
      <c r="Y412" t="s">
        <v>45</v>
      </c>
      <c r="Z412" t="s">
        <v>33</v>
      </c>
      <c r="AA412" t="s">
        <v>40</v>
      </c>
      <c r="AB412" t="s">
        <v>43</v>
      </c>
      <c r="AC412" t="s">
        <v>44</v>
      </c>
    </row>
    <row r="413" spans="1:29" x14ac:dyDescent="0.25">
      <c r="A413">
        <v>432</v>
      </c>
      <c r="B413">
        <v>2728</v>
      </c>
      <c r="C413">
        <v>4197</v>
      </c>
      <c r="D413">
        <v>6925</v>
      </c>
      <c r="E413" t="s">
        <v>29</v>
      </c>
      <c r="F413">
        <v>40</v>
      </c>
      <c r="G413" t="s">
        <v>65</v>
      </c>
      <c r="H413" t="s">
        <v>41</v>
      </c>
      <c r="I413">
        <v>0</v>
      </c>
      <c r="J413" t="s">
        <v>54</v>
      </c>
      <c r="K413">
        <v>570</v>
      </c>
      <c r="L413" t="s">
        <v>66</v>
      </c>
      <c r="M413">
        <v>0</v>
      </c>
      <c r="N413" t="s">
        <v>36</v>
      </c>
      <c r="O413">
        <v>0.14000000000000001</v>
      </c>
      <c r="P413" t="s">
        <v>59</v>
      </c>
      <c r="Q413">
        <v>16165</v>
      </c>
      <c r="R413">
        <v>38164</v>
      </c>
      <c r="S413" t="s">
        <v>44</v>
      </c>
      <c r="T413">
        <v>12278</v>
      </c>
      <c r="U413" t="s">
        <v>57</v>
      </c>
      <c r="V413">
        <v>48</v>
      </c>
      <c r="W413">
        <v>4</v>
      </c>
      <c r="X413" t="s">
        <v>47</v>
      </c>
      <c r="Y413" t="s">
        <v>45</v>
      </c>
      <c r="Z413" t="s">
        <v>39</v>
      </c>
      <c r="AA413" t="s">
        <v>40</v>
      </c>
      <c r="AB413" t="s">
        <v>48</v>
      </c>
      <c r="AC413" t="s">
        <v>36</v>
      </c>
    </row>
    <row r="414" spans="1:29" x14ac:dyDescent="0.25">
      <c r="A414">
        <v>433</v>
      </c>
      <c r="B414">
        <v>19749</v>
      </c>
      <c r="C414">
        <v>3496</v>
      </c>
      <c r="D414">
        <v>23245</v>
      </c>
      <c r="E414" t="s">
        <v>49</v>
      </c>
      <c r="F414">
        <v>59</v>
      </c>
      <c r="G414" t="s">
        <v>69</v>
      </c>
      <c r="H414" t="s">
        <v>41</v>
      </c>
      <c r="I414">
        <v>2</v>
      </c>
      <c r="J414" t="s">
        <v>62</v>
      </c>
      <c r="K414">
        <v>776</v>
      </c>
      <c r="L414" t="s">
        <v>71</v>
      </c>
      <c r="M414">
        <v>1</v>
      </c>
      <c r="N414" t="s">
        <v>44</v>
      </c>
      <c r="O414">
        <v>0.55000000000000004</v>
      </c>
      <c r="P414" t="s">
        <v>56</v>
      </c>
      <c r="Q414">
        <v>1340</v>
      </c>
      <c r="R414">
        <v>23377</v>
      </c>
      <c r="S414" t="s">
        <v>44</v>
      </c>
      <c r="T414">
        <v>26551</v>
      </c>
      <c r="U414" t="s">
        <v>64</v>
      </c>
      <c r="V414">
        <v>48</v>
      </c>
      <c r="W414">
        <v>4</v>
      </c>
      <c r="X414" t="s">
        <v>47</v>
      </c>
      <c r="Y414" t="s">
        <v>38</v>
      </c>
      <c r="Z414" t="s">
        <v>39</v>
      </c>
      <c r="AA414" t="s">
        <v>34</v>
      </c>
      <c r="AB414" t="s">
        <v>35</v>
      </c>
      <c r="AC414" t="s">
        <v>36</v>
      </c>
    </row>
    <row r="415" spans="1:29" x14ac:dyDescent="0.25">
      <c r="A415">
        <v>434</v>
      </c>
      <c r="B415">
        <v>2698</v>
      </c>
      <c r="C415">
        <v>778</v>
      </c>
      <c r="D415">
        <v>3476</v>
      </c>
      <c r="E415" t="s">
        <v>29</v>
      </c>
      <c r="F415">
        <v>43</v>
      </c>
      <c r="G415" t="s">
        <v>65</v>
      </c>
      <c r="H415" t="s">
        <v>41</v>
      </c>
      <c r="I415">
        <v>3</v>
      </c>
      <c r="J415" t="s">
        <v>58</v>
      </c>
      <c r="K415">
        <v>782</v>
      </c>
      <c r="L415" t="s">
        <v>71</v>
      </c>
      <c r="M415">
        <v>4</v>
      </c>
      <c r="N415" t="s">
        <v>44</v>
      </c>
      <c r="O415">
        <v>0.2</v>
      </c>
      <c r="P415" t="s">
        <v>59</v>
      </c>
      <c r="Q415">
        <v>14805</v>
      </c>
      <c r="R415">
        <v>13410</v>
      </c>
      <c r="S415" t="s">
        <v>44</v>
      </c>
      <c r="T415">
        <v>26298</v>
      </c>
      <c r="U415" t="s">
        <v>64</v>
      </c>
      <c r="V415">
        <v>84</v>
      </c>
      <c r="W415">
        <v>7</v>
      </c>
      <c r="X415" t="s">
        <v>50</v>
      </c>
      <c r="Y415" t="s">
        <v>32</v>
      </c>
      <c r="Z415" t="s">
        <v>39</v>
      </c>
      <c r="AA415" t="s">
        <v>34</v>
      </c>
      <c r="AB415" t="s">
        <v>42</v>
      </c>
      <c r="AC415" t="s">
        <v>36</v>
      </c>
    </row>
    <row r="416" spans="1:29" x14ac:dyDescent="0.25">
      <c r="A416">
        <v>435</v>
      </c>
      <c r="B416">
        <v>9186</v>
      </c>
      <c r="C416">
        <v>213</v>
      </c>
      <c r="D416">
        <v>9399</v>
      </c>
      <c r="E416" t="s">
        <v>49</v>
      </c>
      <c r="F416">
        <v>52</v>
      </c>
      <c r="G416" t="s">
        <v>53</v>
      </c>
      <c r="H416" t="s">
        <v>41</v>
      </c>
      <c r="I416">
        <v>2</v>
      </c>
      <c r="J416" t="s">
        <v>62</v>
      </c>
      <c r="K416">
        <v>550</v>
      </c>
      <c r="L416" t="s">
        <v>66</v>
      </c>
      <c r="M416">
        <v>2</v>
      </c>
      <c r="N416" t="s">
        <v>44</v>
      </c>
      <c r="O416">
        <v>0.31</v>
      </c>
      <c r="P416" t="s">
        <v>67</v>
      </c>
      <c r="Q416">
        <v>10584</v>
      </c>
      <c r="R416">
        <v>45971</v>
      </c>
      <c r="S416" t="s">
        <v>44</v>
      </c>
      <c r="T416">
        <v>36338</v>
      </c>
      <c r="U416" t="s">
        <v>60</v>
      </c>
      <c r="V416">
        <v>48</v>
      </c>
      <c r="W416">
        <v>4</v>
      </c>
      <c r="X416" t="s">
        <v>31</v>
      </c>
      <c r="Y416" t="s">
        <v>45</v>
      </c>
      <c r="Z416" t="s">
        <v>33</v>
      </c>
      <c r="AA416" t="s">
        <v>34</v>
      </c>
      <c r="AB416" t="s">
        <v>48</v>
      </c>
      <c r="AC416" t="s">
        <v>36</v>
      </c>
    </row>
    <row r="417" spans="1:29" x14ac:dyDescent="0.25">
      <c r="A417">
        <v>437</v>
      </c>
      <c r="B417">
        <v>15923</v>
      </c>
      <c r="C417">
        <v>9768</v>
      </c>
      <c r="D417">
        <v>25691</v>
      </c>
      <c r="E417" t="s">
        <v>49</v>
      </c>
      <c r="F417">
        <v>25</v>
      </c>
      <c r="G417" t="s">
        <v>61</v>
      </c>
      <c r="H417" t="s">
        <v>41</v>
      </c>
      <c r="I417">
        <v>1</v>
      </c>
      <c r="J417" t="s">
        <v>68</v>
      </c>
      <c r="K417">
        <v>702</v>
      </c>
      <c r="L417" t="s">
        <v>63</v>
      </c>
      <c r="M417">
        <v>0</v>
      </c>
      <c r="N417" t="s">
        <v>36</v>
      </c>
      <c r="O417">
        <v>0.4</v>
      </c>
      <c r="P417" t="s">
        <v>67</v>
      </c>
      <c r="Q417">
        <v>5137</v>
      </c>
      <c r="R417">
        <v>10564</v>
      </c>
      <c r="S417" t="s">
        <v>44</v>
      </c>
      <c r="T417">
        <v>34092</v>
      </c>
      <c r="U417" t="s">
        <v>64</v>
      </c>
      <c r="V417">
        <v>84</v>
      </c>
      <c r="W417">
        <v>7</v>
      </c>
      <c r="X417" t="s">
        <v>42</v>
      </c>
      <c r="Y417" t="s">
        <v>32</v>
      </c>
      <c r="Z417" t="s">
        <v>39</v>
      </c>
      <c r="AA417" t="s">
        <v>40</v>
      </c>
      <c r="AB417" t="s">
        <v>43</v>
      </c>
      <c r="AC417" t="s">
        <v>36</v>
      </c>
    </row>
    <row r="418" spans="1:29" x14ac:dyDescent="0.25">
      <c r="A418">
        <v>438</v>
      </c>
      <c r="B418">
        <v>18779</v>
      </c>
      <c r="C418">
        <v>6731</v>
      </c>
      <c r="D418">
        <v>25510</v>
      </c>
      <c r="E418" t="s">
        <v>29</v>
      </c>
      <c r="F418">
        <v>54</v>
      </c>
      <c r="G418" t="s">
        <v>53</v>
      </c>
      <c r="H418" t="s">
        <v>30</v>
      </c>
      <c r="I418">
        <v>0</v>
      </c>
      <c r="J418" t="s">
        <v>54</v>
      </c>
      <c r="K418">
        <v>676</v>
      </c>
      <c r="L418" t="s">
        <v>63</v>
      </c>
      <c r="M418">
        <v>0</v>
      </c>
      <c r="N418" t="s">
        <v>36</v>
      </c>
      <c r="O418">
        <v>0.14000000000000001</v>
      </c>
      <c r="P418" t="s">
        <v>59</v>
      </c>
      <c r="Q418">
        <v>17745</v>
      </c>
      <c r="R418">
        <v>45516</v>
      </c>
      <c r="S418" t="s">
        <v>44</v>
      </c>
      <c r="T418">
        <v>24871</v>
      </c>
      <c r="U418" t="s">
        <v>64</v>
      </c>
      <c r="V418">
        <v>12</v>
      </c>
      <c r="W418">
        <v>1</v>
      </c>
      <c r="X418" t="s">
        <v>50</v>
      </c>
      <c r="Y418" t="s">
        <v>32</v>
      </c>
      <c r="Z418" t="s">
        <v>39</v>
      </c>
      <c r="AA418" t="s">
        <v>40</v>
      </c>
      <c r="AB418" t="s">
        <v>43</v>
      </c>
      <c r="AC418" t="s">
        <v>44</v>
      </c>
    </row>
    <row r="419" spans="1:29" x14ac:dyDescent="0.25">
      <c r="A419">
        <v>439</v>
      </c>
      <c r="B419">
        <v>9400</v>
      </c>
      <c r="C419">
        <v>3117</v>
      </c>
      <c r="D419">
        <v>12517</v>
      </c>
      <c r="E419" t="s">
        <v>29</v>
      </c>
      <c r="F419">
        <v>31</v>
      </c>
      <c r="G419" t="s">
        <v>61</v>
      </c>
      <c r="H419" t="s">
        <v>30</v>
      </c>
      <c r="I419">
        <v>3</v>
      </c>
      <c r="J419" t="s">
        <v>58</v>
      </c>
      <c r="K419">
        <v>786</v>
      </c>
      <c r="L419" t="s">
        <v>71</v>
      </c>
      <c r="M419">
        <v>0</v>
      </c>
      <c r="N419" t="s">
        <v>36</v>
      </c>
      <c r="O419">
        <v>0.21</v>
      </c>
      <c r="P419" t="s">
        <v>59</v>
      </c>
      <c r="Q419">
        <v>591</v>
      </c>
      <c r="R419">
        <v>30898</v>
      </c>
      <c r="S419" t="s">
        <v>44</v>
      </c>
      <c r="T419">
        <v>10721</v>
      </c>
      <c r="U419" t="s">
        <v>57</v>
      </c>
      <c r="V419">
        <v>36</v>
      </c>
      <c r="W419">
        <v>3</v>
      </c>
      <c r="X419" t="s">
        <v>42</v>
      </c>
      <c r="Y419" t="s">
        <v>32</v>
      </c>
      <c r="Z419" t="s">
        <v>33</v>
      </c>
      <c r="AA419" t="s">
        <v>34</v>
      </c>
      <c r="AB419" t="s">
        <v>35</v>
      </c>
      <c r="AC419" t="s">
        <v>44</v>
      </c>
    </row>
    <row r="420" spans="1:29" x14ac:dyDescent="0.25">
      <c r="A420">
        <v>440</v>
      </c>
      <c r="B420">
        <v>6171</v>
      </c>
      <c r="C420">
        <v>5791</v>
      </c>
      <c r="D420">
        <v>11962</v>
      </c>
      <c r="E420" t="s">
        <v>29</v>
      </c>
      <c r="F420">
        <v>23</v>
      </c>
      <c r="G420" t="s">
        <v>72</v>
      </c>
      <c r="H420" t="s">
        <v>41</v>
      </c>
      <c r="I420">
        <v>1</v>
      </c>
      <c r="J420" t="s">
        <v>68</v>
      </c>
      <c r="K420">
        <v>779</v>
      </c>
      <c r="L420" t="s">
        <v>71</v>
      </c>
      <c r="M420">
        <v>2</v>
      </c>
      <c r="N420" t="s">
        <v>44</v>
      </c>
      <c r="O420">
        <v>0.56999999999999995</v>
      </c>
      <c r="P420" t="s">
        <v>56</v>
      </c>
      <c r="Q420">
        <v>526</v>
      </c>
      <c r="R420">
        <v>49725</v>
      </c>
      <c r="S420" t="s">
        <v>44</v>
      </c>
      <c r="T420">
        <v>39413</v>
      </c>
      <c r="U420" t="s">
        <v>60</v>
      </c>
      <c r="V420">
        <v>72</v>
      </c>
      <c r="W420">
        <v>6</v>
      </c>
      <c r="X420" t="s">
        <v>50</v>
      </c>
      <c r="Y420" t="s">
        <v>32</v>
      </c>
      <c r="Z420" t="s">
        <v>39</v>
      </c>
      <c r="AA420" t="s">
        <v>40</v>
      </c>
      <c r="AB420" t="s">
        <v>43</v>
      </c>
      <c r="AC420" t="s">
        <v>36</v>
      </c>
    </row>
    <row r="421" spans="1:29" x14ac:dyDescent="0.25">
      <c r="A421">
        <v>441</v>
      </c>
      <c r="B421">
        <v>6360</v>
      </c>
      <c r="C421">
        <v>8783</v>
      </c>
      <c r="D421">
        <v>15143</v>
      </c>
      <c r="E421" t="s">
        <v>29</v>
      </c>
      <c r="F421">
        <v>53</v>
      </c>
      <c r="G421" t="s">
        <v>53</v>
      </c>
      <c r="H421" t="s">
        <v>30</v>
      </c>
      <c r="I421">
        <v>1</v>
      </c>
      <c r="J421" t="s">
        <v>68</v>
      </c>
      <c r="K421">
        <v>786</v>
      </c>
      <c r="L421" t="s">
        <v>71</v>
      </c>
      <c r="M421">
        <v>1</v>
      </c>
      <c r="N421" t="s">
        <v>44</v>
      </c>
      <c r="O421">
        <v>0.35</v>
      </c>
      <c r="P421" t="s">
        <v>67</v>
      </c>
      <c r="Q421">
        <v>7855</v>
      </c>
      <c r="R421">
        <v>20598</v>
      </c>
      <c r="S421" t="s">
        <v>44</v>
      </c>
      <c r="T421">
        <v>31279</v>
      </c>
      <c r="U421" t="s">
        <v>64</v>
      </c>
      <c r="V421">
        <v>36</v>
      </c>
      <c r="W421">
        <v>3</v>
      </c>
      <c r="X421" t="s">
        <v>42</v>
      </c>
      <c r="Y421" t="s">
        <v>32</v>
      </c>
      <c r="Z421" t="s">
        <v>33</v>
      </c>
      <c r="AA421" t="s">
        <v>40</v>
      </c>
      <c r="AB421" t="s">
        <v>43</v>
      </c>
      <c r="AC421" t="s">
        <v>36</v>
      </c>
    </row>
    <row r="422" spans="1:29" x14ac:dyDescent="0.25">
      <c r="A422">
        <v>442</v>
      </c>
      <c r="B422">
        <v>4502</v>
      </c>
      <c r="C422">
        <v>2720</v>
      </c>
      <c r="D422">
        <v>7222</v>
      </c>
      <c r="E422" t="s">
        <v>29</v>
      </c>
      <c r="F422">
        <v>31</v>
      </c>
      <c r="G422" t="s">
        <v>61</v>
      </c>
      <c r="H422" t="s">
        <v>30</v>
      </c>
      <c r="I422">
        <v>3</v>
      </c>
      <c r="J422" t="s">
        <v>58</v>
      </c>
      <c r="K422">
        <v>604</v>
      </c>
      <c r="L422" t="s">
        <v>55</v>
      </c>
      <c r="M422">
        <v>0</v>
      </c>
      <c r="N422" t="s">
        <v>36</v>
      </c>
      <c r="O422">
        <v>0.49</v>
      </c>
      <c r="P422" t="s">
        <v>70</v>
      </c>
      <c r="Q422">
        <v>10695</v>
      </c>
      <c r="R422">
        <v>40404</v>
      </c>
      <c r="S422" t="s">
        <v>44</v>
      </c>
      <c r="T422">
        <v>15404</v>
      </c>
      <c r="U422" t="s">
        <v>57</v>
      </c>
      <c r="V422">
        <v>84</v>
      </c>
      <c r="W422">
        <v>7</v>
      </c>
      <c r="X422" t="s">
        <v>42</v>
      </c>
      <c r="Y422" t="s">
        <v>32</v>
      </c>
      <c r="Z422" t="s">
        <v>39</v>
      </c>
      <c r="AA422" t="s">
        <v>40</v>
      </c>
      <c r="AB422" t="s">
        <v>51</v>
      </c>
      <c r="AC422" t="s">
        <v>36</v>
      </c>
    </row>
    <row r="423" spans="1:29" x14ac:dyDescent="0.25">
      <c r="A423">
        <v>443</v>
      </c>
      <c r="B423">
        <v>19101</v>
      </c>
      <c r="C423">
        <v>8905</v>
      </c>
      <c r="D423">
        <v>28006</v>
      </c>
      <c r="E423" t="s">
        <v>29</v>
      </c>
      <c r="F423">
        <v>36</v>
      </c>
      <c r="G423" t="s">
        <v>65</v>
      </c>
      <c r="H423" t="s">
        <v>30</v>
      </c>
      <c r="I423">
        <v>2</v>
      </c>
      <c r="J423" t="s">
        <v>62</v>
      </c>
      <c r="K423">
        <v>761</v>
      </c>
      <c r="L423" t="s">
        <v>71</v>
      </c>
      <c r="M423">
        <v>0</v>
      </c>
      <c r="N423" t="s">
        <v>36</v>
      </c>
      <c r="O423">
        <v>0.11</v>
      </c>
      <c r="P423" t="s">
        <v>59</v>
      </c>
      <c r="Q423">
        <v>0</v>
      </c>
      <c r="R423">
        <v>17862</v>
      </c>
      <c r="S423" t="s">
        <v>44</v>
      </c>
      <c r="T423">
        <v>5486</v>
      </c>
      <c r="U423" t="s">
        <v>57</v>
      </c>
      <c r="V423">
        <v>72</v>
      </c>
      <c r="W423">
        <v>6</v>
      </c>
      <c r="X423" t="s">
        <v>47</v>
      </c>
      <c r="Y423" t="s">
        <v>32</v>
      </c>
      <c r="Z423" t="s">
        <v>39</v>
      </c>
      <c r="AA423" t="s">
        <v>34</v>
      </c>
      <c r="AB423" t="s">
        <v>51</v>
      </c>
      <c r="AC423" t="s">
        <v>44</v>
      </c>
    </row>
    <row r="424" spans="1:29" x14ac:dyDescent="0.25">
      <c r="A424">
        <v>444</v>
      </c>
      <c r="B424">
        <v>7486</v>
      </c>
      <c r="C424">
        <v>9127</v>
      </c>
      <c r="D424">
        <v>16613</v>
      </c>
      <c r="E424" t="s">
        <v>29</v>
      </c>
      <c r="F424">
        <v>38</v>
      </c>
      <c r="G424" t="s">
        <v>65</v>
      </c>
      <c r="H424" t="s">
        <v>30</v>
      </c>
      <c r="I424">
        <v>3</v>
      </c>
      <c r="J424" t="s">
        <v>58</v>
      </c>
      <c r="K424">
        <v>729</v>
      </c>
      <c r="L424" t="s">
        <v>63</v>
      </c>
      <c r="M424">
        <v>4</v>
      </c>
      <c r="N424" t="s">
        <v>44</v>
      </c>
      <c r="O424">
        <v>0.26</v>
      </c>
      <c r="P424" t="s">
        <v>59</v>
      </c>
      <c r="Q424">
        <v>0</v>
      </c>
      <c r="R424">
        <v>10265</v>
      </c>
      <c r="S424" t="s">
        <v>44</v>
      </c>
      <c r="T424">
        <v>36198</v>
      </c>
      <c r="U424" t="s">
        <v>60</v>
      </c>
      <c r="V424">
        <v>84</v>
      </c>
      <c r="W424">
        <v>7</v>
      </c>
      <c r="X424" t="s">
        <v>47</v>
      </c>
      <c r="Y424" t="s">
        <v>32</v>
      </c>
      <c r="Z424" t="s">
        <v>39</v>
      </c>
      <c r="AA424" t="s">
        <v>40</v>
      </c>
      <c r="AB424" t="s">
        <v>42</v>
      </c>
      <c r="AC424" t="s">
        <v>44</v>
      </c>
    </row>
    <row r="425" spans="1:29" x14ac:dyDescent="0.25">
      <c r="A425">
        <v>445</v>
      </c>
      <c r="B425">
        <v>10335</v>
      </c>
      <c r="C425">
        <v>6047</v>
      </c>
      <c r="D425">
        <v>16382</v>
      </c>
      <c r="E425" t="s">
        <v>29</v>
      </c>
      <c r="F425">
        <v>50</v>
      </c>
      <c r="G425" t="s">
        <v>53</v>
      </c>
      <c r="H425" t="s">
        <v>41</v>
      </c>
      <c r="I425">
        <v>2</v>
      </c>
      <c r="J425" t="s">
        <v>62</v>
      </c>
      <c r="K425">
        <v>721</v>
      </c>
      <c r="L425" t="s">
        <v>63</v>
      </c>
      <c r="M425">
        <v>0</v>
      </c>
      <c r="N425" t="s">
        <v>36</v>
      </c>
      <c r="O425">
        <v>0.41</v>
      </c>
      <c r="P425" t="s">
        <v>70</v>
      </c>
      <c r="Q425">
        <v>16571</v>
      </c>
      <c r="R425">
        <v>9705</v>
      </c>
      <c r="S425" t="s">
        <v>44</v>
      </c>
      <c r="T425">
        <v>29687</v>
      </c>
      <c r="U425" t="s">
        <v>64</v>
      </c>
      <c r="V425">
        <v>72</v>
      </c>
      <c r="W425">
        <v>6</v>
      </c>
      <c r="X425" t="s">
        <v>50</v>
      </c>
      <c r="Y425" t="s">
        <v>32</v>
      </c>
      <c r="Z425" t="s">
        <v>33</v>
      </c>
      <c r="AA425" t="s">
        <v>40</v>
      </c>
      <c r="AB425" t="s">
        <v>35</v>
      </c>
      <c r="AC425" t="s">
        <v>36</v>
      </c>
    </row>
    <row r="426" spans="1:29" x14ac:dyDescent="0.25">
      <c r="A426">
        <v>446</v>
      </c>
      <c r="B426">
        <v>6491</v>
      </c>
      <c r="C426">
        <v>8032</v>
      </c>
      <c r="D426">
        <v>14523</v>
      </c>
      <c r="E426" t="s">
        <v>49</v>
      </c>
      <c r="F426">
        <v>30</v>
      </c>
      <c r="G426" t="s">
        <v>61</v>
      </c>
      <c r="H426" t="s">
        <v>30</v>
      </c>
      <c r="I426">
        <v>1</v>
      </c>
      <c r="J426" t="s">
        <v>68</v>
      </c>
      <c r="K426">
        <v>658</v>
      </c>
      <c r="L426" t="s">
        <v>55</v>
      </c>
      <c r="M426">
        <v>0</v>
      </c>
      <c r="N426" t="s">
        <v>36</v>
      </c>
      <c r="O426">
        <v>0.24</v>
      </c>
      <c r="P426" t="s">
        <v>59</v>
      </c>
      <c r="Q426">
        <v>19142</v>
      </c>
      <c r="R426">
        <v>25544</v>
      </c>
      <c r="S426" t="s">
        <v>44</v>
      </c>
      <c r="T426">
        <v>14156</v>
      </c>
      <c r="U426" t="s">
        <v>57</v>
      </c>
      <c r="V426">
        <v>84</v>
      </c>
      <c r="W426">
        <v>7</v>
      </c>
      <c r="X426" t="s">
        <v>31</v>
      </c>
      <c r="Y426" t="s">
        <v>32</v>
      </c>
      <c r="Z426" t="s">
        <v>39</v>
      </c>
      <c r="AA426" t="s">
        <v>34</v>
      </c>
      <c r="AB426" t="s">
        <v>35</v>
      </c>
      <c r="AC426" t="s">
        <v>44</v>
      </c>
    </row>
    <row r="427" spans="1:29" x14ac:dyDescent="0.25">
      <c r="A427">
        <v>447</v>
      </c>
      <c r="B427">
        <v>13130</v>
      </c>
      <c r="C427">
        <v>0</v>
      </c>
      <c r="D427">
        <v>13130</v>
      </c>
      <c r="E427" t="s">
        <v>29</v>
      </c>
      <c r="F427">
        <v>38</v>
      </c>
      <c r="G427" t="s">
        <v>65</v>
      </c>
      <c r="H427" t="s">
        <v>41</v>
      </c>
      <c r="I427">
        <v>1</v>
      </c>
      <c r="J427" t="s">
        <v>68</v>
      </c>
      <c r="K427">
        <v>647</v>
      </c>
      <c r="L427" t="s">
        <v>55</v>
      </c>
      <c r="M427">
        <v>4</v>
      </c>
      <c r="N427" t="s">
        <v>44</v>
      </c>
      <c r="O427">
        <v>0.55000000000000004</v>
      </c>
      <c r="P427" t="s">
        <v>56</v>
      </c>
      <c r="Q427">
        <v>8625</v>
      </c>
      <c r="R427">
        <v>14298</v>
      </c>
      <c r="S427" t="s">
        <v>44</v>
      </c>
      <c r="T427">
        <v>1567</v>
      </c>
      <c r="U427" t="s">
        <v>73</v>
      </c>
      <c r="V427">
        <v>12</v>
      </c>
      <c r="W427">
        <v>1</v>
      </c>
      <c r="X427" t="s">
        <v>47</v>
      </c>
      <c r="Y427" t="s">
        <v>32</v>
      </c>
      <c r="Z427" t="s">
        <v>33</v>
      </c>
      <c r="AA427" t="s">
        <v>34</v>
      </c>
      <c r="AB427" t="s">
        <v>35</v>
      </c>
      <c r="AC427" t="s">
        <v>36</v>
      </c>
    </row>
    <row r="428" spans="1:29" x14ac:dyDescent="0.25">
      <c r="A428">
        <v>448</v>
      </c>
      <c r="B428">
        <v>9651</v>
      </c>
      <c r="C428">
        <v>6368</v>
      </c>
      <c r="D428">
        <v>16019</v>
      </c>
      <c r="E428" t="s">
        <v>29</v>
      </c>
      <c r="F428">
        <v>40</v>
      </c>
      <c r="G428" t="s">
        <v>65</v>
      </c>
      <c r="H428" t="s">
        <v>41</v>
      </c>
      <c r="I428">
        <v>1</v>
      </c>
      <c r="J428" t="s">
        <v>68</v>
      </c>
      <c r="K428">
        <v>762</v>
      </c>
      <c r="L428" t="s">
        <v>71</v>
      </c>
      <c r="M428">
        <v>2</v>
      </c>
      <c r="N428" t="s">
        <v>44</v>
      </c>
      <c r="O428">
        <v>0.42</v>
      </c>
      <c r="P428" t="s">
        <v>70</v>
      </c>
      <c r="Q428">
        <v>6431</v>
      </c>
      <c r="R428">
        <v>32670</v>
      </c>
      <c r="S428" t="s">
        <v>44</v>
      </c>
      <c r="T428">
        <v>3179</v>
      </c>
      <c r="U428" t="s">
        <v>73</v>
      </c>
      <c r="V428">
        <v>36</v>
      </c>
      <c r="W428">
        <v>3</v>
      </c>
      <c r="X428" t="s">
        <v>47</v>
      </c>
      <c r="Y428" t="s">
        <v>45</v>
      </c>
      <c r="Z428" t="s">
        <v>39</v>
      </c>
      <c r="AA428" t="s">
        <v>40</v>
      </c>
      <c r="AB428" t="s">
        <v>42</v>
      </c>
      <c r="AC428" t="s">
        <v>36</v>
      </c>
    </row>
    <row r="429" spans="1:29" x14ac:dyDescent="0.25">
      <c r="A429">
        <v>449</v>
      </c>
      <c r="B429">
        <v>3167</v>
      </c>
      <c r="C429">
        <v>1949</v>
      </c>
      <c r="D429">
        <v>5116</v>
      </c>
      <c r="E429" t="s">
        <v>29</v>
      </c>
      <c r="F429">
        <v>39</v>
      </c>
      <c r="G429" t="s">
        <v>65</v>
      </c>
      <c r="H429" t="s">
        <v>41</v>
      </c>
      <c r="I429">
        <v>0</v>
      </c>
      <c r="J429" t="s">
        <v>54</v>
      </c>
      <c r="K429">
        <v>733</v>
      </c>
      <c r="L429" t="s">
        <v>63</v>
      </c>
      <c r="M429">
        <v>1</v>
      </c>
      <c r="N429" t="s">
        <v>44</v>
      </c>
      <c r="O429">
        <v>0.14000000000000001</v>
      </c>
      <c r="P429" t="s">
        <v>59</v>
      </c>
      <c r="Q429">
        <v>15926</v>
      </c>
      <c r="R429">
        <v>42471</v>
      </c>
      <c r="S429" t="s">
        <v>44</v>
      </c>
      <c r="T429">
        <v>3019</v>
      </c>
      <c r="U429" t="s">
        <v>73</v>
      </c>
      <c r="V429">
        <v>48</v>
      </c>
      <c r="W429">
        <v>4</v>
      </c>
      <c r="X429" t="s">
        <v>37</v>
      </c>
      <c r="Y429" t="s">
        <v>32</v>
      </c>
      <c r="Z429" t="s">
        <v>33</v>
      </c>
      <c r="AA429" t="s">
        <v>40</v>
      </c>
      <c r="AB429" t="s">
        <v>35</v>
      </c>
      <c r="AC429" t="s">
        <v>44</v>
      </c>
    </row>
    <row r="430" spans="1:29" x14ac:dyDescent="0.25">
      <c r="A430">
        <v>450</v>
      </c>
      <c r="B430">
        <v>3062</v>
      </c>
      <c r="C430">
        <v>6732</v>
      </c>
      <c r="D430">
        <v>9794</v>
      </c>
      <c r="E430" t="s">
        <v>29</v>
      </c>
      <c r="F430">
        <v>56</v>
      </c>
      <c r="G430" t="s">
        <v>69</v>
      </c>
      <c r="H430" t="s">
        <v>30</v>
      </c>
      <c r="I430">
        <v>0</v>
      </c>
      <c r="J430" t="s">
        <v>54</v>
      </c>
      <c r="K430">
        <v>732</v>
      </c>
      <c r="L430" t="s">
        <v>63</v>
      </c>
      <c r="M430">
        <v>2</v>
      </c>
      <c r="N430" t="s">
        <v>44</v>
      </c>
      <c r="O430">
        <v>0.55000000000000004</v>
      </c>
      <c r="P430" t="s">
        <v>56</v>
      </c>
      <c r="Q430">
        <v>11704</v>
      </c>
      <c r="R430">
        <v>46104</v>
      </c>
      <c r="S430" t="s">
        <v>44</v>
      </c>
      <c r="T430">
        <v>16919</v>
      </c>
      <c r="U430" t="s">
        <v>57</v>
      </c>
      <c r="V430">
        <v>12</v>
      </c>
      <c r="W430">
        <v>1</v>
      </c>
      <c r="X430" t="s">
        <v>47</v>
      </c>
      <c r="Y430" t="s">
        <v>38</v>
      </c>
      <c r="Z430" t="s">
        <v>39</v>
      </c>
      <c r="AA430" t="s">
        <v>34</v>
      </c>
      <c r="AB430" t="s">
        <v>43</v>
      </c>
      <c r="AC430" t="s">
        <v>36</v>
      </c>
    </row>
    <row r="431" spans="1:29" x14ac:dyDescent="0.25">
      <c r="A431">
        <v>451</v>
      </c>
      <c r="B431">
        <v>13174</v>
      </c>
      <c r="C431">
        <v>7833</v>
      </c>
      <c r="D431">
        <v>21007</v>
      </c>
      <c r="E431" t="s">
        <v>48</v>
      </c>
      <c r="F431">
        <v>33</v>
      </c>
      <c r="G431" t="s">
        <v>61</v>
      </c>
      <c r="H431" t="s">
        <v>41</v>
      </c>
      <c r="I431">
        <v>0</v>
      </c>
      <c r="J431" t="s">
        <v>54</v>
      </c>
      <c r="K431">
        <v>661</v>
      </c>
      <c r="L431" t="s">
        <v>55</v>
      </c>
      <c r="M431">
        <v>3</v>
      </c>
      <c r="N431" t="s">
        <v>44</v>
      </c>
      <c r="O431">
        <v>0.57999999999999996</v>
      </c>
      <c r="P431" t="s">
        <v>56</v>
      </c>
      <c r="Q431">
        <v>437</v>
      </c>
      <c r="R431">
        <v>40934</v>
      </c>
      <c r="S431" t="s">
        <v>44</v>
      </c>
      <c r="T431">
        <v>20703</v>
      </c>
      <c r="U431" t="s">
        <v>64</v>
      </c>
      <c r="V431">
        <v>24</v>
      </c>
      <c r="W431">
        <v>2</v>
      </c>
      <c r="X431" t="s">
        <v>31</v>
      </c>
      <c r="Y431" t="s">
        <v>38</v>
      </c>
      <c r="Z431" t="s">
        <v>39</v>
      </c>
      <c r="AA431" t="s">
        <v>40</v>
      </c>
      <c r="AB431" t="s">
        <v>35</v>
      </c>
      <c r="AC431" t="s">
        <v>36</v>
      </c>
    </row>
    <row r="432" spans="1:29" x14ac:dyDescent="0.25">
      <c r="A432">
        <v>452</v>
      </c>
      <c r="B432">
        <v>6729</v>
      </c>
      <c r="C432">
        <v>917</v>
      </c>
      <c r="D432">
        <v>7646</v>
      </c>
      <c r="E432" t="s">
        <v>29</v>
      </c>
      <c r="F432">
        <v>23</v>
      </c>
      <c r="G432" t="s">
        <v>72</v>
      </c>
      <c r="H432" t="s">
        <v>30</v>
      </c>
      <c r="I432">
        <v>3</v>
      </c>
      <c r="J432" t="s">
        <v>58</v>
      </c>
      <c r="K432">
        <v>764</v>
      </c>
      <c r="L432" t="s">
        <v>71</v>
      </c>
      <c r="M432">
        <v>3</v>
      </c>
      <c r="N432" t="s">
        <v>44</v>
      </c>
      <c r="O432">
        <v>0.14000000000000001</v>
      </c>
      <c r="P432" t="s">
        <v>59</v>
      </c>
      <c r="Q432">
        <v>10780</v>
      </c>
      <c r="R432">
        <v>48884</v>
      </c>
      <c r="S432" t="s">
        <v>44</v>
      </c>
      <c r="T432">
        <v>19704</v>
      </c>
      <c r="U432" t="s">
        <v>57</v>
      </c>
      <c r="V432">
        <v>84</v>
      </c>
      <c r="W432">
        <v>7</v>
      </c>
      <c r="X432" t="s">
        <v>37</v>
      </c>
      <c r="Y432" t="s">
        <v>45</v>
      </c>
      <c r="Z432" t="s">
        <v>39</v>
      </c>
      <c r="AA432" t="s">
        <v>34</v>
      </c>
      <c r="AB432" t="s">
        <v>51</v>
      </c>
      <c r="AC432" t="s">
        <v>44</v>
      </c>
    </row>
    <row r="433" spans="1:29" x14ac:dyDescent="0.25">
      <c r="A433">
        <v>453</v>
      </c>
      <c r="B433">
        <v>11348</v>
      </c>
      <c r="C433">
        <v>3174</v>
      </c>
      <c r="D433">
        <v>14522</v>
      </c>
      <c r="E433" t="s">
        <v>49</v>
      </c>
      <c r="F433">
        <v>30</v>
      </c>
      <c r="G433" t="s">
        <v>61</v>
      </c>
      <c r="H433" t="s">
        <v>41</v>
      </c>
      <c r="I433">
        <v>1</v>
      </c>
      <c r="J433" t="s">
        <v>68</v>
      </c>
      <c r="K433">
        <v>747</v>
      </c>
      <c r="L433" t="s">
        <v>71</v>
      </c>
      <c r="M433">
        <v>3</v>
      </c>
      <c r="N433" t="s">
        <v>44</v>
      </c>
      <c r="O433">
        <v>0.37</v>
      </c>
      <c r="P433" t="s">
        <v>67</v>
      </c>
      <c r="Q433">
        <v>17216</v>
      </c>
      <c r="R433">
        <v>6050</v>
      </c>
      <c r="S433" t="s">
        <v>44</v>
      </c>
      <c r="T433">
        <v>19030</v>
      </c>
      <c r="U433" t="s">
        <v>57</v>
      </c>
      <c r="V433">
        <v>60</v>
      </c>
      <c r="W433">
        <v>5</v>
      </c>
      <c r="X433" t="s">
        <v>42</v>
      </c>
      <c r="Y433" t="s">
        <v>45</v>
      </c>
      <c r="Z433" t="s">
        <v>39</v>
      </c>
      <c r="AA433" t="s">
        <v>34</v>
      </c>
      <c r="AB433" t="s">
        <v>51</v>
      </c>
      <c r="AC433" t="s">
        <v>44</v>
      </c>
    </row>
    <row r="434" spans="1:29" x14ac:dyDescent="0.25">
      <c r="A434">
        <v>454</v>
      </c>
      <c r="B434">
        <v>7334</v>
      </c>
      <c r="C434">
        <v>7014</v>
      </c>
      <c r="D434">
        <v>14348</v>
      </c>
      <c r="E434" t="s">
        <v>48</v>
      </c>
      <c r="F434">
        <v>58</v>
      </c>
      <c r="G434" t="s">
        <v>69</v>
      </c>
      <c r="H434" t="s">
        <v>30</v>
      </c>
      <c r="I434">
        <v>1</v>
      </c>
      <c r="J434" t="s">
        <v>68</v>
      </c>
      <c r="K434">
        <v>664</v>
      </c>
      <c r="L434" t="s">
        <v>55</v>
      </c>
      <c r="M434">
        <v>4</v>
      </c>
      <c r="N434" t="s">
        <v>44</v>
      </c>
      <c r="O434">
        <v>0.25</v>
      </c>
      <c r="P434" t="s">
        <v>59</v>
      </c>
      <c r="Q434">
        <v>8988</v>
      </c>
      <c r="R434">
        <v>43952</v>
      </c>
      <c r="S434" t="s">
        <v>44</v>
      </c>
      <c r="T434">
        <v>4909</v>
      </c>
      <c r="U434" t="s">
        <v>73</v>
      </c>
      <c r="V434">
        <v>72</v>
      </c>
      <c r="W434">
        <v>6</v>
      </c>
      <c r="X434" t="s">
        <v>42</v>
      </c>
      <c r="Y434" t="s">
        <v>32</v>
      </c>
      <c r="Z434" t="s">
        <v>39</v>
      </c>
      <c r="AA434" t="s">
        <v>40</v>
      </c>
      <c r="AB434" t="s">
        <v>42</v>
      </c>
      <c r="AC434" t="s">
        <v>44</v>
      </c>
    </row>
    <row r="435" spans="1:29" x14ac:dyDescent="0.25">
      <c r="A435">
        <v>455</v>
      </c>
      <c r="B435">
        <v>10924</v>
      </c>
      <c r="C435">
        <v>89</v>
      </c>
      <c r="D435">
        <v>11013</v>
      </c>
      <c r="E435" t="s">
        <v>49</v>
      </c>
      <c r="F435">
        <v>21</v>
      </c>
      <c r="G435" t="s">
        <v>72</v>
      </c>
      <c r="H435" t="s">
        <v>41</v>
      </c>
      <c r="I435">
        <v>3</v>
      </c>
      <c r="J435" t="s">
        <v>58</v>
      </c>
      <c r="K435">
        <v>666</v>
      </c>
      <c r="L435" t="s">
        <v>55</v>
      </c>
      <c r="M435">
        <v>0</v>
      </c>
      <c r="N435" t="s">
        <v>36</v>
      </c>
      <c r="O435">
        <v>0.3</v>
      </c>
      <c r="P435" t="s">
        <v>59</v>
      </c>
      <c r="Q435">
        <v>0</v>
      </c>
      <c r="R435">
        <v>21034</v>
      </c>
      <c r="S435" t="s">
        <v>44</v>
      </c>
      <c r="T435">
        <v>9015</v>
      </c>
      <c r="U435" t="s">
        <v>57</v>
      </c>
      <c r="V435">
        <v>48</v>
      </c>
      <c r="W435">
        <v>4</v>
      </c>
      <c r="X435" t="s">
        <v>37</v>
      </c>
      <c r="Y435" t="s">
        <v>32</v>
      </c>
      <c r="Z435" t="s">
        <v>39</v>
      </c>
      <c r="AA435" t="s">
        <v>34</v>
      </c>
      <c r="AB435" t="s">
        <v>35</v>
      </c>
      <c r="AC435" t="s">
        <v>44</v>
      </c>
    </row>
    <row r="436" spans="1:29" x14ac:dyDescent="0.25">
      <c r="A436">
        <v>456</v>
      </c>
      <c r="B436">
        <v>6330</v>
      </c>
      <c r="C436">
        <v>1709</v>
      </c>
      <c r="D436">
        <v>8039</v>
      </c>
      <c r="E436" t="s">
        <v>46</v>
      </c>
      <c r="F436">
        <v>47</v>
      </c>
      <c r="G436" t="s">
        <v>53</v>
      </c>
      <c r="H436" t="s">
        <v>41</v>
      </c>
      <c r="I436">
        <v>0</v>
      </c>
      <c r="J436" t="s">
        <v>54</v>
      </c>
      <c r="K436">
        <v>754</v>
      </c>
      <c r="L436" t="s">
        <v>71</v>
      </c>
      <c r="M436">
        <v>2</v>
      </c>
      <c r="N436" t="s">
        <v>44</v>
      </c>
      <c r="O436">
        <v>0.19</v>
      </c>
      <c r="P436" t="s">
        <v>59</v>
      </c>
      <c r="Q436">
        <v>5794</v>
      </c>
      <c r="R436">
        <v>45480</v>
      </c>
      <c r="S436" t="s">
        <v>44</v>
      </c>
      <c r="T436">
        <v>4420</v>
      </c>
      <c r="U436" t="s">
        <v>73</v>
      </c>
      <c r="V436">
        <v>12</v>
      </c>
      <c r="W436">
        <v>1</v>
      </c>
      <c r="X436" t="s">
        <v>42</v>
      </c>
      <c r="Y436" t="s">
        <v>38</v>
      </c>
      <c r="Z436" t="s">
        <v>39</v>
      </c>
      <c r="AA436" t="s">
        <v>34</v>
      </c>
      <c r="AB436" t="s">
        <v>43</v>
      </c>
      <c r="AC436" t="s">
        <v>44</v>
      </c>
    </row>
    <row r="437" spans="1:29" x14ac:dyDescent="0.25">
      <c r="A437">
        <v>457</v>
      </c>
      <c r="B437">
        <v>8801</v>
      </c>
      <c r="C437">
        <v>3041</v>
      </c>
      <c r="D437">
        <v>11842</v>
      </c>
      <c r="E437" t="s">
        <v>49</v>
      </c>
      <c r="F437">
        <v>28</v>
      </c>
      <c r="G437" t="s">
        <v>61</v>
      </c>
      <c r="H437" t="s">
        <v>30</v>
      </c>
      <c r="I437">
        <v>3</v>
      </c>
      <c r="J437" t="s">
        <v>58</v>
      </c>
      <c r="K437">
        <v>790</v>
      </c>
      <c r="L437" t="s">
        <v>71</v>
      </c>
      <c r="M437">
        <v>1</v>
      </c>
      <c r="N437" t="s">
        <v>44</v>
      </c>
      <c r="O437">
        <v>0.39</v>
      </c>
      <c r="P437" t="s">
        <v>67</v>
      </c>
      <c r="Q437">
        <v>0</v>
      </c>
      <c r="R437">
        <v>8484</v>
      </c>
      <c r="S437" t="s">
        <v>44</v>
      </c>
      <c r="T437">
        <v>17740</v>
      </c>
      <c r="U437" t="s">
        <v>57</v>
      </c>
      <c r="V437">
        <v>12</v>
      </c>
      <c r="W437">
        <v>1</v>
      </c>
      <c r="X437" t="s">
        <v>37</v>
      </c>
      <c r="Y437" t="s">
        <v>32</v>
      </c>
      <c r="Z437" t="s">
        <v>39</v>
      </c>
      <c r="AA437" t="s">
        <v>40</v>
      </c>
      <c r="AB437" t="s">
        <v>35</v>
      </c>
      <c r="AC437" t="s">
        <v>44</v>
      </c>
    </row>
    <row r="438" spans="1:29" x14ac:dyDescent="0.25">
      <c r="A438">
        <v>458</v>
      </c>
      <c r="B438">
        <v>6846</v>
      </c>
      <c r="C438">
        <v>105</v>
      </c>
      <c r="D438">
        <v>6951</v>
      </c>
      <c r="E438" t="s">
        <v>48</v>
      </c>
      <c r="F438">
        <v>40</v>
      </c>
      <c r="G438" t="s">
        <v>65</v>
      </c>
      <c r="H438" t="s">
        <v>30</v>
      </c>
      <c r="I438">
        <v>0</v>
      </c>
      <c r="J438" t="s">
        <v>54</v>
      </c>
      <c r="K438">
        <v>550</v>
      </c>
      <c r="L438" t="s">
        <v>66</v>
      </c>
      <c r="M438">
        <v>3</v>
      </c>
      <c r="N438" t="s">
        <v>44</v>
      </c>
      <c r="O438">
        <v>0.57999999999999996</v>
      </c>
      <c r="P438" t="s">
        <v>56</v>
      </c>
      <c r="Q438">
        <v>16301</v>
      </c>
      <c r="R438">
        <v>31323</v>
      </c>
      <c r="S438" t="s">
        <v>44</v>
      </c>
      <c r="T438">
        <v>0</v>
      </c>
      <c r="U438" t="s">
        <v>73</v>
      </c>
      <c r="V438">
        <v>72</v>
      </c>
      <c r="W438">
        <v>6</v>
      </c>
      <c r="X438" t="s">
        <v>50</v>
      </c>
      <c r="Y438" t="s">
        <v>38</v>
      </c>
      <c r="Z438" t="s">
        <v>39</v>
      </c>
      <c r="AA438" t="s">
        <v>40</v>
      </c>
      <c r="AB438" t="s">
        <v>35</v>
      </c>
      <c r="AC438" t="s">
        <v>36</v>
      </c>
    </row>
    <row r="439" spans="1:29" x14ac:dyDescent="0.25">
      <c r="A439">
        <v>459</v>
      </c>
      <c r="B439">
        <v>8731</v>
      </c>
      <c r="C439">
        <v>9078</v>
      </c>
      <c r="D439">
        <v>17809</v>
      </c>
      <c r="E439" t="s">
        <v>46</v>
      </c>
      <c r="F439">
        <v>29</v>
      </c>
      <c r="G439" t="s">
        <v>61</v>
      </c>
      <c r="H439" t="s">
        <v>41</v>
      </c>
      <c r="I439">
        <v>1</v>
      </c>
      <c r="J439" t="s">
        <v>68</v>
      </c>
      <c r="K439">
        <v>750</v>
      </c>
      <c r="L439" t="s">
        <v>71</v>
      </c>
      <c r="M439">
        <v>2</v>
      </c>
      <c r="N439" t="s">
        <v>44</v>
      </c>
      <c r="O439">
        <v>0.35</v>
      </c>
      <c r="P439" t="s">
        <v>67</v>
      </c>
      <c r="Q439">
        <v>684</v>
      </c>
      <c r="R439">
        <v>20796</v>
      </c>
      <c r="S439" t="s">
        <v>44</v>
      </c>
      <c r="T439">
        <v>20465</v>
      </c>
      <c r="U439" t="s">
        <v>64</v>
      </c>
      <c r="V439">
        <v>12</v>
      </c>
      <c r="W439">
        <v>1</v>
      </c>
      <c r="X439" t="s">
        <v>31</v>
      </c>
      <c r="Y439" t="s">
        <v>45</v>
      </c>
      <c r="Z439" t="s">
        <v>39</v>
      </c>
      <c r="AA439" t="s">
        <v>34</v>
      </c>
      <c r="AB439" t="s">
        <v>35</v>
      </c>
      <c r="AC439" t="s">
        <v>44</v>
      </c>
    </row>
    <row r="440" spans="1:29" x14ac:dyDescent="0.25">
      <c r="A440">
        <v>460</v>
      </c>
      <c r="B440">
        <v>17368</v>
      </c>
      <c r="C440">
        <v>8619</v>
      </c>
      <c r="D440">
        <v>25987</v>
      </c>
      <c r="E440" t="s">
        <v>46</v>
      </c>
      <c r="F440">
        <v>26</v>
      </c>
      <c r="G440" t="s">
        <v>61</v>
      </c>
      <c r="H440" t="s">
        <v>30</v>
      </c>
      <c r="I440">
        <v>2</v>
      </c>
      <c r="J440" t="s">
        <v>62</v>
      </c>
      <c r="K440">
        <v>630</v>
      </c>
      <c r="L440" t="s">
        <v>55</v>
      </c>
      <c r="M440">
        <v>3</v>
      </c>
      <c r="N440" t="s">
        <v>44</v>
      </c>
      <c r="O440">
        <v>0.35</v>
      </c>
      <c r="P440" t="s">
        <v>67</v>
      </c>
      <c r="Q440">
        <v>4233</v>
      </c>
      <c r="R440">
        <v>0</v>
      </c>
      <c r="S440" t="s">
        <v>36</v>
      </c>
      <c r="T440">
        <v>5131</v>
      </c>
      <c r="U440" t="s">
        <v>57</v>
      </c>
      <c r="V440">
        <v>24</v>
      </c>
      <c r="W440">
        <v>2</v>
      </c>
      <c r="X440" t="s">
        <v>31</v>
      </c>
      <c r="Y440" t="s">
        <v>32</v>
      </c>
      <c r="Z440" t="s">
        <v>39</v>
      </c>
      <c r="AA440" t="s">
        <v>40</v>
      </c>
      <c r="AB440" t="s">
        <v>35</v>
      </c>
      <c r="AC440" t="s">
        <v>36</v>
      </c>
    </row>
    <row r="441" spans="1:29" x14ac:dyDescent="0.25">
      <c r="A441">
        <v>461</v>
      </c>
      <c r="B441">
        <v>19337</v>
      </c>
      <c r="C441">
        <v>1895</v>
      </c>
      <c r="D441">
        <v>21232</v>
      </c>
      <c r="E441" t="s">
        <v>46</v>
      </c>
      <c r="F441">
        <v>45</v>
      </c>
      <c r="G441" t="s">
        <v>53</v>
      </c>
      <c r="H441" t="s">
        <v>41</v>
      </c>
      <c r="I441">
        <v>0</v>
      </c>
      <c r="J441" t="s">
        <v>54</v>
      </c>
      <c r="K441">
        <v>615</v>
      </c>
      <c r="L441" t="s">
        <v>55</v>
      </c>
      <c r="M441">
        <v>3</v>
      </c>
      <c r="N441" t="s">
        <v>44</v>
      </c>
      <c r="O441">
        <v>0.41</v>
      </c>
      <c r="P441" t="s">
        <v>70</v>
      </c>
      <c r="Q441">
        <v>16961</v>
      </c>
      <c r="R441">
        <v>21827</v>
      </c>
      <c r="S441" t="s">
        <v>44</v>
      </c>
      <c r="T441">
        <v>11652</v>
      </c>
      <c r="U441" t="s">
        <v>57</v>
      </c>
      <c r="V441">
        <v>12</v>
      </c>
      <c r="W441">
        <v>1</v>
      </c>
      <c r="X441" t="s">
        <v>42</v>
      </c>
      <c r="Y441" t="s">
        <v>32</v>
      </c>
      <c r="Z441" t="s">
        <v>39</v>
      </c>
      <c r="AA441" t="s">
        <v>34</v>
      </c>
      <c r="AB441" t="s">
        <v>35</v>
      </c>
      <c r="AC441" t="s">
        <v>36</v>
      </c>
    </row>
    <row r="442" spans="1:29" x14ac:dyDescent="0.25">
      <c r="A442">
        <v>462</v>
      </c>
      <c r="B442">
        <v>0</v>
      </c>
      <c r="C442">
        <v>6090</v>
      </c>
      <c r="D442">
        <v>6090</v>
      </c>
      <c r="E442" t="s">
        <v>46</v>
      </c>
      <c r="F442">
        <v>40</v>
      </c>
      <c r="G442" t="s">
        <v>65</v>
      </c>
      <c r="H442" t="s">
        <v>30</v>
      </c>
      <c r="I442">
        <v>1</v>
      </c>
      <c r="J442" t="s">
        <v>68</v>
      </c>
      <c r="K442">
        <v>568</v>
      </c>
      <c r="L442" t="s">
        <v>66</v>
      </c>
      <c r="M442">
        <v>1</v>
      </c>
      <c r="N442" t="s">
        <v>44</v>
      </c>
      <c r="O442">
        <v>0.27</v>
      </c>
      <c r="P442" t="s">
        <v>59</v>
      </c>
      <c r="Q442">
        <v>12997</v>
      </c>
      <c r="R442">
        <v>35361</v>
      </c>
      <c r="S442" t="s">
        <v>44</v>
      </c>
      <c r="T442">
        <v>22507</v>
      </c>
      <c r="U442" t="s">
        <v>64</v>
      </c>
      <c r="V442">
        <v>60</v>
      </c>
      <c r="W442">
        <v>5</v>
      </c>
      <c r="X442" t="s">
        <v>42</v>
      </c>
      <c r="Y442" t="s">
        <v>32</v>
      </c>
      <c r="Z442" t="s">
        <v>39</v>
      </c>
      <c r="AA442" t="s">
        <v>34</v>
      </c>
      <c r="AB442" t="s">
        <v>35</v>
      </c>
      <c r="AC442" t="s">
        <v>36</v>
      </c>
    </row>
    <row r="443" spans="1:29" x14ac:dyDescent="0.25">
      <c r="A443">
        <v>463</v>
      </c>
      <c r="B443">
        <v>9056</v>
      </c>
      <c r="C443">
        <v>8508</v>
      </c>
      <c r="D443">
        <v>17564</v>
      </c>
      <c r="E443" t="s">
        <v>46</v>
      </c>
      <c r="F443">
        <v>48</v>
      </c>
      <c r="G443" t="s">
        <v>53</v>
      </c>
      <c r="H443" t="s">
        <v>30</v>
      </c>
      <c r="I443">
        <v>1</v>
      </c>
      <c r="J443" t="s">
        <v>68</v>
      </c>
      <c r="K443">
        <v>760</v>
      </c>
      <c r="L443" t="s">
        <v>71</v>
      </c>
      <c r="M443">
        <v>4</v>
      </c>
      <c r="N443" t="s">
        <v>44</v>
      </c>
      <c r="O443">
        <v>0.53</v>
      </c>
      <c r="P443" t="s">
        <v>56</v>
      </c>
      <c r="Q443">
        <v>8007</v>
      </c>
      <c r="R443">
        <v>10315</v>
      </c>
      <c r="S443" t="s">
        <v>44</v>
      </c>
      <c r="T443">
        <v>24806</v>
      </c>
      <c r="U443" t="s">
        <v>64</v>
      </c>
      <c r="V443">
        <v>60</v>
      </c>
      <c r="W443">
        <v>5</v>
      </c>
      <c r="X443" t="s">
        <v>42</v>
      </c>
      <c r="Y443" t="s">
        <v>32</v>
      </c>
      <c r="Z443" t="s">
        <v>39</v>
      </c>
      <c r="AA443" t="s">
        <v>40</v>
      </c>
      <c r="AB443" t="s">
        <v>35</v>
      </c>
      <c r="AC443" t="s">
        <v>36</v>
      </c>
    </row>
    <row r="444" spans="1:29" x14ac:dyDescent="0.25">
      <c r="A444">
        <v>464</v>
      </c>
      <c r="B444">
        <v>13516</v>
      </c>
      <c r="C444">
        <v>0</v>
      </c>
      <c r="D444">
        <v>13516</v>
      </c>
      <c r="E444" t="s">
        <v>29</v>
      </c>
      <c r="F444">
        <v>53</v>
      </c>
      <c r="G444" t="s">
        <v>53</v>
      </c>
      <c r="H444" t="s">
        <v>30</v>
      </c>
      <c r="I444">
        <v>2</v>
      </c>
      <c r="J444" t="s">
        <v>62</v>
      </c>
      <c r="K444">
        <v>797</v>
      </c>
      <c r="L444" t="s">
        <v>71</v>
      </c>
      <c r="M444">
        <v>0</v>
      </c>
      <c r="N444" t="s">
        <v>36</v>
      </c>
      <c r="O444">
        <v>0.32</v>
      </c>
      <c r="P444" t="s">
        <v>67</v>
      </c>
      <c r="Q444">
        <v>16611</v>
      </c>
      <c r="R444">
        <v>47968</v>
      </c>
      <c r="S444" t="s">
        <v>44</v>
      </c>
      <c r="T444">
        <v>20171</v>
      </c>
      <c r="U444" t="s">
        <v>64</v>
      </c>
      <c r="V444">
        <v>84</v>
      </c>
      <c r="W444">
        <v>7</v>
      </c>
      <c r="X444" t="s">
        <v>47</v>
      </c>
      <c r="Y444" t="s">
        <v>32</v>
      </c>
      <c r="Z444" t="s">
        <v>39</v>
      </c>
      <c r="AA444" t="s">
        <v>34</v>
      </c>
      <c r="AB444" t="s">
        <v>42</v>
      </c>
      <c r="AC444" t="s">
        <v>44</v>
      </c>
    </row>
    <row r="445" spans="1:29" x14ac:dyDescent="0.25">
      <c r="A445">
        <v>465</v>
      </c>
      <c r="B445">
        <v>13493</v>
      </c>
      <c r="C445">
        <v>634</v>
      </c>
      <c r="D445">
        <v>14127</v>
      </c>
      <c r="E445" t="s">
        <v>29</v>
      </c>
      <c r="F445">
        <v>57</v>
      </c>
      <c r="G445" t="s">
        <v>69</v>
      </c>
      <c r="H445" t="s">
        <v>30</v>
      </c>
      <c r="I445">
        <v>1</v>
      </c>
      <c r="J445" t="s">
        <v>68</v>
      </c>
      <c r="K445">
        <v>684</v>
      </c>
      <c r="L445" t="s">
        <v>63</v>
      </c>
      <c r="M445">
        <v>4</v>
      </c>
      <c r="N445" t="s">
        <v>44</v>
      </c>
      <c r="O445">
        <v>0.2</v>
      </c>
      <c r="P445" t="s">
        <v>59</v>
      </c>
      <c r="Q445">
        <v>2328</v>
      </c>
      <c r="R445">
        <v>26519</v>
      </c>
      <c r="S445" t="s">
        <v>44</v>
      </c>
      <c r="T445">
        <v>21593</v>
      </c>
      <c r="U445" t="s">
        <v>64</v>
      </c>
      <c r="V445">
        <v>84</v>
      </c>
      <c r="W445">
        <v>7</v>
      </c>
      <c r="X445" t="s">
        <v>42</v>
      </c>
      <c r="Y445" t="s">
        <v>45</v>
      </c>
      <c r="Z445" t="s">
        <v>33</v>
      </c>
      <c r="AA445" t="s">
        <v>34</v>
      </c>
      <c r="AB445" t="s">
        <v>48</v>
      </c>
      <c r="AC445" t="s">
        <v>44</v>
      </c>
    </row>
    <row r="446" spans="1:29" x14ac:dyDescent="0.25">
      <c r="A446">
        <v>466</v>
      </c>
      <c r="B446">
        <v>3542</v>
      </c>
      <c r="C446">
        <v>1925</v>
      </c>
      <c r="D446">
        <v>5467</v>
      </c>
      <c r="E446" t="s">
        <v>29</v>
      </c>
      <c r="F446">
        <v>29</v>
      </c>
      <c r="G446" t="s">
        <v>61</v>
      </c>
      <c r="H446" t="s">
        <v>41</v>
      </c>
      <c r="I446">
        <v>1</v>
      </c>
      <c r="J446" t="s">
        <v>68</v>
      </c>
      <c r="K446">
        <v>550</v>
      </c>
      <c r="L446" t="s">
        <v>66</v>
      </c>
      <c r="M446">
        <v>2</v>
      </c>
      <c r="N446" t="s">
        <v>44</v>
      </c>
      <c r="O446">
        <v>0.2</v>
      </c>
      <c r="P446" t="s">
        <v>59</v>
      </c>
      <c r="Q446">
        <v>19115</v>
      </c>
      <c r="R446">
        <v>9107</v>
      </c>
      <c r="S446" t="s">
        <v>44</v>
      </c>
      <c r="T446">
        <v>10470</v>
      </c>
      <c r="U446" t="s">
        <v>57</v>
      </c>
      <c r="V446">
        <v>48</v>
      </c>
      <c r="W446">
        <v>4</v>
      </c>
      <c r="X446" t="s">
        <v>37</v>
      </c>
      <c r="Y446" t="s">
        <v>45</v>
      </c>
      <c r="Z446" t="s">
        <v>39</v>
      </c>
      <c r="AA446" t="s">
        <v>40</v>
      </c>
      <c r="AB446" t="s">
        <v>51</v>
      </c>
      <c r="AC446" t="s">
        <v>44</v>
      </c>
    </row>
    <row r="447" spans="1:29" x14ac:dyDescent="0.25">
      <c r="A447">
        <v>467</v>
      </c>
      <c r="B447">
        <v>15964</v>
      </c>
      <c r="C447">
        <v>2056</v>
      </c>
      <c r="D447">
        <v>18020</v>
      </c>
      <c r="E447" t="s">
        <v>29</v>
      </c>
      <c r="F447">
        <v>38</v>
      </c>
      <c r="G447" t="s">
        <v>65</v>
      </c>
      <c r="H447" t="s">
        <v>30</v>
      </c>
      <c r="I447">
        <v>0</v>
      </c>
      <c r="J447" t="s">
        <v>54</v>
      </c>
      <c r="K447">
        <v>740</v>
      </c>
      <c r="L447" t="s">
        <v>63</v>
      </c>
      <c r="M447">
        <v>4</v>
      </c>
      <c r="N447" t="s">
        <v>44</v>
      </c>
      <c r="O447">
        <v>0.48</v>
      </c>
      <c r="P447" t="s">
        <v>70</v>
      </c>
      <c r="Q447">
        <v>9019</v>
      </c>
      <c r="R447">
        <v>3869</v>
      </c>
      <c r="S447" t="s">
        <v>44</v>
      </c>
      <c r="T447">
        <v>22326</v>
      </c>
      <c r="U447" t="s">
        <v>64</v>
      </c>
      <c r="V447">
        <v>24</v>
      </c>
      <c r="W447">
        <v>2</v>
      </c>
      <c r="X447" t="s">
        <v>42</v>
      </c>
      <c r="Y447" t="s">
        <v>32</v>
      </c>
      <c r="Z447" t="s">
        <v>39</v>
      </c>
      <c r="AA447" t="s">
        <v>40</v>
      </c>
      <c r="AB447" t="s">
        <v>35</v>
      </c>
      <c r="AC447" t="s">
        <v>36</v>
      </c>
    </row>
    <row r="448" spans="1:29" x14ac:dyDescent="0.25">
      <c r="A448">
        <v>469</v>
      </c>
      <c r="B448">
        <v>8313</v>
      </c>
      <c r="C448">
        <v>3144</v>
      </c>
      <c r="D448">
        <v>11457</v>
      </c>
      <c r="E448" t="s">
        <v>29</v>
      </c>
      <c r="F448">
        <v>22</v>
      </c>
      <c r="G448" t="s">
        <v>72</v>
      </c>
      <c r="H448" t="s">
        <v>30</v>
      </c>
      <c r="I448">
        <v>2</v>
      </c>
      <c r="J448" t="s">
        <v>62</v>
      </c>
      <c r="K448">
        <v>591</v>
      </c>
      <c r="L448" t="s">
        <v>55</v>
      </c>
      <c r="M448">
        <v>2</v>
      </c>
      <c r="N448" t="s">
        <v>44</v>
      </c>
      <c r="O448">
        <v>0.48</v>
      </c>
      <c r="P448" t="s">
        <v>70</v>
      </c>
      <c r="Q448">
        <v>9255</v>
      </c>
      <c r="R448">
        <v>27370</v>
      </c>
      <c r="S448" t="s">
        <v>44</v>
      </c>
      <c r="T448">
        <v>38304</v>
      </c>
      <c r="U448" t="s">
        <v>60</v>
      </c>
      <c r="V448">
        <v>72</v>
      </c>
      <c r="W448">
        <v>6</v>
      </c>
      <c r="X448" t="s">
        <v>50</v>
      </c>
      <c r="Y448" t="s">
        <v>38</v>
      </c>
      <c r="Z448" t="s">
        <v>39</v>
      </c>
      <c r="AA448" t="s">
        <v>40</v>
      </c>
      <c r="AB448" t="s">
        <v>51</v>
      </c>
      <c r="AC448" t="s">
        <v>36</v>
      </c>
    </row>
    <row r="449" spans="1:29" x14ac:dyDescent="0.25">
      <c r="A449">
        <v>470</v>
      </c>
      <c r="B449">
        <v>19924</v>
      </c>
      <c r="C449">
        <v>9631</v>
      </c>
      <c r="D449">
        <v>29555</v>
      </c>
      <c r="E449" t="s">
        <v>46</v>
      </c>
      <c r="F449">
        <v>58</v>
      </c>
      <c r="G449" t="s">
        <v>69</v>
      </c>
      <c r="H449" t="s">
        <v>41</v>
      </c>
      <c r="I449">
        <v>2</v>
      </c>
      <c r="J449" t="s">
        <v>62</v>
      </c>
      <c r="K449">
        <v>550</v>
      </c>
      <c r="L449" t="s">
        <v>66</v>
      </c>
      <c r="M449">
        <v>0</v>
      </c>
      <c r="N449" t="s">
        <v>36</v>
      </c>
      <c r="O449">
        <v>0.2</v>
      </c>
      <c r="P449" t="s">
        <v>59</v>
      </c>
      <c r="Q449">
        <v>0</v>
      </c>
      <c r="R449">
        <v>7971</v>
      </c>
      <c r="S449" t="s">
        <v>44</v>
      </c>
      <c r="T449">
        <v>31788</v>
      </c>
      <c r="U449" t="s">
        <v>64</v>
      </c>
      <c r="V449">
        <v>36</v>
      </c>
      <c r="W449">
        <v>3</v>
      </c>
      <c r="X449" t="s">
        <v>47</v>
      </c>
      <c r="Y449" t="s">
        <v>45</v>
      </c>
      <c r="Z449" t="s">
        <v>39</v>
      </c>
      <c r="AA449" t="s">
        <v>40</v>
      </c>
      <c r="AB449" t="s">
        <v>35</v>
      </c>
      <c r="AC449" t="s">
        <v>36</v>
      </c>
    </row>
    <row r="450" spans="1:29" x14ac:dyDescent="0.25">
      <c r="A450">
        <v>471</v>
      </c>
      <c r="B450">
        <v>15807</v>
      </c>
      <c r="C450">
        <v>552</v>
      </c>
      <c r="D450">
        <v>16359</v>
      </c>
      <c r="E450" t="s">
        <v>29</v>
      </c>
      <c r="F450">
        <v>56</v>
      </c>
      <c r="G450" t="s">
        <v>69</v>
      </c>
      <c r="H450" t="s">
        <v>30</v>
      </c>
      <c r="I450">
        <v>1</v>
      </c>
      <c r="J450" t="s">
        <v>68</v>
      </c>
      <c r="K450">
        <v>569</v>
      </c>
      <c r="L450" t="s">
        <v>66</v>
      </c>
      <c r="M450">
        <v>1</v>
      </c>
      <c r="N450" t="s">
        <v>44</v>
      </c>
      <c r="O450">
        <v>0.26</v>
      </c>
      <c r="P450" t="s">
        <v>59</v>
      </c>
      <c r="Q450">
        <v>5782</v>
      </c>
      <c r="R450">
        <v>31269</v>
      </c>
      <c r="S450" t="s">
        <v>44</v>
      </c>
      <c r="T450">
        <v>0</v>
      </c>
      <c r="U450" t="s">
        <v>73</v>
      </c>
      <c r="V450">
        <v>36</v>
      </c>
      <c r="W450">
        <v>3</v>
      </c>
      <c r="X450" t="s">
        <v>47</v>
      </c>
      <c r="Y450" t="s">
        <v>45</v>
      </c>
      <c r="Z450" t="s">
        <v>39</v>
      </c>
      <c r="AA450" t="s">
        <v>34</v>
      </c>
      <c r="AB450" t="s">
        <v>51</v>
      </c>
      <c r="AC450" t="s">
        <v>36</v>
      </c>
    </row>
    <row r="451" spans="1:29" x14ac:dyDescent="0.25">
      <c r="A451">
        <v>472</v>
      </c>
      <c r="B451">
        <v>11580</v>
      </c>
      <c r="C451">
        <v>8907</v>
      </c>
      <c r="D451">
        <v>20487</v>
      </c>
      <c r="E451" t="s">
        <v>49</v>
      </c>
      <c r="F451">
        <v>57</v>
      </c>
      <c r="G451" t="s">
        <v>69</v>
      </c>
      <c r="H451" t="s">
        <v>30</v>
      </c>
      <c r="I451">
        <v>0</v>
      </c>
      <c r="J451" t="s">
        <v>54</v>
      </c>
      <c r="K451">
        <v>622</v>
      </c>
      <c r="L451" t="s">
        <v>55</v>
      </c>
      <c r="M451">
        <v>0</v>
      </c>
      <c r="N451" t="s">
        <v>36</v>
      </c>
      <c r="O451">
        <v>0.33</v>
      </c>
      <c r="P451" t="s">
        <v>67</v>
      </c>
      <c r="Q451">
        <v>1234</v>
      </c>
      <c r="R451">
        <v>25651</v>
      </c>
      <c r="S451" t="s">
        <v>44</v>
      </c>
      <c r="T451">
        <v>34071</v>
      </c>
      <c r="U451" t="s">
        <v>64</v>
      </c>
      <c r="V451">
        <v>36</v>
      </c>
      <c r="W451">
        <v>3</v>
      </c>
      <c r="X451" t="s">
        <v>31</v>
      </c>
      <c r="Y451" t="s">
        <v>38</v>
      </c>
      <c r="Z451" t="s">
        <v>39</v>
      </c>
      <c r="AA451" t="s">
        <v>40</v>
      </c>
      <c r="AB451" t="s">
        <v>43</v>
      </c>
      <c r="AC451" t="s">
        <v>36</v>
      </c>
    </row>
    <row r="452" spans="1:29" x14ac:dyDescent="0.25">
      <c r="A452">
        <v>473</v>
      </c>
      <c r="B452">
        <v>19749</v>
      </c>
      <c r="C452">
        <v>5383</v>
      </c>
      <c r="D452">
        <v>25132</v>
      </c>
      <c r="E452" t="s">
        <v>29</v>
      </c>
      <c r="F452">
        <v>35</v>
      </c>
      <c r="G452" t="s">
        <v>65</v>
      </c>
      <c r="H452" t="s">
        <v>30</v>
      </c>
      <c r="I452">
        <v>2</v>
      </c>
      <c r="J452" t="s">
        <v>62</v>
      </c>
      <c r="K452">
        <v>566</v>
      </c>
      <c r="L452" t="s">
        <v>66</v>
      </c>
      <c r="M452">
        <v>4</v>
      </c>
      <c r="N452" t="s">
        <v>44</v>
      </c>
      <c r="O452">
        <v>0.56999999999999995</v>
      </c>
      <c r="P452" t="s">
        <v>56</v>
      </c>
      <c r="Q452">
        <v>5205</v>
      </c>
      <c r="R452">
        <v>35757</v>
      </c>
      <c r="S452" t="s">
        <v>44</v>
      </c>
      <c r="T452">
        <v>6067</v>
      </c>
      <c r="U452" t="s">
        <v>57</v>
      </c>
      <c r="V452">
        <v>84</v>
      </c>
      <c r="W452">
        <v>7</v>
      </c>
      <c r="X452" t="s">
        <v>50</v>
      </c>
      <c r="Y452" t="s">
        <v>32</v>
      </c>
      <c r="Z452" t="s">
        <v>39</v>
      </c>
      <c r="AA452" t="s">
        <v>34</v>
      </c>
      <c r="AB452" t="s">
        <v>48</v>
      </c>
      <c r="AC452" t="s">
        <v>36</v>
      </c>
    </row>
    <row r="453" spans="1:29" x14ac:dyDescent="0.25">
      <c r="A453">
        <v>475</v>
      </c>
      <c r="B453">
        <v>9494</v>
      </c>
      <c r="C453">
        <v>9905</v>
      </c>
      <c r="D453">
        <v>19399</v>
      </c>
      <c r="E453" t="s">
        <v>49</v>
      </c>
      <c r="F453">
        <v>38</v>
      </c>
      <c r="G453" t="s">
        <v>65</v>
      </c>
      <c r="H453" t="s">
        <v>41</v>
      </c>
      <c r="I453">
        <v>0</v>
      </c>
      <c r="J453" t="s">
        <v>54</v>
      </c>
      <c r="K453">
        <v>724</v>
      </c>
      <c r="L453" t="s">
        <v>63</v>
      </c>
      <c r="M453">
        <v>3</v>
      </c>
      <c r="N453" t="s">
        <v>44</v>
      </c>
      <c r="O453">
        <v>0.2</v>
      </c>
      <c r="P453" t="s">
        <v>59</v>
      </c>
      <c r="Q453">
        <v>17152</v>
      </c>
      <c r="R453">
        <v>38108</v>
      </c>
      <c r="S453" t="s">
        <v>44</v>
      </c>
      <c r="T453">
        <v>8715</v>
      </c>
      <c r="U453" t="s">
        <v>57</v>
      </c>
      <c r="V453">
        <v>12</v>
      </c>
      <c r="W453">
        <v>1</v>
      </c>
      <c r="X453" t="s">
        <v>50</v>
      </c>
      <c r="Y453" t="s">
        <v>38</v>
      </c>
      <c r="Z453" t="s">
        <v>39</v>
      </c>
      <c r="AA453" t="s">
        <v>40</v>
      </c>
      <c r="AB453" t="s">
        <v>42</v>
      </c>
      <c r="AC453" t="s">
        <v>44</v>
      </c>
    </row>
    <row r="454" spans="1:29" x14ac:dyDescent="0.25">
      <c r="A454">
        <v>476</v>
      </c>
      <c r="B454">
        <v>6312</v>
      </c>
      <c r="C454">
        <v>3389</v>
      </c>
      <c r="D454">
        <v>9701</v>
      </c>
      <c r="E454" t="s">
        <v>46</v>
      </c>
      <c r="F454">
        <v>54</v>
      </c>
      <c r="G454" t="s">
        <v>53</v>
      </c>
      <c r="H454" t="s">
        <v>30</v>
      </c>
      <c r="I454">
        <v>2</v>
      </c>
      <c r="J454" t="s">
        <v>62</v>
      </c>
      <c r="K454">
        <v>551</v>
      </c>
      <c r="L454" t="s">
        <v>66</v>
      </c>
      <c r="M454">
        <v>3</v>
      </c>
      <c r="N454" t="s">
        <v>44</v>
      </c>
      <c r="O454">
        <v>0.28000000000000003</v>
      </c>
      <c r="P454" t="s">
        <v>59</v>
      </c>
      <c r="Q454">
        <v>9596</v>
      </c>
      <c r="R454">
        <v>9643</v>
      </c>
      <c r="S454" t="s">
        <v>44</v>
      </c>
      <c r="T454">
        <v>0</v>
      </c>
      <c r="U454" t="s">
        <v>73</v>
      </c>
      <c r="V454">
        <v>72</v>
      </c>
      <c r="W454">
        <v>6</v>
      </c>
      <c r="X454" t="s">
        <v>47</v>
      </c>
      <c r="Y454" t="s">
        <v>45</v>
      </c>
      <c r="Z454" t="s">
        <v>39</v>
      </c>
      <c r="AA454" t="s">
        <v>40</v>
      </c>
      <c r="AB454" t="s">
        <v>42</v>
      </c>
      <c r="AC454" t="s">
        <v>36</v>
      </c>
    </row>
    <row r="455" spans="1:29" x14ac:dyDescent="0.25">
      <c r="A455">
        <v>477</v>
      </c>
      <c r="B455">
        <v>3324</v>
      </c>
      <c r="C455">
        <v>9299</v>
      </c>
      <c r="D455">
        <v>12623</v>
      </c>
      <c r="E455" t="s">
        <v>29</v>
      </c>
      <c r="F455">
        <v>42</v>
      </c>
      <c r="G455" t="s">
        <v>65</v>
      </c>
      <c r="H455" t="s">
        <v>41</v>
      </c>
      <c r="I455">
        <v>1</v>
      </c>
      <c r="J455" t="s">
        <v>68</v>
      </c>
      <c r="K455">
        <v>612</v>
      </c>
      <c r="L455" t="s">
        <v>55</v>
      </c>
      <c r="M455">
        <v>2</v>
      </c>
      <c r="N455" t="s">
        <v>44</v>
      </c>
      <c r="O455">
        <v>0.17</v>
      </c>
      <c r="P455" t="s">
        <v>59</v>
      </c>
      <c r="Q455">
        <v>19488</v>
      </c>
      <c r="R455">
        <v>3823</v>
      </c>
      <c r="S455" t="s">
        <v>44</v>
      </c>
      <c r="T455">
        <v>12226</v>
      </c>
      <c r="U455" t="s">
        <v>57</v>
      </c>
      <c r="V455">
        <v>12</v>
      </c>
      <c r="W455">
        <v>1</v>
      </c>
      <c r="X455" t="s">
        <v>37</v>
      </c>
      <c r="Y455" t="s">
        <v>32</v>
      </c>
      <c r="Z455" t="s">
        <v>39</v>
      </c>
      <c r="AA455" t="s">
        <v>34</v>
      </c>
      <c r="AB455" t="s">
        <v>35</v>
      </c>
      <c r="AC455" t="s">
        <v>36</v>
      </c>
    </row>
    <row r="456" spans="1:29" x14ac:dyDescent="0.25">
      <c r="A456">
        <v>478</v>
      </c>
      <c r="B456">
        <v>5141</v>
      </c>
      <c r="C456">
        <v>8442</v>
      </c>
      <c r="D456">
        <v>13583</v>
      </c>
      <c r="E456" t="s">
        <v>49</v>
      </c>
      <c r="F456">
        <v>31</v>
      </c>
      <c r="G456" t="s">
        <v>61</v>
      </c>
      <c r="H456" t="s">
        <v>30</v>
      </c>
      <c r="I456">
        <v>0</v>
      </c>
      <c r="J456" t="s">
        <v>54</v>
      </c>
      <c r="K456">
        <v>611</v>
      </c>
      <c r="L456" t="s">
        <v>55</v>
      </c>
      <c r="M456">
        <v>0</v>
      </c>
      <c r="N456" t="s">
        <v>36</v>
      </c>
      <c r="O456">
        <v>0.35</v>
      </c>
      <c r="P456" t="s">
        <v>67</v>
      </c>
      <c r="Q456">
        <v>0</v>
      </c>
      <c r="R456">
        <v>13454</v>
      </c>
      <c r="S456" t="s">
        <v>44</v>
      </c>
      <c r="T456">
        <v>36399</v>
      </c>
      <c r="U456" t="s">
        <v>60</v>
      </c>
      <c r="V456">
        <v>36</v>
      </c>
      <c r="W456">
        <v>3</v>
      </c>
      <c r="X456" t="s">
        <v>50</v>
      </c>
      <c r="Y456" t="s">
        <v>32</v>
      </c>
      <c r="Z456" t="s">
        <v>39</v>
      </c>
      <c r="AA456" t="s">
        <v>34</v>
      </c>
      <c r="AB456" t="s">
        <v>35</v>
      </c>
      <c r="AC456" t="s">
        <v>36</v>
      </c>
    </row>
    <row r="457" spans="1:29" x14ac:dyDescent="0.25">
      <c r="A457">
        <v>479</v>
      </c>
      <c r="B457">
        <v>3810</v>
      </c>
      <c r="C457">
        <v>2430</v>
      </c>
      <c r="D457">
        <v>6240</v>
      </c>
      <c r="E457" t="s">
        <v>49</v>
      </c>
      <c r="F457">
        <v>33</v>
      </c>
      <c r="G457" t="s">
        <v>61</v>
      </c>
      <c r="H457" t="s">
        <v>41</v>
      </c>
      <c r="I457">
        <v>0</v>
      </c>
      <c r="J457" t="s">
        <v>54</v>
      </c>
      <c r="K457">
        <v>649</v>
      </c>
      <c r="L457" t="s">
        <v>55</v>
      </c>
      <c r="M457">
        <v>1</v>
      </c>
      <c r="N457" t="s">
        <v>44</v>
      </c>
      <c r="O457">
        <v>0.33</v>
      </c>
      <c r="P457" t="s">
        <v>67</v>
      </c>
      <c r="Q457">
        <v>19689</v>
      </c>
      <c r="R457">
        <v>3932</v>
      </c>
      <c r="S457" t="s">
        <v>44</v>
      </c>
      <c r="T457">
        <v>14412</v>
      </c>
      <c r="U457" t="s">
        <v>57</v>
      </c>
      <c r="V457">
        <v>48</v>
      </c>
      <c r="W457">
        <v>4</v>
      </c>
      <c r="X457" t="s">
        <v>47</v>
      </c>
      <c r="Y457" t="s">
        <v>45</v>
      </c>
      <c r="Z457" t="s">
        <v>33</v>
      </c>
      <c r="AA457" t="s">
        <v>40</v>
      </c>
      <c r="AB457" t="s">
        <v>43</v>
      </c>
      <c r="AC457" t="s">
        <v>36</v>
      </c>
    </row>
    <row r="458" spans="1:29" x14ac:dyDescent="0.25">
      <c r="A458">
        <v>480</v>
      </c>
      <c r="B458">
        <v>8588</v>
      </c>
      <c r="C458">
        <v>458</v>
      </c>
      <c r="D458">
        <v>9046</v>
      </c>
      <c r="E458" t="s">
        <v>29</v>
      </c>
      <c r="F458">
        <v>24</v>
      </c>
      <c r="G458" t="s">
        <v>72</v>
      </c>
      <c r="H458" t="s">
        <v>41</v>
      </c>
      <c r="I458">
        <v>3</v>
      </c>
      <c r="J458" t="s">
        <v>58</v>
      </c>
      <c r="K458">
        <v>550</v>
      </c>
      <c r="L458" t="s">
        <v>66</v>
      </c>
      <c r="M458">
        <v>0</v>
      </c>
      <c r="N458" t="s">
        <v>36</v>
      </c>
      <c r="O458">
        <v>0.55000000000000004</v>
      </c>
      <c r="P458" t="s">
        <v>56</v>
      </c>
      <c r="Q458">
        <v>17922</v>
      </c>
      <c r="R458">
        <v>10220</v>
      </c>
      <c r="S458" t="s">
        <v>44</v>
      </c>
      <c r="T458">
        <v>13569</v>
      </c>
      <c r="U458" t="s">
        <v>57</v>
      </c>
      <c r="V458">
        <v>48</v>
      </c>
      <c r="W458">
        <v>4</v>
      </c>
      <c r="X458" t="s">
        <v>37</v>
      </c>
      <c r="Y458" t="s">
        <v>32</v>
      </c>
      <c r="Z458" t="s">
        <v>33</v>
      </c>
      <c r="AA458" t="s">
        <v>40</v>
      </c>
      <c r="AB458" t="s">
        <v>35</v>
      </c>
      <c r="AC458" t="s">
        <v>36</v>
      </c>
    </row>
    <row r="459" spans="1:29" x14ac:dyDescent="0.25">
      <c r="A459">
        <v>481</v>
      </c>
      <c r="B459">
        <v>7301</v>
      </c>
      <c r="C459">
        <v>207</v>
      </c>
      <c r="D459">
        <v>7508</v>
      </c>
      <c r="E459" t="s">
        <v>29</v>
      </c>
      <c r="F459">
        <v>42</v>
      </c>
      <c r="G459" t="s">
        <v>65</v>
      </c>
      <c r="H459" t="s">
        <v>30</v>
      </c>
      <c r="I459">
        <v>0</v>
      </c>
      <c r="J459" t="s">
        <v>54</v>
      </c>
      <c r="K459">
        <v>566</v>
      </c>
      <c r="L459" t="s">
        <v>66</v>
      </c>
      <c r="M459">
        <v>2</v>
      </c>
      <c r="N459" t="s">
        <v>44</v>
      </c>
      <c r="O459">
        <v>0.56999999999999995</v>
      </c>
      <c r="P459" t="s">
        <v>56</v>
      </c>
      <c r="Q459">
        <v>17715</v>
      </c>
      <c r="R459">
        <v>8554</v>
      </c>
      <c r="S459" t="s">
        <v>44</v>
      </c>
      <c r="T459">
        <v>3369</v>
      </c>
      <c r="U459" t="s">
        <v>73</v>
      </c>
      <c r="V459">
        <v>12</v>
      </c>
      <c r="W459">
        <v>1</v>
      </c>
      <c r="X459" t="s">
        <v>37</v>
      </c>
      <c r="Y459" t="s">
        <v>38</v>
      </c>
      <c r="Z459" t="s">
        <v>39</v>
      </c>
      <c r="AA459" t="s">
        <v>34</v>
      </c>
      <c r="AB459" t="s">
        <v>35</v>
      </c>
      <c r="AC459" t="s">
        <v>36</v>
      </c>
    </row>
    <row r="460" spans="1:29" x14ac:dyDescent="0.25">
      <c r="A460">
        <v>482</v>
      </c>
      <c r="B460">
        <v>17485</v>
      </c>
      <c r="C460">
        <v>899</v>
      </c>
      <c r="D460">
        <v>18384</v>
      </c>
      <c r="E460" t="s">
        <v>48</v>
      </c>
      <c r="F460">
        <v>27</v>
      </c>
      <c r="G460" t="s">
        <v>61</v>
      </c>
      <c r="H460" t="s">
        <v>30</v>
      </c>
      <c r="I460">
        <v>2</v>
      </c>
      <c r="J460" t="s">
        <v>62</v>
      </c>
      <c r="K460">
        <v>618</v>
      </c>
      <c r="L460" t="s">
        <v>55</v>
      </c>
      <c r="M460">
        <v>2</v>
      </c>
      <c r="N460" t="s">
        <v>44</v>
      </c>
      <c r="O460">
        <v>0.35</v>
      </c>
      <c r="P460" t="s">
        <v>67</v>
      </c>
      <c r="Q460">
        <v>8261</v>
      </c>
      <c r="R460">
        <v>2429</v>
      </c>
      <c r="S460" t="s">
        <v>44</v>
      </c>
      <c r="T460">
        <v>33021</v>
      </c>
      <c r="U460" t="s">
        <v>64</v>
      </c>
      <c r="V460">
        <v>36</v>
      </c>
      <c r="W460">
        <v>3</v>
      </c>
      <c r="X460" t="s">
        <v>47</v>
      </c>
      <c r="Y460" t="s">
        <v>32</v>
      </c>
      <c r="Z460" t="s">
        <v>39</v>
      </c>
      <c r="AA460" t="s">
        <v>40</v>
      </c>
      <c r="AB460" t="s">
        <v>35</v>
      </c>
      <c r="AC460" t="s">
        <v>36</v>
      </c>
    </row>
    <row r="461" spans="1:29" x14ac:dyDescent="0.25">
      <c r="A461">
        <v>483</v>
      </c>
      <c r="B461">
        <v>13714</v>
      </c>
      <c r="C461">
        <v>21</v>
      </c>
      <c r="D461">
        <v>13735</v>
      </c>
      <c r="E461" t="s">
        <v>46</v>
      </c>
      <c r="F461">
        <v>44</v>
      </c>
      <c r="G461" t="s">
        <v>65</v>
      </c>
      <c r="H461" t="s">
        <v>30</v>
      </c>
      <c r="I461">
        <v>3</v>
      </c>
      <c r="J461" t="s">
        <v>58</v>
      </c>
      <c r="K461">
        <v>716</v>
      </c>
      <c r="L461" t="s">
        <v>63</v>
      </c>
      <c r="M461">
        <v>1</v>
      </c>
      <c r="N461" t="s">
        <v>44</v>
      </c>
      <c r="O461">
        <v>0.35</v>
      </c>
      <c r="P461" t="s">
        <v>67</v>
      </c>
      <c r="Q461">
        <v>13765</v>
      </c>
      <c r="R461">
        <v>28208</v>
      </c>
      <c r="S461" t="s">
        <v>44</v>
      </c>
      <c r="T461">
        <v>1528</v>
      </c>
      <c r="U461" t="s">
        <v>73</v>
      </c>
      <c r="V461">
        <v>72</v>
      </c>
      <c r="W461">
        <v>6</v>
      </c>
      <c r="X461" t="s">
        <v>37</v>
      </c>
      <c r="Y461" t="s">
        <v>32</v>
      </c>
      <c r="Z461" t="s">
        <v>39</v>
      </c>
      <c r="AA461" t="s">
        <v>40</v>
      </c>
      <c r="AB461" t="s">
        <v>51</v>
      </c>
      <c r="AC461" t="s">
        <v>44</v>
      </c>
    </row>
    <row r="462" spans="1:29" x14ac:dyDescent="0.25">
      <c r="A462">
        <v>484</v>
      </c>
      <c r="B462">
        <v>6748</v>
      </c>
      <c r="C462">
        <v>8601</v>
      </c>
      <c r="D462">
        <v>15349</v>
      </c>
      <c r="E462" t="s">
        <v>46</v>
      </c>
      <c r="F462">
        <v>24</v>
      </c>
      <c r="G462" t="s">
        <v>72</v>
      </c>
      <c r="H462" t="s">
        <v>41</v>
      </c>
      <c r="I462">
        <v>2</v>
      </c>
      <c r="J462" t="s">
        <v>62</v>
      </c>
      <c r="K462">
        <v>759</v>
      </c>
      <c r="L462" t="s">
        <v>71</v>
      </c>
      <c r="M462">
        <v>4</v>
      </c>
      <c r="N462" t="s">
        <v>44</v>
      </c>
      <c r="O462">
        <v>0.55000000000000004</v>
      </c>
      <c r="P462" t="s">
        <v>56</v>
      </c>
      <c r="Q462">
        <v>5944</v>
      </c>
      <c r="R462">
        <v>7444</v>
      </c>
      <c r="S462" t="s">
        <v>44</v>
      </c>
      <c r="T462">
        <v>31314</v>
      </c>
      <c r="U462" t="s">
        <v>64</v>
      </c>
      <c r="V462">
        <v>48</v>
      </c>
      <c r="W462">
        <v>4</v>
      </c>
      <c r="X462" t="s">
        <v>47</v>
      </c>
      <c r="Y462" t="s">
        <v>32</v>
      </c>
      <c r="Z462" t="s">
        <v>39</v>
      </c>
      <c r="AA462" t="s">
        <v>34</v>
      </c>
      <c r="AB462" t="s">
        <v>35</v>
      </c>
      <c r="AC462" t="s">
        <v>36</v>
      </c>
    </row>
    <row r="463" spans="1:29" x14ac:dyDescent="0.25">
      <c r="A463">
        <v>485</v>
      </c>
      <c r="B463">
        <v>11435</v>
      </c>
      <c r="C463">
        <v>894</v>
      </c>
      <c r="D463">
        <v>12329</v>
      </c>
      <c r="E463" t="s">
        <v>49</v>
      </c>
      <c r="F463">
        <v>48</v>
      </c>
      <c r="G463" t="s">
        <v>53</v>
      </c>
      <c r="H463" t="s">
        <v>41</v>
      </c>
      <c r="I463">
        <v>0</v>
      </c>
      <c r="J463" t="s">
        <v>54</v>
      </c>
      <c r="K463">
        <v>666</v>
      </c>
      <c r="L463" t="s">
        <v>55</v>
      </c>
      <c r="M463">
        <v>4</v>
      </c>
      <c r="N463" t="s">
        <v>44</v>
      </c>
      <c r="O463">
        <v>0.5</v>
      </c>
      <c r="P463" t="s">
        <v>70</v>
      </c>
      <c r="Q463">
        <v>7126</v>
      </c>
      <c r="R463">
        <v>10510</v>
      </c>
      <c r="S463" t="s">
        <v>44</v>
      </c>
      <c r="T463">
        <v>38443</v>
      </c>
      <c r="U463" t="s">
        <v>60</v>
      </c>
      <c r="V463">
        <v>12</v>
      </c>
      <c r="W463">
        <v>1</v>
      </c>
      <c r="X463" t="s">
        <v>42</v>
      </c>
      <c r="Y463" t="s">
        <v>45</v>
      </c>
      <c r="Z463" t="s">
        <v>39</v>
      </c>
      <c r="AA463" t="s">
        <v>40</v>
      </c>
      <c r="AB463" t="s">
        <v>35</v>
      </c>
      <c r="AC463" t="s">
        <v>36</v>
      </c>
    </row>
    <row r="464" spans="1:29" x14ac:dyDescent="0.25">
      <c r="A464">
        <v>486</v>
      </c>
      <c r="B464">
        <v>5709</v>
      </c>
      <c r="C464">
        <v>514</v>
      </c>
      <c r="D464">
        <v>6223</v>
      </c>
      <c r="E464" t="s">
        <v>29</v>
      </c>
      <c r="F464">
        <v>35</v>
      </c>
      <c r="G464" t="s">
        <v>65</v>
      </c>
      <c r="H464" t="s">
        <v>30</v>
      </c>
      <c r="I464">
        <v>0</v>
      </c>
      <c r="J464" t="s">
        <v>54</v>
      </c>
      <c r="K464">
        <v>795</v>
      </c>
      <c r="L464" t="s">
        <v>71</v>
      </c>
      <c r="M464">
        <v>1</v>
      </c>
      <c r="N464" t="s">
        <v>44</v>
      </c>
      <c r="O464">
        <v>0.1</v>
      </c>
      <c r="P464" t="s">
        <v>59</v>
      </c>
      <c r="Q464">
        <v>0</v>
      </c>
      <c r="R464">
        <v>44045</v>
      </c>
      <c r="S464" t="s">
        <v>44</v>
      </c>
      <c r="T464">
        <v>19047</v>
      </c>
      <c r="U464" t="s">
        <v>57</v>
      </c>
      <c r="V464">
        <v>72</v>
      </c>
      <c r="W464">
        <v>6</v>
      </c>
      <c r="X464" t="s">
        <v>42</v>
      </c>
      <c r="Y464" t="s">
        <v>38</v>
      </c>
      <c r="Z464" t="s">
        <v>39</v>
      </c>
      <c r="AA464" t="s">
        <v>34</v>
      </c>
      <c r="AB464" t="s">
        <v>43</v>
      </c>
      <c r="AC464" t="s">
        <v>44</v>
      </c>
    </row>
    <row r="465" spans="1:29" x14ac:dyDescent="0.25">
      <c r="A465">
        <v>487</v>
      </c>
      <c r="B465">
        <v>15116</v>
      </c>
      <c r="C465">
        <v>7294</v>
      </c>
      <c r="D465">
        <v>22410</v>
      </c>
      <c r="E465" t="s">
        <v>29</v>
      </c>
      <c r="F465">
        <v>21</v>
      </c>
      <c r="G465" t="s">
        <v>72</v>
      </c>
      <c r="H465" t="s">
        <v>41</v>
      </c>
      <c r="I465">
        <v>0</v>
      </c>
      <c r="J465" t="s">
        <v>54</v>
      </c>
      <c r="K465">
        <v>748</v>
      </c>
      <c r="L465" t="s">
        <v>71</v>
      </c>
      <c r="M465">
        <v>4</v>
      </c>
      <c r="N465" t="s">
        <v>44</v>
      </c>
      <c r="O465">
        <v>0.26</v>
      </c>
      <c r="P465" t="s">
        <v>59</v>
      </c>
      <c r="Q465">
        <v>5263</v>
      </c>
      <c r="R465">
        <v>10537</v>
      </c>
      <c r="S465" t="s">
        <v>44</v>
      </c>
      <c r="T465">
        <v>20748</v>
      </c>
      <c r="U465" t="s">
        <v>64</v>
      </c>
      <c r="V465">
        <v>36</v>
      </c>
      <c r="W465">
        <v>3</v>
      </c>
      <c r="X465" t="s">
        <v>37</v>
      </c>
      <c r="Y465" t="s">
        <v>45</v>
      </c>
      <c r="Z465" t="s">
        <v>39</v>
      </c>
      <c r="AA465" t="s">
        <v>34</v>
      </c>
      <c r="AB465" t="s">
        <v>43</v>
      </c>
      <c r="AC465" t="s">
        <v>44</v>
      </c>
    </row>
    <row r="466" spans="1:29" x14ac:dyDescent="0.25">
      <c r="A466">
        <v>488</v>
      </c>
      <c r="B466">
        <v>0</v>
      </c>
      <c r="C466">
        <v>4904</v>
      </c>
      <c r="D466">
        <v>4904</v>
      </c>
      <c r="E466" t="s">
        <v>29</v>
      </c>
      <c r="F466">
        <v>23</v>
      </c>
      <c r="G466" t="s">
        <v>72</v>
      </c>
      <c r="H466" t="s">
        <v>30</v>
      </c>
      <c r="I466">
        <v>1</v>
      </c>
      <c r="J466" t="s">
        <v>68</v>
      </c>
      <c r="K466">
        <v>630</v>
      </c>
      <c r="L466" t="s">
        <v>55</v>
      </c>
      <c r="M466">
        <v>3</v>
      </c>
      <c r="N466" t="s">
        <v>44</v>
      </c>
      <c r="O466">
        <v>0.31</v>
      </c>
      <c r="P466" t="s">
        <v>67</v>
      </c>
      <c r="Q466">
        <v>15300</v>
      </c>
      <c r="R466">
        <v>7147</v>
      </c>
      <c r="S466" t="s">
        <v>44</v>
      </c>
      <c r="T466">
        <v>36109</v>
      </c>
      <c r="U466" t="s">
        <v>60</v>
      </c>
      <c r="V466">
        <v>24</v>
      </c>
      <c r="W466">
        <v>2</v>
      </c>
      <c r="X466" t="s">
        <v>37</v>
      </c>
      <c r="Y466" t="s">
        <v>38</v>
      </c>
      <c r="Z466" t="s">
        <v>39</v>
      </c>
      <c r="AA466" t="s">
        <v>40</v>
      </c>
      <c r="AB466" t="s">
        <v>35</v>
      </c>
      <c r="AC466" t="s">
        <v>36</v>
      </c>
    </row>
    <row r="467" spans="1:29" x14ac:dyDescent="0.25">
      <c r="A467">
        <v>489</v>
      </c>
      <c r="B467">
        <v>12150</v>
      </c>
      <c r="C467">
        <v>7867</v>
      </c>
      <c r="D467">
        <v>20017</v>
      </c>
      <c r="E467" t="s">
        <v>49</v>
      </c>
      <c r="F467">
        <v>34</v>
      </c>
      <c r="G467" t="s">
        <v>61</v>
      </c>
      <c r="H467" t="s">
        <v>30</v>
      </c>
      <c r="I467">
        <v>2</v>
      </c>
      <c r="J467" t="s">
        <v>62</v>
      </c>
      <c r="K467">
        <v>588</v>
      </c>
      <c r="L467" t="s">
        <v>55</v>
      </c>
      <c r="M467">
        <v>4</v>
      </c>
      <c r="N467" t="s">
        <v>44</v>
      </c>
      <c r="O467">
        <v>0.21</v>
      </c>
      <c r="P467" t="s">
        <v>59</v>
      </c>
      <c r="Q467">
        <v>0</v>
      </c>
      <c r="R467">
        <v>40399</v>
      </c>
      <c r="S467" t="s">
        <v>44</v>
      </c>
      <c r="T467">
        <v>14919</v>
      </c>
      <c r="U467" t="s">
        <v>57</v>
      </c>
      <c r="V467">
        <v>36</v>
      </c>
      <c r="W467">
        <v>3</v>
      </c>
      <c r="X467" t="s">
        <v>47</v>
      </c>
      <c r="Y467" t="s">
        <v>32</v>
      </c>
      <c r="Z467" t="s">
        <v>33</v>
      </c>
      <c r="AA467" t="s">
        <v>40</v>
      </c>
      <c r="AB467" t="s">
        <v>48</v>
      </c>
      <c r="AC467" t="s">
        <v>36</v>
      </c>
    </row>
    <row r="468" spans="1:29" x14ac:dyDescent="0.25">
      <c r="A468">
        <v>490</v>
      </c>
      <c r="B468">
        <v>8530</v>
      </c>
      <c r="C468">
        <v>4109</v>
      </c>
      <c r="D468">
        <v>12639</v>
      </c>
      <c r="E468" t="s">
        <v>46</v>
      </c>
      <c r="F468">
        <v>58</v>
      </c>
      <c r="G468" t="s">
        <v>69</v>
      </c>
      <c r="H468" t="s">
        <v>41</v>
      </c>
      <c r="I468">
        <v>1</v>
      </c>
      <c r="J468" t="s">
        <v>68</v>
      </c>
      <c r="K468">
        <v>585</v>
      </c>
      <c r="L468" t="s">
        <v>55</v>
      </c>
      <c r="M468">
        <v>4</v>
      </c>
      <c r="N468" t="s">
        <v>44</v>
      </c>
      <c r="O468">
        <v>0.2</v>
      </c>
      <c r="P468" t="s">
        <v>59</v>
      </c>
      <c r="Q468">
        <v>2892</v>
      </c>
      <c r="R468">
        <v>3598</v>
      </c>
      <c r="S468" t="s">
        <v>44</v>
      </c>
      <c r="T468">
        <v>16256</v>
      </c>
      <c r="U468" t="s">
        <v>57</v>
      </c>
      <c r="V468">
        <v>84</v>
      </c>
      <c r="W468">
        <v>7</v>
      </c>
      <c r="X468" t="s">
        <v>37</v>
      </c>
      <c r="Y468" t="s">
        <v>32</v>
      </c>
      <c r="Z468" t="s">
        <v>33</v>
      </c>
      <c r="AA468" t="s">
        <v>40</v>
      </c>
      <c r="AB468" t="s">
        <v>43</v>
      </c>
      <c r="AC468" t="s">
        <v>36</v>
      </c>
    </row>
    <row r="469" spans="1:29" x14ac:dyDescent="0.25">
      <c r="A469">
        <v>491</v>
      </c>
      <c r="B469">
        <v>12188</v>
      </c>
      <c r="C469">
        <v>7179</v>
      </c>
      <c r="D469">
        <v>19367</v>
      </c>
      <c r="E469" t="s">
        <v>46</v>
      </c>
      <c r="F469">
        <v>21</v>
      </c>
      <c r="G469" t="s">
        <v>72</v>
      </c>
      <c r="H469" t="s">
        <v>30</v>
      </c>
      <c r="I469">
        <v>0</v>
      </c>
      <c r="J469" t="s">
        <v>54</v>
      </c>
      <c r="K469">
        <v>717</v>
      </c>
      <c r="L469" t="s">
        <v>63</v>
      </c>
      <c r="M469">
        <v>4</v>
      </c>
      <c r="N469" t="s">
        <v>44</v>
      </c>
      <c r="O469">
        <v>0.12</v>
      </c>
      <c r="P469" t="s">
        <v>59</v>
      </c>
      <c r="Q469">
        <v>1198</v>
      </c>
      <c r="R469">
        <v>0</v>
      </c>
      <c r="S469" t="s">
        <v>36</v>
      </c>
      <c r="T469">
        <v>5905</v>
      </c>
      <c r="U469" t="s">
        <v>57</v>
      </c>
      <c r="V469">
        <v>36</v>
      </c>
      <c r="W469">
        <v>3</v>
      </c>
      <c r="X469" t="s">
        <v>31</v>
      </c>
      <c r="Y469" t="s">
        <v>38</v>
      </c>
      <c r="Z469" t="s">
        <v>39</v>
      </c>
      <c r="AA469" t="s">
        <v>34</v>
      </c>
      <c r="AB469" t="s">
        <v>35</v>
      </c>
      <c r="AC469" t="s">
        <v>44</v>
      </c>
    </row>
    <row r="470" spans="1:29" x14ac:dyDescent="0.25">
      <c r="A470">
        <v>492</v>
      </c>
      <c r="B470">
        <v>16683</v>
      </c>
      <c r="C470">
        <v>1560</v>
      </c>
      <c r="D470">
        <v>18243</v>
      </c>
      <c r="E470" t="s">
        <v>29</v>
      </c>
      <c r="F470">
        <v>58</v>
      </c>
      <c r="G470" t="s">
        <v>69</v>
      </c>
      <c r="H470" t="s">
        <v>30</v>
      </c>
      <c r="I470">
        <v>3</v>
      </c>
      <c r="J470" t="s">
        <v>58</v>
      </c>
      <c r="K470">
        <v>722</v>
      </c>
      <c r="L470" t="s">
        <v>63</v>
      </c>
      <c r="M470">
        <v>3</v>
      </c>
      <c r="N470" t="s">
        <v>44</v>
      </c>
      <c r="O470">
        <v>0.42</v>
      </c>
      <c r="P470" t="s">
        <v>70</v>
      </c>
      <c r="Q470">
        <v>18756</v>
      </c>
      <c r="R470">
        <v>6718</v>
      </c>
      <c r="S470" t="s">
        <v>44</v>
      </c>
      <c r="T470">
        <v>9884</v>
      </c>
      <c r="U470" t="s">
        <v>57</v>
      </c>
      <c r="V470">
        <v>72</v>
      </c>
      <c r="W470">
        <v>6</v>
      </c>
      <c r="X470" t="s">
        <v>42</v>
      </c>
      <c r="Y470" t="s">
        <v>38</v>
      </c>
      <c r="Z470" t="s">
        <v>39</v>
      </c>
      <c r="AA470" t="s">
        <v>40</v>
      </c>
      <c r="AB470" t="s">
        <v>35</v>
      </c>
      <c r="AC470" t="s">
        <v>36</v>
      </c>
    </row>
    <row r="471" spans="1:29" x14ac:dyDescent="0.25">
      <c r="A471">
        <v>493</v>
      </c>
      <c r="B471">
        <v>2504</v>
      </c>
      <c r="C471">
        <v>1266</v>
      </c>
      <c r="D471">
        <v>3770</v>
      </c>
      <c r="E471" t="s">
        <v>29</v>
      </c>
      <c r="F471">
        <v>58</v>
      </c>
      <c r="G471" t="s">
        <v>69</v>
      </c>
      <c r="H471" t="s">
        <v>30</v>
      </c>
      <c r="I471">
        <v>2</v>
      </c>
      <c r="J471" t="s">
        <v>62</v>
      </c>
      <c r="K471">
        <v>681</v>
      </c>
      <c r="L471" t="s">
        <v>63</v>
      </c>
      <c r="M471">
        <v>4</v>
      </c>
      <c r="N471" t="s">
        <v>44</v>
      </c>
      <c r="O471">
        <v>0.23</v>
      </c>
      <c r="P471" t="s">
        <v>59</v>
      </c>
      <c r="Q471">
        <v>18276</v>
      </c>
      <c r="R471">
        <v>42691</v>
      </c>
      <c r="S471" t="s">
        <v>44</v>
      </c>
      <c r="T471">
        <v>29906</v>
      </c>
      <c r="U471" t="s">
        <v>64</v>
      </c>
      <c r="V471">
        <v>72</v>
      </c>
      <c r="W471">
        <v>6</v>
      </c>
      <c r="X471" t="s">
        <v>37</v>
      </c>
      <c r="Y471" t="s">
        <v>38</v>
      </c>
      <c r="Z471" t="s">
        <v>39</v>
      </c>
      <c r="AA471" t="s">
        <v>34</v>
      </c>
      <c r="AB471" t="s">
        <v>43</v>
      </c>
      <c r="AC471" t="s">
        <v>36</v>
      </c>
    </row>
    <row r="472" spans="1:29" x14ac:dyDescent="0.25">
      <c r="A472">
        <v>494</v>
      </c>
      <c r="B472">
        <v>3214</v>
      </c>
      <c r="C472">
        <v>3638</v>
      </c>
      <c r="D472">
        <v>6852</v>
      </c>
      <c r="E472" t="s">
        <v>29</v>
      </c>
      <c r="F472">
        <v>41</v>
      </c>
      <c r="G472" t="s">
        <v>65</v>
      </c>
      <c r="H472" t="s">
        <v>30</v>
      </c>
      <c r="I472">
        <v>1</v>
      </c>
      <c r="J472" t="s">
        <v>68</v>
      </c>
      <c r="K472">
        <v>779</v>
      </c>
      <c r="L472" t="s">
        <v>71</v>
      </c>
      <c r="M472">
        <v>3</v>
      </c>
      <c r="N472" t="s">
        <v>44</v>
      </c>
      <c r="O472">
        <v>0.13</v>
      </c>
      <c r="P472" t="s">
        <v>59</v>
      </c>
      <c r="Q472">
        <v>1883</v>
      </c>
      <c r="R472">
        <v>13782</v>
      </c>
      <c r="S472" t="s">
        <v>44</v>
      </c>
      <c r="T472">
        <v>6950</v>
      </c>
      <c r="U472" t="s">
        <v>57</v>
      </c>
      <c r="V472">
        <v>60</v>
      </c>
      <c r="W472">
        <v>5</v>
      </c>
      <c r="X472" t="s">
        <v>37</v>
      </c>
      <c r="Y472" t="s">
        <v>45</v>
      </c>
      <c r="Z472" t="s">
        <v>33</v>
      </c>
      <c r="AA472" t="s">
        <v>34</v>
      </c>
      <c r="AB472" t="s">
        <v>51</v>
      </c>
      <c r="AC472" t="s">
        <v>44</v>
      </c>
    </row>
    <row r="473" spans="1:29" x14ac:dyDescent="0.25">
      <c r="A473">
        <v>495</v>
      </c>
      <c r="B473">
        <v>3531</v>
      </c>
      <c r="C473">
        <v>8941</v>
      </c>
      <c r="D473">
        <v>12472</v>
      </c>
      <c r="E473" t="s">
        <v>49</v>
      </c>
      <c r="F473">
        <v>49</v>
      </c>
      <c r="G473" t="s">
        <v>53</v>
      </c>
      <c r="H473" t="s">
        <v>30</v>
      </c>
      <c r="I473">
        <v>2</v>
      </c>
      <c r="J473" t="s">
        <v>62</v>
      </c>
      <c r="K473">
        <v>702</v>
      </c>
      <c r="L473" t="s">
        <v>63</v>
      </c>
      <c r="M473">
        <v>1</v>
      </c>
      <c r="N473" t="s">
        <v>44</v>
      </c>
      <c r="O473">
        <v>0.22</v>
      </c>
      <c r="P473" t="s">
        <v>59</v>
      </c>
      <c r="Q473">
        <v>797</v>
      </c>
      <c r="R473">
        <v>49244</v>
      </c>
      <c r="S473" t="s">
        <v>44</v>
      </c>
      <c r="T473">
        <v>2360</v>
      </c>
      <c r="U473" t="s">
        <v>73</v>
      </c>
      <c r="V473">
        <v>60</v>
      </c>
      <c r="W473">
        <v>5</v>
      </c>
      <c r="X473" t="s">
        <v>42</v>
      </c>
      <c r="Y473" t="s">
        <v>32</v>
      </c>
      <c r="Z473" t="s">
        <v>33</v>
      </c>
      <c r="AA473" t="s">
        <v>34</v>
      </c>
      <c r="AB473" t="s">
        <v>35</v>
      </c>
      <c r="AC473" t="s">
        <v>44</v>
      </c>
    </row>
    <row r="474" spans="1:29" x14ac:dyDescent="0.25">
      <c r="A474">
        <v>497</v>
      </c>
      <c r="B474">
        <v>19312</v>
      </c>
      <c r="C474">
        <v>4780</v>
      </c>
      <c r="D474">
        <v>24092</v>
      </c>
      <c r="E474" t="s">
        <v>29</v>
      </c>
      <c r="F474">
        <v>30</v>
      </c>
      <c r="G474" t="s">
        <v>61</v>
      </c>
      <c r="H474" t="s">
        <v>41</v>
      </c>
      <c r="I474">
        <v>1</v>
      </c>
      <c r="J474" t="s">
        <v>68</v>
      </c>
      <c r="K474">
        <v>707</v>
      </c>
      <c r="L474" t="s">
        <v>63</v>
      </c>
      <c r="M474">
        <v>1</v>
      </c>
      <c r="N474" t="s">
        <v>44</v>
      </c>
      <c r="O474">
        <v>0.53</v>
      </c>
      <c r="P474" t="s">
        <v>56</v>
      </c>
      <c r="Q474">
        <v>8235</v>
      </c>
      <c r="R474">
        <v>16702</v>
      </c>
      <c r="S474" t="s">
        <v>44</v>
      </c>
      <c r="T474">
        <v>22946</v>
      </c>
      <c r="U474" t="s">
        <v>64</v>
      </c>
      <c r="V474">
        <v>72</v>
      </c>
      <c r="W474">
        <v>6</v>
      </c>
      <c r="X474" t="s">
        <v>31</v>
      </c>
      <c r="Y474" t="s">
        <v>38</v>
      </c>
      <c r="Z474" t="s">
        <v>39</v>
      </c>
      <c r="AA474" t="s">
        <v>34</v>
      </c>
      <c r="AB474" t="s">
        <v>35</v>
      </c>
      <c r="AC474" t="s">
        <v>36</v>
      </c>
    </row>
    <row r="475" spans="1:29" x14ac:dyDescent="0.25">
      <c r="A475">
        <v>498</v>
      </c>
      <c r="B475">
        <v>7029</v>
      </c>
      <c r="C475">
        <v>1927</v>
      </c>
      <c r="D475">
        <v>8956</v>
      </c>
      <c r="E475" t="s">
        <v>49</v>
      </c>
      <c r="F475">
        <v>48</v>
      </c>
      <c r="G475" t="s">
        <v>53</v>
      </c>
      <c r="H475" t="s">
        <v>30</v>
      </c>
      <c r="I475">
        <v>0</v>
      </c>
      <c r="J475" t="s">
        <v>54</v>
      </c>
      <c r="K475">
        <v>753</v>
      </c>
      <c r="L475" t="s">
        <v>71</v>
      </c>
      <c r="M475">
        <v>0</v>
      </c>
      <c r="N475" t="s">
        <v>36</v>
      </c>
      <c r="O475">
        <v>0.34</v>
      </c>
      <c r="P475" t="s">
        <v>67</v>
      </c>
      <c r="Q475">
        <v>16538</v>
      </c>
      <c r="R475">
        <v>10184</v>
      </c>
      <c r="S475" t="s">
        <v>44</v>
      </c>
      <c r="T475">
        <v>9730</v>
      </c>
      <c r="U475" t="s">
        <v>57</v>
      </c>
      <c r="V475">
        <v>24</v>
      </c>
      <c r="W475">
        <v>2</v>
      </c>
      <c r="X475" t="s">
        <v>42</v>
      </c>
      <c r="Y475" t="s">
        <v>32</v>
      </c>
      <c r="Z475" t="s">
        <v>33</v>
      </c>
      <c r="AA475" t="s">
        <v>34</v>
      </c>
      <c r="AB475" t="s">
        <v>48</v>
      </c>
      <c r="AC475" t="s">
        <v>44</v>
      </c>
    </row>
    <row r="476" spans="1:29" x14ac:dyDescent="0.25">
      <c r="A476">
        <v>499</v>
      </c>
      <c r="B476">
        <v>15428</v>
      </c>
      <c r="C476">
        <v>2356</v>
      </c>
      <c r="D476">
        <v>17784</v>
      </c>
      <c r="E476" t="s">
        <v>29</v>
      </c>
      <c r="F476">
        <v>41</v>
      </c>
      <c r="G476" t="s">
        <v>65</v>
      </c>
      <c r="H476" t="s">
        <v>30</v>
      </c>
      <c r="I476">
        <v>0</v>
      </c>
      <c r="J476" t="s">
        <v>54</v>
      </c>
      <c r="K476">
        <v>745</v>
      </c>
      <c r="L476" t="s">
        <v>71</v>
      </c>
      <c r="M476">
        <v>1</v>
      </c>
      <c r="N476" t="s">
        <v>44</v>
      </c>
      <c r="O476">
        <v>0.31</v>
      </c>
      <c r="P476" t="s">
        <v>67</v>
      </c>
      <c r="Q476">
        <v>15257</v>
      </c>
      <c r="R476">
        <v>12468</v>
      </c>
      <c r="S476" t="s">
        <v>44</v>
      </c>
      <c r="T476">
        <v>23161</v>
      </c>
      <c r="U476" t="s">
        <v>64</v>
      </c>
      <c r="V476">
        <v>24</v>
      </c>
      <c r="W476">
        <v>2</v>
      </c>
      <c r="X476" t="s">
        <v>50</v>
      </c>
      <c r="Y476" t="s">
        <v>32</v>
      </c>
      <c r="Z476" t="s">
        <v>39</v>
      </c>
      <c r="AA476" t="s">
        <v>40</v>
      </c>
      <c r="AB476" t="s">
        <v>35</v>
      </c>
      <c r="AC476" t="s">
        <v>44</v>
      </c>
    </row>
    <row r="477" spans="1:29" x14ac:dyDescent="0.25">
      <c r="A477">
        <v>500</v>
      </c>
      <c r="B477">
        <v>18517</v>
      </c>
      <c r="C477">
        <v>4790</v>
      </c>
      <c r="D477">
        <v>23307</v>
      </c>
      <c r="E477" t="s">
        <v>48</v>
      </c>
      <c r="F477">
        <v>27</v>
      </c>
      <c r="G477" t="s">
        <v>61</v>
      </c>
      <c r="H477" t="s">
        <v>30</v>
      </c>
      <c r="I477">
        <v>2</v>
      </c>
      <c r="J477" t="s">
        <v>62</v>
      </c>
      <c r="K477">
        <v>765</v>
      </c>
      <c r="L477" t="s">
        <v>71</v>
      </c>
      <c r="M477">
        <v>0</v>
      </c>
      <c r="N477" t="s">
        <v>36</v>
      </c>
      <c r="O477">
        <v>0.59</v>
      </c>
      <c r="P477" t="s">
        <v>56</v>
      </c>
      <c r="Q477">
        <v>8050</v>
      </c>
      <c r="R477">
        <v>22072</v>
      </c>
      <c r="S477" t="s">
        <v>44</v>
      </c>
      <c r="T477">
        <v>28738</v>
      </c>
      <c r="U477" t="s">
        <v>64</v>
      </c>
      <c r="V477">
        <v>36</v>
      </c>
      <c r="W477">
        <v>3</v>
      </c>
      <c r="X477" t="s">
        <v>47</v>
      </c>
      <c r="Y477" t="s">
        <v>45</v>
      </c>
      <c r="Z477" t="s">
        <v>33</v>
      </c>
      <c r="AA477" t="s">
        <v>40</v>
      </c>
      <c r="AB477" t="s">
        <v>51</v>
      </c>
      <c r="AC477" t="s">
        <v>36</v>
      </c>
    </row>
    <row r="478" spans="1:29" x14ac:dyDescent="0.25">
      <c r="A478">
        <v>501</v>
      </c>
      <c r="B478">
        <v>4105</v>
      </c>
      <c r="C478">
        <v>306</v>
      </c>
      <c r="D478">
        <v>4411</v>
      </c>
      <c r="E478" t="s">
        <v>29</v>
      </c>
      <c r="F478">
        <v>23</v>
      </c>
      <c r="G478" t="s">
        <v>72</v>
      </c>
      <c r="H478" t="s">
        <v>30</v>
      </c>
      <c r="I478">
        <v>2</v>
      </c>
      <c r="J478" t="s">
        <v>62</v>
      </c>
      <c r="K478">
        <v>578</v>
      </c>
      <c r="L478" t="s">
        <v>66</v>
      </c>
      <c r="M478">
        <v>0</v>
      </c>
      <c r="N478" t="s">
        <v>36</v>
      </c>
      <c r="O478">
        <v>0.2</v>
      </c>
      <c r="P478" t="s">
        <v>59</v>
      </c>
      <c r="Q478">
        <v>5947</v>
      </c>
      <c r="R478">
        <v>15479</v>
      </c>
      <c r="S478" t="s">
        <v>44</v>
      </c>
      <c r="T478">
        <v>4925</v>
      </c>
      <c r="U478" t="s">
        <v>73</v>
      </c>
      <c r="V478">
        <v>84</v>
      </c>
      <c r="W478">
        <v>7</v>
      </c>
      <c r="X478" t="s">
        <v>47</v>
      </c>
      <c r="Y478" t="s">
        <v>32</v>
      </c>
      <c r="Z478" t="s">
        <v>33</v>
      </c>
      <c r="AA478" t="s">
        <v>40</v>
      </c>
      <c r="AB478" t="s">
        <v>35</v>
      </c>
      <c r="AC478" t="s">
        <v>36</v>
      </c>
    </row>
    <row r="479" spans="1:29" x14ac:dyDescent="0.25">
      <c r="A479">
        <v>502</v>
      </c>
      <c r="B479">
        <v>5627</v>
      </c>
      <c r="C479">
        <v>7979</v>
      </c>
      <c r="D479">
        <v>13606</v>
      </c>
      <c r="E479" t="s">
        <v>46</v>
      </c>
      <c r="F479">
        <v>40</v>
      </c>
      <c r="G479" t="s">
        <v>65</v>
      </c>
      <c r="H479" t="s">
        <v>41</v>
      </c>
      <c r="I479">
        <v>2</v>
      </c>
      <c r="J479" t="s">
        <v>62</v>
      </c>
      <c r="K479">
        <v>750</v>
      </c>
      <c r="L479" t="s">
        <v>71</v>
      </c>
      <c r="M479">
        <v>2</v>
      </c>
      <c r="N479" t="s">
        <v>44</v>
      </c>
      <c r="O479">
        <v>0.21</v>
      </c>
      <c r="P479" t="s">
        <v>59</v>
      </c>
      <c r="Q479">
        <v>9617</v>
      </c>
      <c r="R479">
        <v>0</v>
      </c>
      <c r="S479" t="s">
        <v>36</v>
      </c>
      <c r="T479">
        <v>9463</v>
      </c>
      <c r="U479" t="s">
        <v>57</v>
      </c>
      <c r="V479">
        <v>48</v>
      </c>
      <c r="W479">
        <v>4</v>
      </c>
      <c r="X479" t="s">
        <v>42</v>
      </c>
      <c r="Y479" t="s">
        <v>38</v>
      </c>
      <c r="Z479" t="s">
        <v>39</v>
      </c>
      <c r="AA479" t="s">
        <v>40</v>
      </c>
      <c r="AB479" t="s">
        <v>43</v>
      </c>
      <c r="AC479" t="s">
        <v>44</v>
      </c>
    </row>
    <row r="480" spans="1:29" x14ac:dyDescent="0.25">
      <c r="A480">
        <v>503</v>
      </c>
      <c r="B480">
        <v>14972</v>
      </c>
      <c r="C480">
        <v>3665</v>
      </c>
      <c r="D480">
        <v>18637</v>
      </c>
      <c r="E480" t="s">
        <v>29</v>
      </c>
      <c r="F480">
        <v>39</v>
      </c>
      <c r="G480" t="s">
        <v>65</v>
      </c>
      <c r="H480" t="s">
        <v>41</v>
      </c>
      <c r="I480">
        <v>2</v>
      </c>
      <c r="J480" t="s">
        <v>62</v>
      </c>
      <c r="K480">
        <v>745</v>
      </c>
      <c r="L480" t="s">
        <v>71</v>
      </c>
      <c r="M480">
        <v>0</v>
      </c>
      <c r="N480" t="s">
        <v>36</v>
      </c>
      <c r="O480">
        <v>0.25</v>
      </c>
      <c r="P480" t="s">
        <v>59</v>
      </c>
      <c r="Q480">
        <v>1892</v>
      </c>
      <c r="R480">
        <v>23402</v>
      </c>
      <c r="S480" t="s">
        <v>44</v>
      </c>
      <c r="T480">
        <v>18412</v>
      </c>
      <c r="U480" t="s">
        <v>57</v>
      </c>
      <c r="V480">
        <v>84</v>
      </c>
      <c r="W480">
        <v>7</v>
      </c>
      <c r="X480" t="s">
        <v>47</v>
      </c>
      <c r="Y480" t="s">
        <v>32</v>
      </c>
      <c r="Z480" t="s">
        <v>39</v>
      </c>
      <c r="AA480" t="s">
        <v>34</v>
      </c>
      <c r="AB480" t="s">
        <v>42</v>
      </c>
      <c r="AC480" t="s">
        <v>44</v>
      </c>
    </row>
    <row r="481" spans="1:29" x14ac:dyDescent="0.25">
      <c r="A481">
        <v>504</v>
      </c>
      <c r="B481">
        <v>0</v>
      </c>
      <c r="C481">
        <v>7057</v>
      </c>
      <c r="D481">
        <v>7057</v>
      </c>
      <c r="E481" t="s">
        <v>48</v>
      </c>
      <c r="F481">
        <v>55</v>
      </c>
      <c r="G481" t="s">
        <v>69</v>
      </c>
      <c r="H481" t="s">
        <v>30</v>
      </c>
      <c r="I481">
        <v>0</v>
      </c>
      <c r="J481" t="s">
        <v>54</v>
      </c>
      <c r="K481">
        <v>600</v>
      </c>
      <c r="L481" t="s">
        <v>55</v>
      </c>
      <c r="M481">
        <v>0</v>
      </c>
      <c r="N481" t="s">
        <v>36</v>
      </c>
      <c r="O481">
        <v>0.19</v>
      </c>
      <c r="P481" t="s">
        <v>59</v>
      </c>
      <c r="Q481">
        <v>3424</v>
      </c>
      <c r="R481">
        <v>7210</v>
      </c>
      <c r="S481" t="s">
        <v>44</v>
      </c>
      <c r="T481">
        <v>23402</v>
      </c>
      <c r="U481" t="s">
        <v>64</v>
      </c>
      <c r="V481">
        <v>24</v>
      </c>
      <c r="W481">
        <v>2</v>
      </c>
      <c r="X481" t="s">
        <v>31</v>
      </c>
      <c r="Y481" t="s">
        <v>45</v>
      </c>
      <c r="Z481" t="s">
        <v>33</v>
      </c>
      <c r="AA481" t="s">
        <v>40</v>
      </c>
      <c r="AB481" t="s">
        <v>35</v>
      </c>
      <c r="AC481" t="s">
        <v>36</v>
      </c>
    </row>
    <row r="482" spans="1:29" x14ac:dyDescent="0.25">
      <c r="A482">
        <v>505</v>
      </c>
      <c r="B482">
        <v>6910</v>
      </c>
      <c r="C482">
        <v>661</v>
      </c>
      <c r="D482">
        <v>7571</v>
      </c>
      <c r="E482" t="s">
        <v>52</v>
      </c>
      <c r="F482">
        <v>24</v>
      </c>
      <c r="G482" t="s">
        <v>72</v>
      </c>
      <c r="H482" t="s">
        <v>41</v>
      </c>
      <c r="I482">
        <v>1</v>
      </c>
      <c r="J482" t="s">
        <v>68</v>
      </c>
      <c r="K482">
        <v>701</v>
      </c>
      <c r="L482" t="s">
        <v>63</v>
      </c>
      <c r="M482">
        <v>2</v>
      </c>
      <c r="N482" t="s">
        <v>44</v>
      </c>
      <c r="O482">
        <v>0.28999999999999998</v>
      </c>
      <c r="P482" t="s">
        <v>59</v>
      </c>
      <c r="Q482">
        <v>0</v>
      </c>
      <c r="R482">
        <v>45702</v>
      </c>
      <c r="S482" t="s">
        <v>44</v>
      </c>
      <c r="T482">
        <v>35010</v>
      </c>
      <c r="U482" t="s">
        <v>60</v>
      </c>
      <c r="V482">
        <v>36</v>
      </c>
      <c r="W482">
        <v>3</v>
      </c>
      <c r="X482" t="s">
        <v>37</v>
      </c>
      <c r="Y482" t="s">
        <v>45</v>
      </c>
      <c r="Z482" t="s">
        <v>39</v>
      </c>
      <c r="AA482" t="s">
        <v>34</v>
      </c>
      <c r="AB482" t="s">
        <v>43</v>
      </c>
      <c r="AC482" t="s">
        <v>36</v>
      </c>
    </row>
    <row r="483" spans="1:29" x14ac:dyDescent="0.25">
      <c r="A483">
        <v>506</v>
      </c>
      <c r="B483">
        <v>13003</v>
      </c>
      <c r="C483">
        <v>4644</v>
      </c>
      <c r="D483">
        <v>17647</v>
      </c>
      <c r="E483" t="s">
        <v>29</v>
      </c>
      <c r="F483">
        <v>25</v>
      </c>
      <c r="G483" t="s">
        <v>61</v>
      </c>
      <c r="H483" t="s">
        <v>30</v>
      </c>
      <c r="I483">
        <v>0</v>
      </c>
      <c r="J483" t="s">
        <v>54</v>
      </c>
      <c r="K483">
        <v>563</v>
      </c>
      <c r="L483" t="s">
        <v>66</v>
      </c>
      <c r="M483">
        <v>4</v>
      </c>
      <c r="N483" t="s">
        <v>44</v>
      </c>
      <c r="O483">
        <v>0.56000000000000005</v>
      </c>
      <c r="P483" t="s">
        <v>56</v>
      </c>
      <c r="Q483">
        <v>13418</v>
      </c>
      <c r="R483">
        <v>36724</v>
      </c>
      <c r="S483" t="s">
        <v>44</v>
      </c>
      <c r="T483">
        <v>26717</v>
      </c>
      <c r="U483" t="s">
        <v>64</v>
      </c>
      <c r="V483">
        <v>84</v>
      </c>
      <c r="W483">
        <v>7</v>
      </c>
      <c r="X483" t="s">
        <v>42</v>
      </c>
      <c r="Y483" t="s">
        <v>45</v>
      </c>
      <c r="Z483" t="s">
        <v>39</v>
      </c>
      <c r="AA483" t="s">
        <v>34</v>
      </c>
      <c r="AB483" t="s">
        <v>35</v>
      </c>
      <c r="AC483" t="s">
        <v>36</v>
      </c>
    </row>
    <row r="484" spans="1:29" x14ac:dyDescent="0.25">
      <c r="A484">
        <v>508</v>
      </c>
      <c r="B484">
        <v>13704</v>
      </c>
      <c r="C484">
        <v>2920</v>
      </c>
      <c r="D484">
        <v>16624</v>
      </c>
      <c r="E484" t="s">
        <v>29</v>
      </c>
      <c r="F484">
        <v>24</v>
      </c>
      <c r="G484" t="s">
        <v>72</v>
      </c>
      <c r="H484" t="s">
        <v>30</v>
      </c>
      <c r="I484">
        <v>0</v>
      </c>
      <c r="J484" t="s">
        <v>54</v>
      </c>
      <c r="K484">
        <v>695</v>
      </c>
      <c r="L484" t="s">
        <v>63</v>
      </c>
      <c r="M484">
        <v>2</v>
      </c>
      <c r="N484" t="s">
        <v>44</v>
      </c>
      <c r="O484">
        <v>0.31</v>
      </c>
      <c r="P484" t="s">
        <v>67</v>
      </c>
      <c r="Q484">
        <v>4833</v>
      </c>
      <c r="R484">
        <v>30916</v>
      </c>
      <c r="S484" t="s">
        <v>44</v>
      </c>
      <c r="T484">
        <v>21594</v>
      </c>
      <c r="U484" t="s">
        <v>64</v>
      </c>
      <c r="V484">
        <v>60</v>
      </c>
      <c r="W484">
        <v>5</v>
      </c>
      <c r="X484" t="s">
        <v>37</v>
      </c>
      <c r="Y484" t="s">
        <v>32</v>
      </c>
      <c r="Z484" t="s">
        <v>39</v>
      </c>
      <c r="AA484" t="s">
        <v>34</v>
      </c>
      <c r="AB484" t="s">
        <v>51</v>
      </c>
      <c r="AC484" t="s">
        <v>44</v>
      </c>
    </row>
    <row r="485" spans="1:29" x14ac:dyDescent="0.25">
      <c r="A485">
        <v>509</v>
      </c>
      <c r="B485">
        <v>17761</v>
      </c>
      <c r="C485">
        <v>9274</v>
      </c>
      <c r="D485">
        <v>27035</v>
      </c>
      <c r="E485" t="s">
        <v>29</v>
      </c>
      <c r="F485">
        <v>32</v>
      </c>
      <c r="G485" t="s">
        <v>61</v>
      </c>
      <c r="H485" t="s">
        <v>30</v>
      </c>
      <c r="I485">
        <v>2</v>
      </c>
      <c r="J485" t="s">
        <v>62</v>
      </c>
      <c r="K485">
        <v>719</v>
      </c>
      <c r="L485" t="s">
        <v>63</v>
      </c>
      <c r="M485">
        <v>3</v>
      </c>
      <c r="N485" t="s">
        <v>44</v>
      </c>
      <c r="O485">
        <v>0.56999999999999995</v>
      </c>
      <c r="P485" t="s">
        <v>56</v>
      </c>
      <c r="Q485">
        <v>9894</v>
      </c>
      <c r="R485">
        <v>27268</v>
      </c>
      <c r="S485" t="s">
        <v>44</v>
      </c>
      <c r="T485">
        <v>7406</v>
      </c>
      <c r="U485" t="s">
        <v>57</v>
      </c>
      <c r="V485">
        <v>84</v>
      </c>
      <c r="W485">
        <v>7</v>
      </c>
      <c r="X485" t="s">
        <v>47</v>
      </c>
      <c r="Y485" t="s">
        <v>32</v>
      </c>
      <c r="Z485" t="s">
        <v>39</v>
      </c>
      <c r="AA485" t="s">
        <v>40</v>
      </c>
      <c r="AB485" t="s">
        <v>35</v>
      </c>
      <c r="AC485" t="s">
        <v>36</v>
      </c>
    </row>
    <row r="486" spans="1:29" x14ac:dyDescent="0.25">
      <c r="A486">
        <v>510</v>
      </c>
      <c r="B486">
        <v>8190</v>
      </c>
      <c r="C486">
        <v>8946</v>
      </c>
      <c r="D486">
        <v>17136</v>
      </c>
      <c r="E486" t="s">
        <v>48</v>
      </c>
      <c r="F486">
        <v>47</v>
      </c>
      <c r="G486" t="s">
        <v>53</v>
      </c>
      <c r="H486" t="s">
        <v>30</v>
      </c>
      <c r="I486">
        <v>2</v>
      </c>
      <c r="J486" t="s">
        <v>62</v>
      </c>
      <c r="K486">
        <v>606</v>
      </c>
      <c r="L486" t="s">
        <v>55</v>
      </c>
      <c r="M486">
        <v>0</v>
      </c>
      <c r="N486" t="s">
        <v>36</v>
      </c>
      <c r="O486">
        <v>0.12</v>
      </c>
      <c r="P486" t="s">
        <v>59</v>
      </c>
      <c r="Q486">
        <v>15942</v>
      </c>
      <c r="R486">
        <v>43978</v>
      </c>
      <c r="S486" t="s">
        <v>44</v>
      </c>
      <c r="T486">
        <v>14965</v>
      </c>
      <c r="U486" t="s">
        <v>57</v>
      </c>
      <c r="V486">
        <v>48</v>
      </c>
      <c r="W486">
        <v>4</v>
      </c>
      <c r="X486" t="s">
        <v>47</v>
      </c>
      <c r="Y486" t="s">
        <v>32</v>
      </c>
      <c r="Z486" t="s">
        <v>39</v>
      </c>
      <c r="AA486" t="s">
        <v>34</v>
      </c>
      <c r="AB486" t="s">
        <v>42</v>
      </c>
      <c r="AC486" t="s">
        <v>36</v>
      </c>
    </row>
    <row r="487" spans="1:29" x14ac:dyDescent="0.25">
      <c r="A487">
        <v>511</v>
      </c>
      <c r="B487">
        <v>19640</v>
      </c>
      <c r="C487">
        <v>6236</v>
      </c>
      <c r="D487">
        <v>25876</v>
      </c>
      <c r="E487" t="s">
        <v>52</v>
      </c>
      <c r="F487">
        <v>43</v>
      </c>
      <c r="G487" t="s">
        <v>65</v>
      </c>
      <c r="H487" t="s">
        <v>41</v>
      </c>
      <c r="I487">
        <v>2</v>
      </c>
      <c r="J487" t="s">
        <v>62</v>
      </c>
      <c r="K487">
        <v>760</v>
      </c>
      <c r="L487" t="s">
        <v>71</v>
      </c>
      <c r="M487">
        <v>0</v>
      </c>
      <c r="N487" t="s">
        <v>36</v>
      </c>
      <c r="O487">
        <v>0.21</v>
      </c>
      <c r="P487" t="s">
        <v>59</v>
      </c>
      <c r="Q487">
        <v>9065</v>
      </c>
      <c r="R487">
        <v>47358</v>
      </c>
      <c r="S487" t="s">
        <v>44</v>
      </c>
      <c r="T487">
        <v>14733</v>
      </c>
      <c r="U487" t="s">
        <v>57</v>
      </c>
      <c r="V487">
        <v>36</v>
      </c>
      <c r="W487">
        <v>3</v>
      </c>
      <c r="X487" t="s">
        <v>50</v>
      </c>
      <c r="Y487" t="s">
        <v>45</v>
      </c>
      <c r="Z487" t="s">
        <v>39</v>
      </c>
      <c r="AA487" t="s">
        <v>40</v>
      </c>
      <c r="AB487" t="s">
        <v>35</v>
      </c>
      <c r="AC487" t="s">
        <v>36</v>
      </c>
    </row>
    <row r="488" spans="1:29" x14ac:dyDescent="0.25">
      <c r="A488">
        <v>512</v>
      </c>
      <c r="B488">
        <v>7645</v>
      </c>
      <c r="C488">
        <v>6078</v>
      </c>
      <c r="D488">
        <v>13723</v>
      </c>
      <c r="E488" t="s">
        <v>49</v>
      </c>
      <c r="F488">
        <v>45</v>
      </c>
      <c r="G488" t="s">
        <v>53</v>
      </c>
      <c r="H488" t="s">
        <v>30</v>
      </c>
      <c r="I488">
        <v>1</v>
      </c>
      <c r="J488" t="s">
        <v>68</v>
      </c>
      <c r="K488">
        <v>561</v>
      </c>
      <c r="L488" t="s">
        <v>66</v>
      </c>
      <c r="M488">
        <v>2</v>
      </c>
      <c r="N488" t="s">
        <v>44</v>
      </c>
      <c r="O488">
        <v>0.38</v>
      </c>
      <c r="P488" t="s">
        <v>67</v>
      </c>
      <c r="Q488">
        <v>565</v>
      </c>
      <c r="R488">
        <v>23259</v>
      </c>
      <c r="S488" t="s">
        <v>44</v>
      </c>
      <c r="T488">
        <v>27926</v>
      </c>
      <c r="U488" t="s">
        <v>64</v>
      </c>
      <c r="V488">
        <v>84</v>
      </c>
      <c r="W488">
        <v>7</v>
      </c>
      <c r="X488" t="s">
        <v>31</v>
      </c>
      <c r="Y488" t="s">
        <v>32</v>
      </c>
      <c r="Z488" t="s">
        <v>39</v>
      </c>
      <c r="AA488" t="s">
        <v>40</v>
      </c>
      <c r="AB488" t="s">
        <v>35</v>
      </c>
      <c r="AC488" t="s">
        <v>36</v>
      </c>
    </row>
    <row r="489" spans="1:29" x14ac:dyDescent="0.25">
      <c r="A489">
        <v>513</v>
      </c>
      <c r="B489">
        <v>11588</v>
      </c>
      <c r="C489">
        <v>352</v>
      </c>
      <c r="D489">
        <v>11940</v>
      </c>
      <c r="E489" t="s">
        <v>46</v>
      </c>
      <c r="F489">
        <v>41</v>
      </c>
      <c r="G489" t="s">
        <v>65</v>
      </c>
      <c r="H489" t="s">
        <v>41</v>
      </c>
      <c r="I489">
        <v>3</v>
      </c>
      <c r="J489" t="s">
        <v>58</v>
      </c>
      <c r="K489">
        <v>759</v>
      </c>
      <c r="L489" t="s">
        <v>71</v>
      </c>
      <c r="M489">
        <v>2</v>
      </c>
      <c r="N489" t="s">
        <v>44</v>
      </c>
      <c r="O489">
        <v>0.41</v>
      </c>
      <c r="P489" t="s">
        <v>70</v>
      </c>
      <c r="Q489">
        <v>7412</v>
      </c>
      <c r="R489">
        <v>13864</v>
      </c>
      <c r="S489" t="s">
        <v>44</v>
      </c>
      <c r="T489">
        <v>29783</v>
      </c>
      <c r="U489" t="s">
        <v>64</v>
      </c>
      <c r="V489">
        <v>72</v>
      </c>
      <c r="W489">
        <v>6</v>
      </c>
      <c r="X489" t="s">
        <v>50</v>
      </c>
      <c r="Y489" t="s">
        <v>32</v>
      </c>
      <c r="Z489" t="s">
        <v>39</v>
      </c>
      <c r="AA489" t="s">
        <v>40</v>
      </c>
      <c r="AB489" t="s">
        <v>42</v>
      </c>
      <c r="AC489" t="s">
        <v>36</v>
      </c>
    </row>
    <row r="490" spans="1:29" x14ac:dyDescent="0.25">
      <c r="A490">
        <v>514</v>
      </c>
      <c r="B490">
        <v>0</v>
      </c>
      <c r="C490">
        <v>9094</v>
      </c>
      <c r="D490">
        <v>9094</v>
      </c>
      <c r="E490" t="s">
        <v>52</v>
      </c>
      <c r="F490">
        <v>44</v>
      </c>
      <c r="G490" t="s">
        <v>65</v>
      </c>
      <c r="H490" t="s">
        <v>30</v>
      </c>
      <c r="I490">
        <v>2</v>
      </c>
      <c r="J490" t="s">
        <v>62</v>
      </c>
      <c r="K490">
        <v>566</v>
      </c>
      <c r="L490" t="s">
        <v>66</v>
      </c>
      <c r="M490">
        <v>3</v>
      </c>
      <c r="N490" t="s">
        <v>44</v>
      </c>
      <c r="O490">
        <v>0.12</v>
      </c>
      <c r="P490" t="s">
        <v>59</v>
      </c>
      <c r="Q490">
        <v>18402</v>
      </c>
      <c r="R490">
        <v>34293</v>
      </c>
      <c r="S490" t="s">
        <v>44</v>
      </c>
      <c r="T490">
        <v>18824</v>
      </c>
      <c r="U490" t="s">
        <v>57</v>
      </c>
      <c r="V490">
        <v>12</v>
      </c>
      <c r="W490">
        <v>1</v>
      </c>
      <c r="X490" t="s">
        <v>42</v>
      </c>
      <c r="Y490" t="s">
        <v>32</v>
      </c>
      <c r="Z490" t="s">
        <v>39</v>
      </c>
      <c r="AA490" t="s">
        <v>34</v>
      </c>
      <c r="AB490" t="s">
        <v>43</v>
      </c>
      <c r="AC490" t="s">
        <v>36</v>
      </c>
    </row>
    <row r="491" spans="1:29" x14ac:dyDescent="0.25">
      <c r="A491">
        <v>515</v>
      </c>
      <c r="B491">
        <v>10053</v>
      </c>
      <c r="C491">
        <v>7005</v>
      </c>
      <c r="D491">
        <v>17058</v>
      </c>
      <c r="E491" t="s">
        <v>29</v>
      </c>
      <c r="F491">
        <v>45</v>
      </c>
      <c r="G491" t="s">
        <v>53</v>
      </c>
      <c r="H491" t="s">
        <v>30</v>
      </c>
      <c r="I491">
        <v>1</v>
      </c>
      <c r="J491" t="s">
        <v>68</v>
      </c>
      <c r="K491">
        <v>579</v>
      </c>
      <c r="L491" t="s">
        <v>66</v>
      </c>
      <c r="M491">
        <v>4</v>
      </c>
      <c r="N491" t="s">
        <v>44</v>
      </c>
      <c r="O491">
        <v>0.3</v>
      </c>
      <c r="P491" t="s">
        <v>59</v>
      </c>
      <c r="Q491">
        <v>10077</v>
      </c>
      <c r="R491">
        <v>46045</v>
      </c>
      <c r="S491" t="s">
        <v>44</v>
      </c>
      <c r="T491">
        <v>37394</v>
      </c>
      <c r="U491" t="s">
        <v>60</v>
      </c>
      <c r="V491">
        <v>60</v>
      </c>
      <c r="W491">
        <v>5</v>
      </c>
      <c r="X491" t="s">
        <v>50</v>
      </c>
      <c r="Y491" t="s">
        <v>45</v>
      </c>
      <c r="Z491" t="s">
        <v>39</v>
      </c>
      <c r="AA491" t="s">
        <v>34</v>
      </c>
      <c r="AB491" t="s">
        <v>35</v>
      </c>
      <c r="AC491" t="s">
        <v>36</v>
      </c>
    </row>
    <row r="492" spans="1:29" x14ac:dyDescent="0.25">
      <c r="A492">
        <v>516</v>
      </c>
      <c r="B492">
        <v>5330</v>
      </c>
      <c r="C492">
        <v>158</v>
      </c>
      <c r="D492">
        <v>5488</v>
      </c>
      <c r="E492" t="s">
        <v>52</v>
      </c>
      <c r="F492">
        <v>52</v>
      </c>
      <c r="G492" t="s">
        <v>53</v>
      </c>
      <c r="H492" t="s">
        <v>30</v>
      </c>
      <c r="I492">
        <v>2</v>
      </c>
      <c r="J492" t="s">
        <v>62</v>
      </c>
      <c r="K492">
        <v>637</v>
      </c>
      <c r="L492" t="s">
        <v>55</v>
      </c>
      <c r="M492">
        <v>1</v>
      </c>
      <c r="N492" t="s">
        <v>44</v>
      </c>
      <c r="O492">
        <v>0.42</v>
      </c>
      <c r="P492" t="s">
        <v>70</v>
      </c>
      <c r="Q492">
        <v>10315</v>
      </c>
      <c r="R492">
        <v>7043</v>
      </c>
      <c r="S492" t="s">
        <v>44</v>
      </c>
      <c r="T492">
        <v>29287</v>
      </c>
      <c r="U492" t="s">
        <v>64</v>
      </c>
      <c r="V492">
        <v>12</v>
      </c>
      <c r="W492">
        <v>1</v>
      </c>
      <c r="X492" t="s">
        <v>47</v>
      </c>
      <c r="Y492" t="s">
        <v>32</v>
      </c>
      <c r="Z492" t="s">
        <v>39</v>
      </c>
      <c r="AA492" t="s">
        <v>40</v>
      </c>
      <c r="AB492" t="s">
        <v>43</v>
      </c>
      <c r="AC492" t="s">
        <v>36</v>
      </c>
    </row>
    <row r="493" spans="1:29" x14ac:dyDescent="0.25">
      <c r="A493">
        <v>517</v>
      </c>
      <c r="B493">
        <v>10662</v>
      </c>
      <c r="C493">
        <v>956</v>
      </c>
      <c r="D493">
        <v>11618</v>
      </c>
      <c r="E493" t="s">
        <v>49</v>
      </c>
      <c r="F493">
        <v>52</v>
      </c>
      <c r="G493" t="s">
        <v>53</v>
      </c>
      <c r="H493" t="s">
        <v>30</v>
      </c>
      <c r="I493">
        <v>2</v>
      </c>
      <c r="J493" t="s">
        <v>62</v>
      </c>
      <c r="K493">
        <v>752</v>
      </c>
      <c r="L493" t="s">
        <v>71</v>
      </c>
      <c r="M493">
        <v>4</v>
      </c>
      <c r="N493" t="s">
        <v>44</v>
      </c>
      <c r="O493">
        <v>0.45</v>
      </c>
      <c r="P493" t="s">
        <v>70</v>
      </c>
      <c r="Q493">
        <v>12834</v>
      </c>
      <c r="R493">
        <v>41473</v>
      </c>
      <c r="S493" t="s">
        <v>44</v>
      </c>
      <c r="T493">
        <v>17568</v>
      </c>
      <c r="U493" t="s">
        <v>57</v>
      </c>
      <c r="V493">
        <v>36</v>
      </c>
      <c r="W493">
        <v>3</v>
      </c>
      <c r="X493" t="s">
        <v>31</v>
      </c>
      <c r="Y493" t="s">
        <v>38</v>
      </c>
      <c r="Z493" t="s">
        <v>39</v>
      </c>
      <c r="AA493" t="s">
        <v>40</v>
      </c>
      <c r="AB493" t="s">
        <v>35</v>
      </c>
      <c r="AC493" t="s">
        <v>36</v>
      </c>
    </row>
    <row r="494" spans="1:29" x14ac:dyDescent="0.25">
      <c r="A494">
        <v>518</v>
      </c>
      <c r="B494">
        <v>9114</v>
      </c>
      <c r="C494">
        <v>0</v>
      </c>
      <c r="D494">
        <v>9114</v>
      </c>
      <c r="E494" t="s">
        <v>48</v>
      </c>
      <c r="F494">
        <v>25</v>
      </c>
      <c r="G494" t="s">
        <v>61</v>
      </c>
      <c r="H494" t="s">
        <v>30</v>
      </c>
      <c r="I494">
        <v>0</v>
      </c>
      <c r="J494" t="s">
        <v>54</v>
      </c>
      <c r="K494">
        <v>648</v>
      </c>
      <c r="L494" t="s">
        <v>55</v>
      </c>
      <c r="M494">
        <v>0</v>
      </c>
      <c r="N494" t="s">
        <v>36</v>
      </c>
      <c r="O494">
        <v>0.42</v>
      </c>
      <c r="P494" t="s">
        <v>70</v>
      </c>
      <c r="Q494">
        <v>2314</v>
      </c>
      <c r="R494">
        <v>38893</v>
      </c>
      <c r="S494" t="s">
        <v>44</v>
      </c>
      <c r="T494">
        <v>31436</v>
      </c>
      <c r="U494" t="s">
        <v>64</v>
      </c>
      <c r="V494">
        <v>24</v>
      </c>
      <c r="W494">
        <v>2</v>
      </c>
      <c r="X494" t="s">
        <v>31</v>
      </c>
      <c r="Y494" t="s">
        <v>45</v>
      </c>
      <c r="Z494" t="s">
        <v>33</v>
      </c>
      <c r="AA494" t="s">
        <v>34</v>
      </c>
      <c r="AB494" t="s">
        <v>51</v>
      </c>
      <c r="AC494" t="s">
        <v>36</v>
      </c>
    </row>
    <row r="495" spans="1:29" x14ac:dyDescent="0.25">
      <c r="A495">
        <v>519</v>
      </c>
      <c r="B495">
        <v>15323</v>
      </c>
      <c r="C495">
        <v>8595</v>
      </c>
      <c r="D495">
        <v>23918</v>
      </c>
      <c r="E495" t="s">
        <v>29</v>
      </c>
      <c r="F495">
        <v>56</v>
      </c>
      <c r="G495" t="s">
        <v>69</v>
      </c>
      <c r="H495" t="s">
        <v>41</v>
      </c>
      <c r="I495">
        <v>0</v>
      </c>
      <c r="J495" t="s">
        <v>54</v>
      </c>
      <c r="K495">
        <v>572</v>
      </c>
      <c r="L495" t="s">
        <v>66</v>
      </c>
      <c r="M495">
        <v>2</v>
      </c>
      <c r="N495" t="s">
        <v>44</v>
      </c>
      <c r="O495">
        <v>0.26</v>
      </c>
      <c r="P495" t="s">
        <v>59</v>
      </c>
      <c r="Q495">
        <v>4412</v>
      </c>
      <c r="R495">
        <v>40642</v>
      </c>
      <c r="S495" t="s">
        <v>44</v>
      </c>
      <c r="T495">
        <v>22380</v>
      </c>
      <c r="U495" t="s">
        <v>64</v>
      </c>
      <c r="V495">
        <v>60</v>
      </c>
      <c r="W495">
        <v>5</v>
      </c>
      <c r="X495" t="s">
        <v>50</v>
      </c>
      <c r="Y495" t="s">
        <v>45</v>
      </c>
      <c r="Z495" t="s">
        <v>39</v>
      </c>
      <c r="AA495" t="s">
        <v>40</v>
      </c>
      <c r="AB495" t="s">
        <v>35</v>
      </c>
      <c r="AC495" t="s">
        <v>36</v>
      </c>
    </row>
    <row r="496" spans="1:29" x14ac:dyDescent="0.25">
      <c r="A496">
        <v>521</v>
      </c>
      <c r="B496">
        <v>12975</v>
      </c>
      <c r="C496">
        <v>3453</v>
      </c>
      <c r="D496">
        <v>16428</v>
      </c>
      <c r="E496" t="s">
        <v>29</v>
      </c>
      <c r="F496">
        <v>36</v>
      </c>
      <c r="G496" t="s">
        <v>65</v>
      </c>
      <c r="H496" t="s">
        <v>41</v>
      </c>
      <c r="I496">
        <v>1</v>
      </c>
      <c r="J496" t="s">
        <v>68</v>
      </c>
      <c r="K496">
        <v>678</v>
      </c>
      <c r="L496" t="s">
        <v>63</v>
      </c>
      <c r="M496">
        <v>4</v>
      </c>
      <c r="N496" t="s">
        <v>44</v>
      </c>
      <c r="O496">
        <v>0.31</v>
      </c>
      <c r="P496" t="s">
        <v>67</v>
      </c>
      <c r="Q496">
        <v>11384</v>
      </c>
      <c r="R496">
        <v>30868</v>
      </c>
      <c r="S496" t="s">
        <v>44</v>
      </c>
      <c r="T496">
        <v>9031</v>
      </c>
      <c r="U496" t="s">
        <v>57</v>
      </c>
      <c r="V496">
        <v>24</v>
      </c>
      <c r="W496">
        <v>2</v>
      </c>
      <c r="X496" t="s">
        <v>47</v>
      </c>
      <c r="Y496" t="s">
        <v>32</v>
      </c>
      <c r="Z496" t="s">
        <v>39</v>
      </c>
      <c r="AA496" t="s">
        <v>34</v>
      </c>
      <c r="AB496" t="s">
        <v>51</v>
      </c>
      <c r="AC496" t="s">
        <v>44</v>
      </c>
    </row>
    <row r="497" spans="1:29" x14ac:dyDescent="0.25">
      <c r="A497">
        <v>522</v>
      </c>
      <c r="B497">
        <v>13023</v>
      </c>
      <c r="C497">
        <v>6675</v>
      </c>
      <c r="D497">
        <v>19698</v>
      </c>
      <c r="E497" t="s">
        <v>48</v>
      </c>
      <c r="F497">
        <v>53</v>
      </c>
      <c r="G497" t="s">
        <v>53</v>
      </c>
      <c r="H497" t="s">
        <v>41</v>
      </c>
      <c r="I497">
        <v>3</v>
      </c>
      <c r="J497" t="s">
        <v>58</v>
      </c>
      <c r="K497">
        <v>628</v>
      </c>
      <c r="L497" t="s">
        <v>55</v>
      </c>
      <c r="M497">
        <v>3</v>
      </c>
      <c r="N497" t="s">
        <v>44</v>
      </c>
      <c r="O497">
        <v>0.35</v>
      </c>
      <c r="P497" t="s">
        <v>67</v>
      </c>
      <c r="Q497">
        <v>10051</v>
      </c>
      <c r="R497">
        <v>26309</v>
      </c>
      <c r="S497" t="s">
        <v>44</v>
      </c>
      <c r="T497">
        <v>22947</v>
      </c>
      <c r="U497" t="s">
        <v>64</v>
      </c>
      <c r="V497">
        <v>48</v>
      </c>
      <c r="W497">
        <v>4</v>
      </c>
      <c r="X497" t="s">
        <v>37</v>
      </c>
      <c r="Y497" t="s">
        <v>38</v>
      </c>
      <c r="Z497" t="s">
        <v>33</v>
      </c>
      <c r="AA497" t="s">
        <v>40</v>
      </c>
      <c r="AB497" t="s">
        <v>35</v>
      </c>
      <c r="AC497" t="s">
        <v>36</v>
      </c>
    </row>
    <row r="498" spans="1:29" x14ac:dyDescent="0.25">
      <c r="A498">
        <v>523</v>
      </c>
      <c r="B498">
        <v>2667</v>
      </c>
      <c r="C498">
        <v>955</v>
      </c>
      <c r="D498">
        <v>3622</v>
      </c>
      <c r="E498" t="s">
        <v>29</v>
      </c>
      <c r="F498">
        <v>41</v>
      </c>
      <c r="G498" t="s">
        <v>65</v>
      </c>
      <c r="H498" t="s">
        <v>30</v>
      </c>
      <c r="I498">
        <v>3</v>
      </c>
      <c r="J498" t="s">
        <v>58</v>
      </c>
      <c r="K498">
        <v>581</v>
      </c>
      <c r="L498" t="s">
        <v>55</v>
      </c>
      <c r="M498">
        <v>0</v>
      </c>
      <c r="N498" t="s">
        <v>36</v>
      </c>
      <c r="O498">
        <v>0.56999999999999995</v>
      </c>
      <c r="P498" t="s">
        <v>56</v>
      </c>
      <c r="Q498">
        <v>8216</v>
      </c>
      <c r="R498">
        <v>23284</v>
      </c>
      <c r="S498" t="s">
        <v>44</v>
      </c>
      <c r="T498">
        <v>4188</v>
      </c>
      <c r="U498" t="s">
        <v>73</v>
      </c>
      <c r="V498">
        <v>36</v>
      </c>
      <c r="W498">
        <v>3</v>
      </c>
      <c r="X498" t="s">
        <v>31</v>
      </c>
      <c r="Y498" t="s">
        <v>45</v>
      </c>
      <c r="Z498" t="s">
        <v>39</v>
      </c>
      <c r="AA498" t="s">
        <v>40</v>
      </c>
      <c r="AB498" t="s">
        <v>35</v>
      </c>
      <c r="AC498" t="s">
        <v>36</v>
      </c>
    </row>
    <row r="499" spans="1:29" x14ac:dyDescent="0.25">
      <c r="A499">
        <v>524</v>
      </c>
      <c r="B499">
        <v>11337</v>
      </c>
      <c r="C499">
        <v>6295</v>
      </c>
      <c r="D499">
        <v>17632</v>
      </c>
      <c r="E499" t="s">
        <v>52</v>
      </c>
      <c r="F499">
        <v>29</v>
      </c>
      <c r="G499" t="s">
        <v>61</v>
      </c>
      <c r="H499" t="s">
        <v>41</v>
      </c>
      <c r="I499">
        <v>1</v>
      </c>
      <c r="J499" t="s">
        <v>68</v>
      </c>
      <c r="K499">
        <v>558</v>
      </c>
      <c r="L499" t="s">
        <v>66</v>
      </c>
      <c r="M499">
        <v>0</v>
      </c>
      <c r="N499" t="s">
        <v>36</v>
      </c>
      <c r="O499">
        <v>0.34</v>
      </c>
      <c r="P499" t="s">
        <v>67</v>
      </c>
      <c r="Q499">
        <v>0</v>
      </c>
      <c r="R499">
        <v>47723</v>
      </c>
      <c r="S499" t="s">
        <v>44</v>
      </c>
      <c r="T499">
        <v>26669</v>
      </c>
      <c r="U499" t="s">
        <v>64</v>
      </c>
      <c r="V499">
        <v>48</v>
      </c>
      <c r="W499">
        <v>4</v>
      </c>
      <c r="X499" t="s">
        <v>50</v>
      </c>
      <c r="Y499" t="s">
        <v>32</v>
      </c>
      <c r="Z499" t="s">
        <v>39</v>
      </c>
      <c r="AA499" t="s">
        <v>40</v>
      </c>
      <c r="AB499" t="s">
        <v>35</v>
      </c>
      <c r="AC499" t="s">
        <v>36</v>
      </c>
    </row>
    <row r="500" spans="1:29" x14ac:dyDescent="0.25">
      <c r="A500">
        <v>525</v>
      </c>
      <c r="B500">
        <v>15659</v>
      </c>
      <c r="C500">
        <v>1712</v>
      </c>
      <c r="D500">
        <v>17371</v>
      </c>
      <c r="E500" t="s">
        <v>49</v>
      </c>
      <c r="F500">
        <v>26</v>
      </c>
      <c r="G500" t="s">
        <v>61</v>
      </c>
      <c r="H500" t="s">
        <v>30</v>
      </c>
      <c r="I500">
        <v>2</v>
      </c>
      <c r="J500" t="s">
        <v>62</v>
      </c>
      <c r="K500">
        <v>564</v>
      </c>
      <c r="L500" t="s">
        <v>66</v>
      </c>
      <c r="M500">
        <v>1</v>
      </c>
      <c r="N500" t="s">
        <v>44</v>
      </c>
      <c r="O500">
        <v>0.26</v>
      </c>
      <c r="P500" t="s">
        <v>59</v>
      </c>
      <c r="Q500">
        <v>7902</v>
      </c>
      <c r="R500">
        <v>35268</v>
      </c>
      <c r="S500" t="s">
        <v>44</v>
      </c>
      <c r="T500">
        <v>36713</v>
      </c>
      <c r="U500" t="s">
        <v>60</v>
      </c>
      <c r="V500">
        <v>60</v>
      </c>
      <c r="W500">
        <v>5</v>
      </c>
      <c r="X500" t="s">
        <v>42</v>
      </c>
      <c r="Y500" t="s">
        <v>38</v>
      </c>
      <c r="Z500" t="s">
        <v>39</v>
      </c>
      <c r="AA500" t="s">
        <v>40</v>
      </c>
      <c r="AB500" t="s">
        <v>51</v>
      </c>
      <c r="AC500" t="s">
        <v>36</v>
      </c>
    </row>
    <row r="501" spans="1:29" x14ac:dyDescent="0.25">
      <c r="A501">
        <v>526</v>
      </c>
      <c r="B501">
        <v>5719</v>
      </c>
      <c r="C501">
        <v>4703</v>
      </c>
      <c r="D501">
        <v>10422</v>
      </c>
      <c r="E501" t="s">
        <v>29</v>
      </c>
      <c r="F501">
        <v>55</v>
      </c>
      <c r="G501" t="s">
        <v>69</v>
      </c>
      <c r="H501" t="s">
        <v>30</v>
      </c>
      <c r="I501">
        <v>0</v>
      </c>
      <c r="J501" t="s">
        <v>54</v>
      </c>
      <c r="K501">
        <v>705</v>
      </c>
      <c r="L501" t="s">
        <v>63</v>
      </c>
      <c r="M501">
        <v>3</v>
      </c>
      <c r="N501" t="s">
        <v>44</v>
      </c>
      <c r="O501">
        <v>0.48</v>
      </c>
      <c r="P501" t="s">
        <v>70</v>
      </c>
      <c r="Q501">
        <v>13187</v>
      </c>
      <c r="R501">
        <v>3464</v>
      </c>
      <c r="S501" t="s">
        <v>44</v>
      </c>
      <c r="T501">
        <v>0</v>
      </c>
      <c r="U501" t="s">
        <v>73</v>
      </c>
      <c r="V501">
        <v>12</v>
      </c>
      <c r="W501">
        <v>1</v>
      </c>
      <c r="X501" t="s">
        <v>42</v>
      </c>
      <c r="Y501" t="s">
        <v>32</v>
      </c>
      <c r="Z501" t="s">
        <v>39</v>
      </c>
      <c r="AA501" t="s">
        <v>40</v>
      </c>
      <c r="AB501" t="s">
        <v>48</v>
      </c>
      <c r="AC501" t="s">
        <v>36</v>
      </c>
    </row>
    <row r="502" spans="1:29" x14ac:dyDescent="0.25">
      <c r="A502">
        <v>527</v>
      </c>
      <c r="B502">
        <v>9483</v>
      </c>
      <c r="C502">
        <v>6563</v>
      </c>
      <c r="D502">
        <v>16046</v>
      </c>
      <c r="E502" t="s">
        <v>29</v>
      </c>
      <c r="F502">
        <v>59</v>
      </c>
      <c r="G502" t="s">
        <v>69</v>
      </c>
      <c r="H502" t="s">
        <v>30</v>
      </c>
      <c r="I502">
        <v>2</v>
      </c>
      <c r="J502" t="s">
        <v>62</v>
      </c>
      <c r="K502">
        <v>701</v>
      </c>
      <c r="L502" t="s">
        <v>63</v>
      </c>
      <c r="M502">
        <v>3</v>
      </c>
      <c r="N502" t="s">
        <v>44</v>
      </c>
      <c r="O502">
        <v>0.35</v>
      </c>
      <c r="P502" t="s">
        <v>67</v>
      </c>
      <c r="Q502">
        <v>17573</v>
      </c>
      <c r="R502">
        <v>18643</v>
      </c>
      <c r="S502" t="s">
        <v>44</v>
      </c>
      <c r="T502">
        <v>0</v>
      </c>
      <c r="U502" t="s">
        <v>73</v>
      </c>
      <c r="V502">
        <v>48</v>
      </c>
      <c r="W502">
        <v>4</v>
      </c>
      <c r="X502" t="s">
        <v>47</v>
      </c>
      <c r="Y502" t="s">
        <v>32</v>
      </c>
      <c r="Z502" t="s">
        <v>39</v>
      </c>
      <c r="AA502" t="s">
        <v>40</v>
      </c>
      <c r="AB502" t="s">
        <v>42</v>
      </c>
      <c r="AC502" t="s">
        <v>44</v>
      </c>
    </row>
    <row r="503" spans="1:29" x14ac:dyDescent="0.25">
      <c r="A503">
        <v>528</v>
      </c>
      <c r="B503">
        <v>2539</v>
      </c>
      <c r="C503">
        <v>9465</v>
      </c>
      <c r="D503">
        <v>12004</v>
      </c>
      <c r="E503" t="s">
        <v>46</v>
      </c>
      <c r="F503">
        <v>42</v>
      </c>
      <c r="G503" t="s">
        <v>65</v>
      </c>
      <c r="H503" t="s">
        <v>30</v>
      </c>
      <c r="I503">
        <v>1</v>
      </c>
      <c r="J503" t="s">
        <v>68</v>
      </c>
      <c r="K503">
        <v>737</v>
      </c>
      <c r="L503" t="s">
        <v>63</v>
      </c>
      <c r="M503">
        <v>1</v>
      </c>
      <c r="N503" t="s">
        <v>44</v>
      </c>
      <c r="O503">
        <v>0.26</v>
      </c>
      <c r="P503" t="s">
        <v>59</v>
      </c>
      <c r="Q503">
        <v>12288</v>
      </c>
      <c r="R503">
        <v>29265</v>
      </c>
      <c r="S503" t="s">
        <v>44</v>
      </c>
      <c r="T503">
        <v>24171</v>
      </c>
      <c r="U503" t="s">
        <v>64</v>
      </c>
      <c r="V503">
        <v>72</v>
      </c>
      <c r="W503">
        <v>6</v>
      </c>
      <c r="X503" t="s">
        <v>31</v>
      </c>
      <c r="Y503" t="s">
        <v>45</v>
      </c>
      <c r="Z503" t="s">
        <v>39</v>
      </c>
      <c r="AA503" t="s">
        <v>40</v>
      </c>
      <c r="AB503" t="s">
        <v>43</v>
      </c>
      <c r="AC503" t="s">
        <v>36</v>
      </c>
    </row>
    <row r="504" spans="1:29" x14ac:dyDescent="0.25">
      <c r="A504">
        <v>530</v>
      </c>
      <c r="B504">
        <v>6835</v>
      </c>
      <c r="C504">
        <v>9633</v>
      </c>
      <c r="D504">
        <v>16468</v>
      </c>
      <c r="E504" t="s">
        <v>29</v>
      </c>
      <c r="F504">
        <v>40</v>
      </c>
      <c r="G504" t="s">
        <v>65</v>
      </c>
      <c r="H504" t="s">
        <v>41</v>
      </c>
      <c r="I504">
        <v>1</v>
      </c>
      <c r="J504" t="s">
        <v>68</v>
      </c>
      <c r="K504">
        <v>763</v>
      </c>
      <c r="L504" t="s">
        <v>71</v>
      </c>
      <c r="M504">
        <v>3</v>
      </c>
      <c r="N504" t="s">
        <v>44</v>
      </c>
      <c r="O504">
        <v>0.53</v>
      </c>
      <c r="P504" t="s">
        <v>56</v>
      </c>
      <c r="Q504">
        <v>6884</v>
      </c>
      <c r="R504">
        <v>23880</v>
      </c>
      <c r="S504" t="s">
        <v>44</v>
      </c>
      <c r="T504">
        <v>11204</v>
      </c>
      <c r="U504" t="s">
        <v>57</v>
      </c>
      <c r="V504">
        <v>72</v>
      </c>
      <c r="W504">
        <v>6</v>
      </c>
      <c r="X504" t="s">
        <v>37</v>
      </c>
      <c r="Y504" t="s">
        <v>32</v>
      </c>
      <c r="Z504" t="s">
        <v>33</v>
      </c>
      <c r="AA504" t="s">
        <v>34</v>
      </c>
      <c r="AB504" t="s">
        <v>43</v>
      </c>
      <c r="AC504" t="s">
        <v>36</v>
      </c>
    </row>
    <row r="505" spans="1:29" x14ac:dyDescent="0.25">
      <c r="A505">
        <v>532</v>
      </c>
      <c r="B505">
        <v>16837</v>
      </c>
      <c r="C505">
        <v>1394</v>
      </c>
      <c r="D505">
        <v>18231</v>
      </c>
      <c r="E505" t="s">
        <v>29</v>
      </c>
      <c r="F505">
        <v>32</v>
      </c>
      <c r="G505" t="s">
        <v>61</v>
      </c>
      <c r="H505" t="s">
        <v>30</v>
      </c>
      <c r="I505">
        <v>0</v>
      </c>
      <c r="J505" t="s">
        <v>54</v>
      </c>
      <c r="K505">
        <v>760</v>
      </c>
      <c r="L505" t="s">
        <v>71</v>
      </c>
      <c r="M505">
        <v>4</v>
      </c>
      <c r="N505" t="s">
        <v>44</v>
      </c>
      <c r="O505">
        <v>0.12</v>
      </c>
      <c r="P505" t="s">
        <v>59</v>
      </c>
      <c r="Q505">
        <v>10559</v>
      </c>
      <c r="R505">
        <v>255</v>
      </c>
      <c r="S505" t="s">
        <v>44</v>
      </c>
      <c r="T505">
        <v>38367</v>
      </c>
      <c r="U505" t="s">
        <v>60</v>
      </c>
      <c r="V505">
        <v>12</v>
      </c>
      <c r="W505">
        <v>1</v>
      </c>
      <c r="X505" t="s">
        <v>37</v>
      </c>
      <c r="Y505" t="s">
        <v>32</v>
      </c>
      <c r="Z505" t="s">
        <v>39</v>
      </c>
      <c r="AA505" t="s">
        <v>40</v>
      </c>
      <c r="AB505" t="s">
        <v>48</v>
      </c>
      <c r="AC505" t="s">
        <v>44</v>
      </c>
    </row>
    <row r="506" spans="1:29" x14ac:dyDescent="0.25">
      <c r="A506">
        <v>533</v>
      </c>
      <c r="B506">
        <v>9312</v>
      </c>
      <c r="C506">
        <v>9461</v>
      </c>
      <c r="D506">
        <v>18773</v>
      </c>
      <c r="E506" t="s">
        <v>52</v>
      </c>
      <c r="F506">
        <v>43</v>
      </c>
      <c r="G506" t="s">
        <v>65</v>
      </c>
      <c r="H506" t="s">
        <v>41</v>
      </c>
      <c r="I506">
        <v>1</v>
      </c>
      <c r="J506" t="s">
        <v>68</v>
      </c>
      <c r="K506">
        <v>658</v>
      </c>
      <c r="L506" t="s">
        <v>55</v>
      </c>
      <c r="M506">
        <v>1</v>
      </c>
      <c r="N506" t="s">
        <v>44</v>
      </c>
      <c r="O506">
        <v>0.38</v>
      </c>
      <c r="P506" t="s">
        <v>67</v>
      </c>
      <c r="Q506">
        <v>18125</v>
      </c>
      <c r="R506">
        <v>1502</v>
      </c>
      <c r="S506" t="s">
        <v>44</v>
      </c>
      <c r="T506">
        <v>23658</v>
      </c>
      <c r="U506" t="s">
        <v>64</v>
      </c>
      <c r="V506">
        <v>48</v>
      </c>
      <c r="W506">
        <v>4</v>
      </c>
      <c r="X506" t="s">
        <v>42</v>
      </c>
      <c r="Y506" t="s">
        <v>45</v>
      </c>
      <c r="Z506" t="s">
        <v>39</v>
      </c>
      <c r="AA506" t="s">
        <v>34</v>
      </c>
      <c r="AB506" t="s">
        <v>35</v>
      </c>
      <c r="AC506" t="s">
        <v>44</v>
      </c>
    </row>
    <row r="507" spans="1:29" x14ac:dyDescent="0.25">
      <c r="A507">
        <v>534</v>
      </c>
      <c r="B507">
        <v>7320</v>
      </c>
      <c r="C507">
        <v>4732</v>
      </c>
      <c r="D507">
        <v>12052</v>
      </c>
      <c r="E507" t="s">
        <v>46</v>
      </c>
      <c r="F507">
        <v>36</v>
      </c>
      <c r="G507" t="s">
        <v>65</v>
      </c>
      <c r="H507" t="s">
        <v>30</v>
      </c>
      <c r="I507">
        <v>3</v>
      </c>
      <c r="J507" t="s">
        <v>58</v>
      </c>
      <c r="K507">
        <v>625</v>
      </c>
      <c r="L507" t="s">
        <v>55</v>
      </c>
      <c r="M507">
        <v>0</v>
      </c>
      <c r="N507" t="s">
        <v>36</v>
      </c>
      <c r="O507">
        <v>0.48</v>
      </c>
      <c r="P507" t="s">
        <v>70</v>
      </c>
      <c r="Q507">
        <v>3688</v>
      </c>
      <c r="R507">
        <v>4656</v>
      </c>
      <c r="S507" t="s">
        <v>44</v>
      </c>
      <c r="T507">
        <v>38081</v>
      </c>
      <c r="U507" t="s">
        <v>60</v>
      </c>
      <c r="V507">
        <v>12</v>
      </c>
      <c r="W507">
        <v>1</v>
      </c>
      <c r="X507" t="s">
        <v>31</v>
      </c>
      <c r="Y507" t="s">
        <v>38</v>
      </c>
      <c r="Z507" t="s">
        <v>39</v>
      </c>
      <c r="AA507" t="s">
        <v>40</v>
      </c>
      <c r="AB507" t="s">
        <v>35</v>
      </c>
      <c r="AC507" t="s">
        <v>36</v>
      </c>
    </row>
    <row r="508" spans="1:29" x14ac:dyDescent="0.25">
      <c r="A508">
        <v>535</v>
      </c>
      <c r="B508">
        <v>15216</v>
      </c>
      <c r="C508">
        <v>3714</v>
      </c>
      <c r="D508">
        <v>18930</v>
      </c>
      <c r="E508" t="s">
        <v>29</v>
      </c>
      <c r="F508">
        <v>23</v>
      </c>
      <c r="G508" t="s">
        <v>72</v>
      </c>
      <c r="H508" t="s">
        <v>41</v>
      </c>
      <c r="I508">
        <v>0</v>
      </c>
      <c r="J508" t="s">
        <v>54</v>
      </c>
      <c r="K508">
        <v>697</v>
      </c>
      <c r="L508" t="s">
        <v>63</v>
      </c>
      <c r="M508">
        <v>3</v>
      </c>
      <c r="N508" t="s">
        <v>44</v>
      </c>
      <c r="O508">
        <v>0.17</v>
      </c>
      <c r="P508" t="s">
        <v>59</v>
      </c>
      <c r="Q508">
        <v>14114</v>
      </c>
      <c r="R508">
        <v>10302</v>
      </c>
      <c r="S508" t="s">
        <v>44</v>
      </c>
      <c r="T508">
        <v>35986</v>
      </c>
      <c r="U508" t="s">
        <v>60</v>
      </c>
      <c r="V508">
        <v>36</v>
      </c>
      <c r="W508">
        <v>3</v>
      </c>
      <c r="X508" t="s">
        <v>47</v>
      </c>
      <c r="Y508" t="s">
        <v>45</v>
      </c>
      <c r="Z508" t="s">
        <v>33</v>
      </c>
      <c r="AA508" t="s">
        <v>40</v>
      </c>
      <c r="AB508" t="s">
        <v>51</v>
      </c>
      <c r="AC508" t="s">
        <v>44</v>
      </c>
    </row>
    <row r="509" spans="1:29" x14ac:dyDescent="0.25">
      <c r="A509">
        <v>536</v>
      </c>
      <c r="B509">
        <v>4779</v>
      </c>
      <c r="C509">
        <v>529</v>
      </c>
      <c r="D509">
        <v>5308</v>
      </c>
      <c r="E509" t="s">
        <v>29</v>
      </c>
      <c r="F509">
        <v>50</v>
      </c>
      <c r="G509" t="s">
        <v>53</v>
      </c>
      <c r="H509" t="s">
        <v>30</v>
      </c>
      <c r="I509">
        <v>0</v>
      </c>
      <c r="J509" t="s">
        <v>54</v>
      </c>
      <c r="K509">
        <v>614</v>
      </c>
      <c r="L509" t="s">
        <v>55</v>
      </c>
      <c r="M509">
        <v>0</v>
      </c>
      <c r="N509" t="s">
        <v>36</v>
      </c>
      <c r="O509">
        <v>0.21</v>
      </c>
      <c r="P509" t="s">
        <v>59</v>
      </c>
      <c r="Q509">
        <v>5369</v>
      </c>
      <c r="R509">
        <v>5430</v>
      </c>
      <c r="S509" t="s">
        <v>44</v>
      </c>
      <c r="T509">
        <v>14786</v>
      </c>
      <c r="U509" t="s">
        <v>57</v>
      </c>
      <c r="V509">
        <v>72</v>
      </c>
      <c r="W509">
        <v>6</v>
      </c>
      <c r="X509" t="s">
        <v>47</v>
      </c>
      <c r="Y509" t="s">
        <v>32</v>
      </c>
      <c r="Z509" t="s">
        <v>33</v>
      </c>
      <c r="AA509" t="s">
        <v>40</v>
      </c>
      <c r="AB509" t="s">
        <v>42</v>
      </c>
      <c r="AC509" t="s">
        <v>36</v>
      </c>
    </row>
    <row r="510" spans="1:29" x14ac:dyDescent="0.25">
      <c r="A510">
        <v>537</v>
      </c>
      <c r="B510">
        <v>19308</v>
      </c>
      <c r="C510">
        <v>2958</v>
      </c>
      <c r="D510">
        <v>22266</v>
      </c>
      <c r="E510" t="s">
        <v>29</v>
      </c>
      <c r="F510">
        <v>42</v>
      </c>
      <c r="G510" t="s">
        <v>65</v>
      </c>
      <c r="H510" t="s">
        <v>30</v>
      </c>
      <c r="I510">
        <v>1</v>
      </c>
      <c r="J510" t="s">
        <v>68</v>
      </c>
      <c r="K510">
        <v>762</v>
      </c>
      <c r="L510" t="s">
        <v>71</v>
      </c>
      <c r="M510">
        <v>1</v>
      </c>
      <c r="N510" t="s">
        <v>44</v>
      </c>
      <c r="O510">
        <v>0.54</v>
      </c>
      <c r="P510" t="s">
        <v>56</v>
      </c>
      <c r="Q510">
        <v>0</v>
      </c>
      <c r="R510">
        <v>41366</v>
      </c>
      <c r="S510" t="s">
        <v>44</v>
      </c>
      <c r="T510">
        <v>30283</v>
      </c>
      <c r="U510" t="s">
        <v>64</v>
      </c>
      <c r="V510">
        <v>24</v>
      </c>
      <c r="W510">
        <v>2</v>
      </c>
      <c r="X510" t="s">
        <v>37</v>
      </c>
      <c r="Y510" t="s">
        <v>32</v>
      </c>
      <c r="Z510" t="s">
        <v>33</v>
      </c>
      <c r="AA510" t="s">
        <v>40</v>
      </c>
      <c r="AB510" t="s">
        <v>35</v>
      </c>
      <c r="AC510" t="s">
        <v>36</v>
      </c>
    </row>
    <row r="511" spans="1:29" x14ac:dyDescent="0.25">
      <c r="A511">
        <v>538</v>
      </c>
      <c r="B511">
        <v>3581</v>
      </c>
      <c r="C511">
        <v>7904</v>
      </c>
      <c r="D511">
        <v>11485</v>
      </c>
      <c r="E511" t="s">
        <v>46</v>
      </c>
      <c r="F511">
        <v>40</v>
      </c>
      <c r="G511" t="s">
        <v>65</v>
      </c>
      <c r="H511" t="s">
        <v>30</v>
      </c>
      <c r="I511">
        <v>2</v>
      </c>
      <c r="J511" t="s">
        <v>62</v>
      </c>
      <c r="K511">
        <v>726</v>
      </c>
      <c r="L511" t="s">
        <v>63</v>
      </c>
      <c r="M511">
        <v>1</v>
      </c>
      <c r="N511" t="s">
        <v>44</v>
      </c>
      <c r="O511">
        <v>0.35</v>
      </c>
      <c r="P511" t="s">
        <v>67</v>
      </c>
      <c r="Q511">
        <v>4023</v>
      </c>
      <c r="R511">
        <v>27425</v>
      </c>
      <c r="S511" t="s">
        <v>44</v>
      </c>
      <c r="T511">
        <v>1056</v>
      </c>
      <c r="U511" t="s">
        <v>73</v>
      </c>
      <c r="V511">
        <v>48</v>
      </c>
      <c r="W511">
        <v>4</v>
      </c>
      <c r="X511" t="s">
        <v>31</v>
      </c>
      <c r="Y511" t="s">
        <v>32</v>
      </c>
      <c r="Z511" t="s">
        <v>33</v>
      </c>
      <c r="AA511" t="s">
        <v>34</v>
      </c>
      <c r="AB511" t="s">
        <v>35</v>
      </c>
      <c r="AC511" t="s">
        <v>44</v>
      </c>
    </row>
    <row r="512" spans="1:29" x14ac:dyDescent="0.25">
      <c r="A512">
        <v>540</v>
      </c>
      <c r="B512">
        <v>7713</v>
      </c>
      <c r="C512">
        <v>6895</v>
      </c>
      <c r="D512">
        <v>14608</v>
      </c>
      <c r="E512" t="s">
        <v>49</v>
      </c>
      <c r="F512">
        <v>57</v>
      </c>
      <c r="G512" t="s">
        <v>69</v>
      </c>
      <c r="H512" t="s">
        <v>41</v>
      </c>
      <c r="I512">
        <v>2</v>
      </c>
      <c r="J512" t="s">
        <v>62</v>
      </c>
      <c r="K512">
        <v>678</v>
      </c>
      <c r="L512" t="s">
        <v>63</v>
      </c>
      <c r="M512">
        <v>3</v>
      </c>
      <c r="N512" t="s">
        <v>44</v>
      </c>
      <c r="O512">
        <v>0.34</v>
      </c>
      <c r="P512" t="s">
        <v>67</v>
      </c>
      <c r="Q512">
        <v>17100</v>
      </c>
      <c r="R512">
        <v>1860</v>
      </c>
      <c r="S512" t="s">
        <v>44</v>
      </c>
      <c r="T512">
        <v>9559</v>
      </c>
      <c r="U512" t="s">
        <v>57</v>
      </c>
      <c r="V512">
        <v>36</v>
      </c>
      <c r="W512">
        <v>3</v>
      </c>
      <c r="X512" t="s">
        <v>50</v>
      </c>
      <c r="Y512" t="s">
        <v>38</v>
      </c>
      <c r="Z512" t="s">
        <v>39</v>
      </c>
      <c r="AA512" t="s">
        <v>40</v>
      </c>
      <c r="AB512" t="s">
        <v>43</v>
      </c>
      <c r="AC512" t="s">
        <v>44</v>
      </c>
    </row>
    <row r="513" spans="1:29" x14ac:dyDescent="0.25">
      <c r="A513">
        <v>541</v>
      </c>
      <c r="B513">
        <v>18639</v>
      </c>
      <c r="C513">
        <v>9131</v>
      </c>
      <c r="D513">
        <v>27770</v>
      </c>
      <c r="E513" t="s">
        <v>29</v>
      </c>
      <c r="F513">
        <v>43</v>
      </c>
      <c r="G513" t="s">
        <v>65</v>
      </c>
      <c r="H513" t="s">
        <v>41</v>
      </c>
      <c r="I513">
        <v>1</v>
      </c>
      <c r="J513" t="s">
        <v>68</v>
      </c>
      <c r="K513">
        <v>559</v>
      </c>
      <c r="L513" t="s">
        <v>66</v>
      </c>
      <c r="M513">
        <v>2</v>
      </c>
      <c r="N513" t="s">
        <v>44</v>
      </c>
      <c r="O513">
        <v>0.32</v>
      </c>
      <c r="P513" t="s">
        <v>67</v>
      </c>
      <c r="Q513">
        <v>3967</v>
      </c>
      <c r="R513">
        <v>6158</v>
      </c>
      <c r="S513" t="s">
        <v>44</v>
      </c>
      <c r="T513">
        <v>27058</v>
      </c>
      <c r="U513" t="s">
        <v>64</v>
      </c>
      <c r="V513">
        <v>72</v>
      </c>
      <c r="W513">
        <v>6</v>
      </c>
      <c r="X513" t="s">
        <v>31</v>
      </c>
      <c r="Y513" t="s">
        <v>32</v>
      </c>
      <c r="Z513" t="s">
        <v>39</v>
      </c>
      <c r="AA513" t="s">
        <v>34</v>
      </c>
      <c r="AB513" t="s">
        <v>43</v>
      </c>
      <c r="AC513" t="s">
        <v>36</v>
      </c>
    </row>
    <row r="514" spans="1:29" x14ac:dyDescent="0.25">
      <c r="A514">
        <v>542</v>
      </c>
      <c r="B514">
        <v>0</v>
      </c>
      <c r="C514">
        <v>525</v>
      </c>
      <c r="D514">
        <v>525</v>
      </c>
      <c r="E514" t="s">
        <v>49</v>
      </c>
      <c r="F514">
        <v>33</v>
      </c>
      <c r="G514" t="s">
        <v>61</v>
      </c>
      <c r="H514" t="s">
        <v>41</v>
      </c>
      <c r="I514">
        <v>2</v>
      </c>
      <c r="J514" t="s">
        <v>62</v>
      </c>
      <c r="K514">
        <v>596</v>
      </c>
      <c r="L514" t="s">
        <v>55</v>
      </c>
      <c r="M514">
        <v>1</v>
      </c>
      <c r="N514" t="s">
        <v>44</v>
      </c>
      <c r="O514">
        <v>0.35</v>
      </c>
      <c r="P514" t="s">
        <v>67</v>
      </c>
      <c r="Q514">
        <v>7423</v>
      </c>
      <c r="R514">
        <v>5806</v>
      </c>
      <c r="S514" t="s">
        <v>44</v>
      </c>
      <c r="T514">
        <v>23745</v>
      </c>
      <c r="U514" t="s">
        <v>64</v>
      </c>
      <c r="V514">
        <v>60</v>
      </c>
      <c r="W514">
        <v>5</v>
      </c>
      <c r="X514" t="s">
        <v>31</v>
      </c>
      <c r="Y514" t="s">
        <v>45</v>
      </c>
      <c r="Z514" t="s">
        <v>33</v>
      </c>
      <c r="AA514" t="s">
        <v>40</v>
      </c>
      <c r="AB514" t="s">
        <v>35</v>
      </c>
      <c r="AC514" t="s">
        <v>36</v>
      </c>
    </row>
    <row r="515" spans="1:29" x14ac:dyDescent="0.25">
      <c r="A515">
        <v>543</v>
      </c>
      <c r="B515">
        <v>12136</v>
      </c>
      <c r="C515">
        <v>6477</v>
      </c>
      <c r="D515">
        <v>18613</v>
      </c>
      <c r="E515" t="s">
        <v>49</v>
      </c>
      <c r="F515">
        <v>52</v>
      </c>
      <c r="G515" t="s">
        <v>53</v>
      </c>
      <c r="H515" t="s">
        <v>30</v>
      </c>
      <c r="I515">
        <v>3</v>
      </c>
      <c r="J515" t="s">
        <v>58</v>
      </c>
      <c r="K515">
        <v>672</v>
      </c>
      <c r="L515" t="s">
        <v>63</v>
      </c>
      <c r="M515">
        <v>3</v>
      </c>
      <c r="N515" t="s">
        <v>44</v>
      </c>
      <c r="O515">
        <v>0.51</v>
      </c>
      <c r="P515" t="s">
        <v>56</v>
      </c>
      <c r="Q515">
        <v>6450</v>
      </c>
      <c r="R515">
        <v>20738</v>
      </c>
      <c r="S515" t="s">
        <v>44</v>
      </c>
      <c r="T515">
        <v>1615</v>
      </c>
      <c r="U515" t="s">
        <v>73</v>
      </c>
      <c r="V515">
        <v>36</v>
      </c>
      <c r="W515">
        <v>3</v>
      </c>
      <c r="X515" t="s">
        <v>47</v>
      </c>
      <c r="Y515" t="s">
        <v>38</v>
      </c>
      <c r="Z515" t="s">
        <v>33</v>
      </c>
      <c r="AA515" t="s">
        <v>40</v>
      </c>
      <c r="AB515" t="s">
        <v>48</v>
      </c>
      <c r="AC515" t="s">
        <v>36</v>
      </c>
    </row>
    <row r="516" spans="1:29" x14ac:dyDescent="0.25">
      <c r="A516">
        <v>544</v>
      </c>
      <c r="B516">
        <v>0</v>
      </c>
      <c r="C516">
        <v>1</v>
      </c>
      <c r="D516">
        <v>1</v>
      </c>
      <c r="E516" t="s">
        <v>29</v>
      </c>
      <c r="F516">
        <v>43</v>
      </c>
      <c r="G516" t="s">
        <v>65</v>
      </c>
      <c r="H516" t="s">
        <v>30</v>
      </c>
      <c r="I516">
        <v>3</v>
      </c>
      <c r="J516" t="s">
        <v>58</v>
      </c>
      <c r="K516">
        <v>608</v>
      </c>
      <c r="L516" t="s">
        <v>55</v>
      </c>
      <c r="M516">
        <v>0</v>
      </c>
      <c r="N516" t="s">
        <v>36</v>
      </c>
      <c r="O516">
        <v>0.28000000000000003</v>
      </c>
      <c r="P516" t="s">
        <v>59</v>
      </c>
      <c r="Q516">
        <v>12213</v>
      </c>
      <c r="R516">
        <v>17106</v>
      </c>
      <c r="S516" t="s">
        <v>44</v>
      </c>
      <c r="T516">
        <v>9062</v>
      </c>
      <c r="U516" t="s">
        <v>57</v>
      </c>
      <c r="V516">
        <v>84</v>
      </c>
      <c r="W516">
        <v>7</v>
      </c>
      <c r="X516" t="s">
        <v>31</v>
      </c>
      <c r="Y516" t="s">
        <v>38</v>
      </c>
      <c r="Z516" t="s">
        <v>39</v>
      </c>
      <c r="AA516" t="s">
        <v>40</v>
      </c>
      <c r="AB516" t="s">
        <v>35</v>
      </c>
      <c r="AC516" t="s">
        <v>36</v>
      </c>
    </row>
    <row r="517" spans="1:29" x14ac:dyDescent="0.25">
      <c r="A517">
        <v>545</v>
      </c>
      <c r="B517">
        <v>7124</v>
      </c>
      <c r="C517">
        <v>374</v>
      </c>
      <c r="D517">
        <v>7498</v>
      </c>
      <c r="E517" t="s">
        <v>29</v>
      </c>
      <c r="F517">
        <v>37</v>
      </c>
      <c r="G517" t="s">
        <v>65</v>
      </c>
      <c r="H517" t="s">
        <v>41</v>
      </c>
      <c r="I517">
        <v>3</v>
      </c>
      <c r="J517" t="s">
        <v>58</v>
      </c>
      <c r="K517">
        <v>645</v>
      </c>
      <c r="L517" t="s">
        <v>55</v>
      </c>
      <c r="M517">
        <v>4</v>
      </c>
      <c r="N517" t="s">
        <v>44</v>
      </c>
      <c r="O517">
        <v>0.37</v>
      </c>
      <c r="P517" t="s">
        <v>67</v>
      </c>
      <c r="Q517">
        <v>3215</v>
      </c>
      <c r="R517">
        <v>9474</v>
      </c>
      <c r="S517" t="s">
        <v>44</v>
      </c>
      <c r="T517">
        <v>29214</v>
      </c>
      <c r="U517" t="s">
        <v>64</v>
      </c>
      <c r="V517">
        <v>48</v>
      </c>
      <c r="W517">
        <v>4</v>
      </c>
      <c r="X517" t="s">
        <v>31</v>
      </c>
      <c r="Y517" t="s">
        <v>32</v>
      </c>
      <c r="Z517" t="s">
        <v>39</v>
      </c>
      <c r="AA517" t="s">
        <v>40</v>
      </c>
      <c r="AB517" t="s">
        <v>43</v>
      </c>
      <c r="AC517" t="s">
        <v>36</v>
      </c>
    </row>
    <row r="518" spans="1:29" x14ac:dyDescent="0.25">
      <c r="A518">
        <v>546</v>
      </c>
      <c r="B518">
        <v>3015</v>
      </c>
      <c r="C518">
        <v>4648</v>
      </c>
      <c r="D518">
        <v>7663</v>
      </c>
      <c r="E518" t="s">
        <v>29</v>
      </c>
      <c r="F518">
        <v>41</v>
      </c>
      <c r="G518" t="s">
        <v>65</v>
      </c>
      <c r="H518" t="s">
        <v>41</v>
      </c>
      <c r="I518">
        <v>3</v>
      </c>
      <c r="J518" t="s">
        <v>58</v>
      </c>
      <c r="K518">
        <v>739</v>
      </c>
      <c r="L518" t="s">
        <v>63</v>
      </c>
      <c r="M518">
        <v>0</v>
      </c>
      <c r="N518" t="s">
        <v>36</v>
      </c>
      <c r="O518">
        <v>0.44</v>
      </c>
      <c r="P518" t="s">
        <v>70</v>
      </c>
      <c r="Q518">
        <v>390</v>
      </c>
      <c r="R518">
        <v>16997</v>
      </c>
      <c r="S518" t="s">
        <v>44</v>
      </c>
      <c r="T518">
        <v>39745</v>
      </c>
      <c r="U518" t="s">
        <v>60</v>
      </c>
      <c r="V518">
        <v>36</v>
      </c>
      <c r="W518">
        <v>3</v>
      </c>
      <c r="X518" t="s">
        <v>47</v>
      </c>
      <c r="Y518" t="s">
        <v>32</v>
      </c>
      <c r="Z518" t="s">
        <v>33</v>
      </c>
      <c r="AA518" t="s">
        <v>40</v>
      </c>
      <c r="AB518" t="s">
        <v>43</v>
      </c>
      <c r="AC518" t="s">
        <v>36</v>
      </c>
    </row>
    <row r="519" spans="1:29" x14ac:dyDescent="0.25">
      <c r="A519">
        <v>547</v>
      </c>
      <c r="B519">
        <v>0</v>
      </c>
      <c r="C519">
        <v>2365</v>
      </c>
      <c r="D519">
        <v>2365</v>
      </c>
      <c r="E519" t="s">
        <v>52</v>
      </c>
      <c r="F519">
        <v>22</v>
      </c>
      <c r="G519" t="s">
        <v>72</v>
      </c>
      <c r="H519" t="s">
        <v>30</v>
      </c>
      <c r="I519">
        <v>0</v>
      </c>
      <c r="J519" t="s">
        <v>54</v>
      </c>
      <c r="K519">
        <v>652</v>
      </c>
      <c r="L519" t="s">
        <v>55</v>
      </c>
      <c r="M519">
        <v>1</v>
      </c>
      <c r="N519" t="s">
        <v>44</v>
      </c>
      <c r="O519">
        <v>0.45</v>
      </c>
      <c r="P519" t="s">
        <v>70</v>
      </c>
      <c r="Q519">
        <v>19421</v>
      </c>
      <c r="R519">
        <v>32599</v>
      </c>
      <c r="S519" t="s">
        <v>44</v>
      </c>
      <c r="T519">
        <v>11681</v>
      </c>
      <c r="U519" t="s">
        <v>57</v>
      </c>
      <c r="V519">
        <v>48</v>
      </c>
      <c r="W519">
        <v>4</v>
      </c>
      <c r="X519" t="s">
        <v>31</v>
      </c>
      <c r="Y519" t="s">
        <v>32</v>
      </c>
      <c r="Z519" t="s">
        <v>39</v>
      </c>
      <c r="AA519" t="s">
        <v>40</v>
      </c>
      <c r="AB519" t="s">
        <v>35</v>
      </c>
      <c r="AC519" t="s">
        <v>36</v>
      </c>
    </row>
    <row r="520" spans="1:29" x14ac:dyDescent="0.25">
      <c r="A520">
        <v>548</v>
      </c>
      <c r="B520">
        <v>10415</v>
      </c>
      <c r="C520">
        <v>1525</v>
      </c>
      <c r="D520">
        <v>11940</v>
      </c>
      <c r="E520" t="s">
        <v>29</v>
      </c>
      <c r="F520">
        <v>57</v>
      </c>
      <c r="G520" t="s">
        <v>69</v>
      </c>
      <c r="H520" t="s">
        <v>30</v>
      </c>
      <c r="I520">
        <v>3</v>
      </c>
      <c r="J520" t="s">
        <v>58</v>
      </c>
      <c r="K520">
        <v>673</v>
      </c>
      <c r="L520" t="s">
        <v>63</v>
      </c>
      <c r="M520">
        <v>1</v>
      </c>
      <c r="N520" t="s">
        <v>44</v>
      </c>
      <c r="O520">
        <v>0.57999999999999996</v>
      </c>
      <c r="P520" t="s">
        <v>56</v>
      </c>
      <c r="Q520">
        <v>232</v>
      </c>
      <c r="R520">
        <v>0</v>
      </c>
      <c r="S520" t="s">
        <v>36</v>
      </c>
      <c r="T520">
        <v>7984</v>
      </c>
      <c r="U520" t="s">
        <v>57</v>
      </c>
      <c r="V520">
        <v>12</v>
      </c>
      <c r="W520">
        <v>1</v>
      </c>
      <c r="X520" t="s">
        <v>47</v>
      </c>
      <c r="Y520" t="s">
        <v>45</v>
      </c>
      <c r="Z520" t="s">
        <v>33</v>
      </c>
      <c r="AA520" t="s">
        <v>40</v>
      </c>
      <c r="AB520" t="s">
        <v>35</v>
      </c>
      <c r="AC520" t="s">
        <v>36</v>
      </c>
    </row>
    <row r="521" spans="1:29" x14ac:dyDescent="0.25">
      <c r="A521">
        <v>549</v>
      </c>
      <c r="B521">
        <v>15550</v>
      </c>
      <c r="C521">
        <v>1646</v>
      </c>
      <c r="D521">
        <v>17196</v>
      </c>
      <c r="E521" t="s">
        <v>29</v>
      </c>
      <c r="F521">
        <v>26</v>
      </c>
      <c r="G521" t="s">
        <v>61</v>
      </c>
      <c r="H521" t="s">
        <v>41</v>
      </c>
      <c r="I521">
        <v>2</v>
      </c>
      <c r="J521" t="s">
        <v>62</v>
      </c>
      <c r="K521">
        <v>635</v>
      </c>
      <c r="L521" t="s">
        <v>55</v>
      </c>
      <c r="M521">
        <v>0</v>
      </c>
      <c r="N521" t="s">
        <v>36</v>
      </c>
      <c r="O521">
        <v>0.37</v>
      </c>
      <c r="P521" t="s">
        <v>67</v>
      </c>
      <c r="Q521">
        <v>19515</v>
      </c>
      <c r="R521">
        <v>10170</v>
      </c>
      <c r="S521" t="s">
        <v>44</v>
      </c>
      <c r="T521">
        <v>28579</v>
      </c>
      <c r="U521" t="s">
        <v>64</v>
      </c>
      <c r="V521">
        <v>60</v>
      </c>
      <c r="W521">
        <v>5</v>
      </c>
      <c r="X521" t="s">
        <v>42</v>
      </c>
      <c r="Y521" t="s">
        <v>38</v>
      </c>
      <c r="Z521" t="s">
        <v>39</v>
      </c>
      <c r="AA521" t="s">
        <v>40</v>
      </c>
      <c r="AB521" t="s">
        <v>48</v>
      </c>
      <c r="AC521" t="s">
        <v>36</v>
      </c>
    </row>
    <row r="522" spans="1:29" x14ac:dyDescent="0.25">
      <c r="A522">
        <v>550</v>
      </c>
      <c r="B522">
        <v>16512</v>
      </c>
      <c r="C522">
        <v>13</v>
      </c>
      <c r="D522">
        <v>16525</v>
      </c>
      <c r="E522" t="s">
        <v>29</v>
      </c>
      <c r="F522">
        <v>38</v>
      </c>
      <c r="G522" t="s">
        <v>65</v>
      </c>
      <c r="H522" t="s">
        <v>30</v>
      </c>
      <c r="I522">
        <v>1</v>
      </c>
      <c r="J522" t="s">
        <v>68</v>
      </c>
      <c r="K522">
        <v>695</v>
      </c>
      <c r="L522" t="s">
        <v>63</v>
      </c>
      <c r="M522">
        <v>1</v>
      </c>
      <c r="N522" t="s">
        <v>44</v>
      </c>
      <c r="O522">
        <v>0.3</v>
      </c>
      <c r="P522" t="s">
        <v>59</v>
      </c>
      <c r="Q522">
        <v>7634</v>
      </c>
      <c r="R522">
        <v>0</v>
      </c>
      <c r="S522" t="s">
        <v>36</v>
      </c>
      <c r="T522">
        <v>26274</v>
      </c>
      <c r="U522" t="s">
        <v>64</v>
      </c>
      <c r="V522">
        <v>48</v>
      </c>
      <c r="W522">
        <v>4</v>
      </c>
      <c r="X522" t="s">
        <v>42</v>
      </c>
      <c r="Y522" t="s">
        <v>32</v>
      </c>
      <c r="Z522" t="s">
        <v>39</v>
      </c>
      <c r="AA522" t="s">
        <v>40</v>
      </c>
      <c r="AB522" t="s">
        <v>51</v>
      </c>
      <c r="AC522" t="s">
        <v>44</v>
      </c>
    </row>
    <row r="523" spans="1:29" x14ac:dyDescent="0.25">
      <c r="A523">
        <v>551</v>
      </c>
      <c r="B523">
        <v>6158</v>
      </c>
      <c r="C523">
        <v>4599</v>
      </c>
      <c r="D523">
        <v>10757</v>
      </c>
      <c r="E523" t="s">
        <v>49</v>
      </c>
      <c r="F523">
        <v>50</v>
      </c>
      <c r="G523" t="s">
        <v>53</v>
      </c>
      <c r="H523" t="s">
        <v>30</v>
      </c>
      <c r="I523">
        <v>2</v>
      </c>
      <c r="J523" t="s">
        <v>62</v>
      </c>
      <c r="K523">
        <v>661</v>
      </c>
      <c r="L523" t="s">
        <v>55</v>
      </c>
      <c r="M523">
        <v>3</v>
      </c>
      <c r="N523" t="s">
        <v>44</v>
      </c>
      <c r="O523">
        <v>0.57999999999999996</v>
      </c>
      <c r="P523" t="s">
        <v>56</v>
      </c>
      <c r="Q523">
        <v>11498</v>
      </c>
      <c r="R523">
        <v>0</v>
      </c>
      <c r="S523" t="s">
        <v>36</v>
      </c>
      <c r="T523">
        <v>38739</v>
      </c>
      <c r="U523" t="s">
        <v>60</v>
      </c>
      <c r="V523">
        <v>36</v>
      </c>
      <c r="W523">
        <v>3</v>
      </c>
      <c r="X523" t="s">
        <v>47</v>
      </c>
      <c r="Y523" t="s">
        <v>32</v>
      </c>
      <c r="Z523" t="s">
        <v>39</v>
      </c>
      <c r="AA523" t="s">
        <v>34</v>
      </c>
      <c r="AB523" t="s">
        <v>35</v>
      </c>
      <c r="AC523" t="s">
        <v>36</v>
      </c>
    </row>
    <row r="524" spans="1:29" x14ac:dyDescent="0.25">
      <c r="A524">
        <v>552</v>
      </c>
      <c r="B524">
        <v>8970</v>
      </c>
      <c r="C524">
        <v>2278</v>
      </c>
      <c r="D524">
        <v>11248</v>
      </c>
      <c r="E524" t="s">
        <v>29</v>
      </c>
      <c r="F524">
        <v>42</v>
      </c>
      <c r="G524" t="s">
        <v>65</v>
      </c>
      <c r="H524" t="s">
        <v>30</v>
      </c>
      <c r="I524">
        <v>3</v>
      </c>
      <c r="J524" t="s">
        <v>58</v>
      </c>
      <c r="K524">
        <v>723</v>
      </c>
      <c r="L524" t="s">
        <v>63</v>
      </c>
      <c r="M524">
        <v>1</v>
      </c>
      <c r="N524" t="s">
        <v>44</v>
      </c>
      <c r="O524">
        <v>0.42</v>
      </c>
      <c r="P524" t="s">
        <v>70</v>
      </c>
      <c r="Q524">
        <v>10916</v>
      </c>
      <c r="R524">
        <v>0</v>
      </c>
      <c r="S524" t="s">
        <v>36</v>
      </c>
      <c r="T524">
        <v>28399</v>
      </c>
      <c r="U524" t="s">
        <v>64</v>
      </c>
      <c r="V524">
        <v>60</v>
      </c>
      <c r="W524">
        <v>5</v>
      </c>
      <c r="X524" t="s">
        <v>47</v>
      </c>
      <c r="Y524" t="s">
        <v>38</v>
      </c>
      <c r="Z524" t="s">
        <v>39</v>
      </c>
      <c r="AA524" t="s">
        <v>34</v>
      </c>
      <c r="AB524" t="s">
        <v>51</v>
      </c>
      <c r="AC524" t="s">
        <v>36</v>
      </c>
    </row>
    <row r="525" spans="1:29" x14ac:dyDescent="0.25">
      <c r="A525">
        <v>553</v>
      </c>
      <c r="B525">
        <v>8938</v>
      </c>
      <c r="C525">
        <v>3155</v>
      </c>
      <c r="D525">
        <v>12093</v>
      </c>
      <c r="E525" t="s">
        <v>49</v>
      </c>
      <c r="F525">
        <v>53</v>
      </c>
      <c r="G525" t="s">
        <v>53</v>
      </c>
      <c r="H525" t="s">
        <v>30</v>
      </c>
      <c r="I525">
        <v>0</v>
      </c>
      <c r="J525" t="s">
        <v>54</v>
      </c>
      <c r="K525">
        <v>709</v>
      </c>
      <c r="L525" t="s">
        <v>63</v>
      </c>
      <c r="M525">
        <v>4</v>
      </c>
      <c r="N525" t="s">
        <v>44</v>
      </c>
      <c r="O525">
        <v>0.25</v>
      </c>
      <c r="P525" t="s">
        <v>59</v>
      </c>
      <c r="Q525">
        <v>233</v>
      </c>
      <c r="R525">
        <v>25792</v>
      </c>
      <c r="S525" t="s">
        <v>44</v>
      </c>
      <c r="T525">
        <v>32481</v>
      </c>
      <c r="U525" t="s">
        <v>64</v>
      </c>
      <c r="V525">
        <v>84</v>
      </c>
      <c r="W525">
        <v>7</v>
      </c>
      <c r="X525" t="s">
        <v>31</v>
      </c>
      <c r="Y525" t="s">
        <v>45</v>
      </c>
      <c r="Z525" t="s">
        <v>39</v>
      </c>
      <c r="AA525" t="s">
        <v>40</v>
      </c>
      <c r="AB525" t="s">
        <v>35</v>
      </c>
      <c r="AC525" t="s">
        <v>36</v>
      </c>
    </row>
    <row r="526" spans="1:29" x14ac:dyDescent="0.25">
      <c r="A526">
        <v>554</v>
      </c>
      <c r="B526">
        <v>15772</v>
      </c>
      <c r="C526">
        <v>8321</v>
      </c>
      <c r="D526">
        <v>24093</v>
      </c>
      <c r="E526" t="s">
        <v>46</v>
      </c>
      <c r="F526">
        <v>50</v>
      </c>
      <c r="G526" t="s">
        <v>53</v>
      </c>
      <c r="H526" t="s">
        <v>41</v>
      </c>
      <c r="I526">
        <v>3</v>
      </c>
      <c r="J526" t="s">
        <v>58</v>
      </c>
      <c r="K526">
        <v>550</v>
      </c>
      <c r="L526" t="s">
        <v>66</v>
      </c>
      <c r="M526">
        <v>3</v>
      </c>
      <c r="N526" t="s">
        <v>44</v>
      </c>
      <c r="O526">
        <v>0.16</v>
      </c>
      <c r="P526" t="s">
        <v>59</v>
      </c>
      <c r="Q526">
        <v>1391</v>
      </c>
      <c r="R526">
        <v>30216</v>
      </c>
      <c r="S526" t="s">
        <v>44</v>
      </c>
      <c r="T526">
        <v>1944</v>
      </c>
      <c r="U526" t="s">
        <v>73</v>
      </c>
      <c r="V526">
        <v>60</v>
      </c>
      <c r="W526">
        <v>5</v>
      </c>
      <c r="X526" t="s">
        <v>47</v>
      </c>
      <c r="Y526" t="s">
        <v>38</v>
      </c>
      <c r="Z526" t="s">
        <v>39</v>
      </c>
      <c r="AA526" t="s">
        <v>34</v>
      </c>
      <c r="AB526" t="s">
        <v>42</v>
      </c>
      <c r="AC526" t="s">
        <v>36</v>
      </c>
    </row>
    <row r="527" spans="1:29" x14ac:dyDescent="0.25">
      <c r="A527">
        <v>555</v>
      </c>
      <c r="B527">
        <v>12344</v>
      </c>
      <c r="C527">
        <v>3814</v>
      </c>
      <c r="D527">
        <v>16158</v>
      </c>
      <c r="E527" t="s">
        <v>49</v>
      </c>
      <c r="F527">
        <v>37</v>
      </c>
      <c r="G527" t="s">
        <v>65</v>
      </c>
      <c r="H527" t="s">
        <v>41</v>
      </c>
      <c r="I527">
        <v>1</v>
      </c>
      <c r="J527" t="s">
        <v>68</v>
      </c>
      <c r="K527">
        <v>769</v>
      </c>
      <c r="L527" t="s">
        <v>71</v>
      </c>
      <c r="M527">
        <v>2</v>
      </c>
      <c r="N527" t="s">
        <v>44</v>
      </c>
      <c r="O527">
        <v>0.52</v>
      </c>
      <c r="P527" t="s">
        <v>56</v>
      </c>
      <c r="Q527">
        <v>11084</v>
      </c>
      <c r="R527">
        <v>7232</v>
      </c>
      <c r="S527" t="s">
        <v>44</v>
      </c>
      <c r="T527">
        <v>29457</v>
      </c>
      <c r="U527" t="s">
        <v>64</v>
      </c>
      <c r="V527">
        <v>48</v>
      </c>
      <c r="W527">
        <v>4</v>
      </c>
      <c r="X527" t="s">
        <v>37</v>
      </c>
      <c r="Y527" t="s">
        <v>32</v>
      </c>
      <c r="Z527" t="s">
        <v>33</v>
      </c>
      <c r="AA527" t="s">
        <v>34</v>
      </c>
      <c r="AB527" t="s">
        <v>35</v>
      </c>
      <c r="AC527" t="s">
        <v>36</v>
      </c>
    </row>
    <row r="528" spans="1:29" x14ac:dyDescent="0.25">
      <c r="A528">
        <v>556</v>
      </c>
      <c r="B528">
        <v>9266</v>
      </c>
      <c r="C528">
        <v>3216</v>
      </c>
      <c r="D528">
        <v>12482</v>
      </c>
      <c r="E528" t="s">
        <v>46</v>
      </c>
      <c r="F528">
        <v>52</v>
      </c>
      <c r="G528" t="s">
        <v>53</v>
      </c>
      <c r="H528" t="s">
        <v>30</v>
      </c>
      <c r="I528">
        <v>0</v>
      </c>
      <c r="J528" t="s">
        <v>54</v>
      </c>
      <c r="K528">
        <v>567</v>
      </c>
      <c r="L528" t="s">
        <v>66</v>
      </c>
      <c r="M528">
        <v>1</v>
      </c>
      <c r="N528" t="s">
        <v>44</v>
      </c>
      <c r="O528">
        <v>0.28000000000000003</v>
      </c>
      <c r="P528" t="s">
        <v>59</v>
      </c>
      <c r="Q528">
        <v>9447</v>
      </c>
      <c r="R528">
        <v>12674</v>
      </c>
      <c r="S528" t="s">
        <v>44</v>
      </c>
      <c r="T528">
        <v>10114</v>
      </c>
      <c r="U528" t="s">
        <v>57</v>
      </c>
      <c r="V528">
        <v>48</v>
      </c>
      <c r="W528">
        <v>4</v>
      </c>
      <c r="X528" t="s">
        <v>37</v>
      </c>
      <c r="Y528" t="s">
        <v>32</v>
      </c>
      <c r="Z528" t="s">
        <v>39</v>
      </c>
      <c r="AA528" t="s">
        <v>34</v>
      </c>
      <c r="AB528" t="s">
        <v>51</v>
      </c>
      <c r="AC528" t="s">
        <v>36</v>
      </c>
    </row>
    <row r="529" spans="1:29" x14ac:dyDescent="0.25">
      <c r="A529">
        <v>557</v>
      </c>
      <c r="B529">
        <v>10702</v>
      </c>
      <c r="C529">
        <v>8219</v>
      </c>
      <c r="D529">
        <v>18921</v>
      </c>
      <c r="E529" t="s">
        <v>29</v>
      </c>
      <c r="F529">
        <v>34</v>
      </c>
      <c r="G529" t="s">
        <v>61</v>
      </c>
      <c r="H529" t="s">
        <v>30</v>
      </c>
      <c r="I529">
        <v>1</v>
      </c>
      <c r="J529" t="s">
        <v>68</v>
      </c>
      <c r="K529">
        <v>716</v>
      </c>
      <c r="L529" t="s">
        <v>63</v>
      </c>
      <c r="M529">
        <v>1</v>
      </c>
      <c r="N529" t="s">
        <v>44</v>
      </c>
      <c r="O529">
        <v>0.43</v>
      </c>
      <c r="P529" t="s">
        <v>70</v>
      </c>
      <c r="Q529">
        <v>14184</v>
      </c>
      <c r="R529">
        <v>16052</v>
      </c>
      <c r="S529" t="s">
        <v>44</v>
      </c>
      <c r="T529">
        <v>19130</v>
      </c>
      <c r="U529" t="s">
        <v>57</v>
      </c>
      <c r="V529">
        <v>24</v>
      </c>
      <c r="W529">
        <v>2</v>
      </c>
      <c r="X529" t="s">
        <v>50</v>
      </c>
      <c r="Y529" t="s">
        <v>32</v>
      </c>
      <c r="Z529" t="s">
        <v>33</v>
      </c>
      <c r="AA529" t="s">
        <v>40</v>
      </c>
      <c r="AB529" t="s">
        <v>35</v>
      </c>
      <c r="AC529" t="s">
        <v>36</v>
      </c>
    </row>
    <row r="530" spans="1:29" x14ac:dyDescent="0.25">
      <c r="A530">
        <v>558</v>
      </c>
      <c r="B530">
        <v>2384</v>
      </c>
      <c r="C530">
        <v>2113</v>
      </c>
      <c r="D530">
        <v>4497</v>
      </c>
      <c r="E530" t="s">
        <v>46</v>
      </c>
      <c r="F530">
        <v>40</v>
      </c>
      <c r="G530" t="s">
        <v>65</v>
      </c>
      <c r="H530" t="s">
        <v>30</v>
      </c>
      <c r="I530">
        <v>1</v>
      </c>
      <c r="J530" t="s">
        <v>68</v>
      </c>
      <c r="K530">
        <v>726</v>
      </c>
      <c r="L530" t="s">
        <v>63</v>
      </c>
      <c r="M530">
        <v>4</v>
      </c>
      <c r="N530" t="s">
        <v>44</v>
      </c>
      <c r="O530">
        <v>0.34</v>
      </c>
      <c r="P530" t="s">
        <v>67</v>
      </c>
      <c r="Q530">
        <v>11882</v>
      </c>
      <c r="R530">
        <v>48542</v>
      </c>
      <c r="S530" t="s">
        <v>44</v>
      </c>
      <c r="T530">
        <v>13312</v>
      </c>
      <c r="U530" t="s">
        <v>57</v>
      </c>
      <c r="V530">
        <v>24</v>
      </c>
      <c r="W530">
        <v>2</v>
      </c>
      <c r="X530" t="s">
        <v>47</v>
      </c>
      <c r="Y530" t="s">
        <v>32</v>
      </c>
      <c r="Z530" t="s">
        <v>39</v>
      </c>
      <c r="AA530" t="s">
        <v>34</v>
      </c>
      <c r="AB530" t="s">
        <v>43</v>
      </c>
      <c r="AC530" t="s">
        <v>36</v>
      </c>
    </row>
    <row r="531" spans="1:29" x14ac:dyDescent="0.25">
      <c r="A531">
        <v>559</v>
      </c>
      <c r="B531">
        <v>2404</v>
      </c>
      <c r="C531">
        <v>9444</v>
      </c>
      <c r="D531">
        <v>11848</v>
      </c>
      <c r="E531" t="s">
        <v>29</v>
      </c>
      <c r="F531">
        <v>56</v>
      </c>
      <c r="G531" t="s">
        <v>69</v>
      </c>
      <c r="H531" t="s">
        <v>30</v>
      </c>
      <c r="I531">
        <v>1</v>
      </c>
      <c r="J531" t="s">
        <v>68</v>
      </c>
      <c r="K531">
        <v>770</v>
      </c>
      <c r="L531" t="s">
        <v>71</v>
      </c>
      <c r="M531">
        <v>0</v>
      </c>
      <c r="N531" t="s">
        <v>36</v>
      </c>
      <c r="O531">
        <v>0.2</v>
      </c>
      <c r="P531" t="s">
        <v>59</v>
      </c>
      <c r="Q531">
        <v>14838</v>
      </c>
      <c r="R531">
        <v>5913</v>
      </c>
      <c r="S531" t="s">
        <v>44</v>
      </c>
      <c r="T531">
        <v>33596</v>
      </c>
      <c r="U531" t="s">
        <v>64</v>
      </c>
      <c r="V531">
        <v>60</v>
      </c>
      <c r="W531">
        <v>5</v>
      </c>
      <c r="X531" t="s">
        <v>31</v>
      </c>
      <c r="Y531" t="s">
        <v>32</v>
      </c>
      <c r="Z531" t="s">
        <v>33</v>
      </c>
      <c r="AA531" t="s">
        <v>40</v>
      </c>
      <c r="AB531" t="s">
        <v>51</v>
      </c>
      <c r="AC531" t="s">
        <v>36</v>
      </c>
    </row>
    <row r="532" spans="1:29" x14ac:dyDescent="0.25">
      <c r="A532">
        <v>560</v>
      </c>
      <c r="B532">
        <v>10175</v>
      </c>
      <c r="C532">
        <v>4356</v>
      </c>
      <c r="D532">
        <v>14531</v>
      </c>
      <c r="E532" t="s">
        <v>29</v>
      </c>
      <c r="F532">
        <v>54</v>
      </c>
      <c r="G532" t="s">
        <v>53</v>
      </c>
      <c r="H532" t="s">
        <v>30</v>
      </c>
      <c r="I532">
        <v>0</v>
      </c>
      <c r="J532" t="s">
        <v>54</v>
      </c>
      <c r="K532">
        <v>631</v>
      </c>
      <c r="L532" t="s">
        <v>55</v>
      </c>
      <c r="M532">
        <v>0</v>
      </c>
      <c r="N532" t="s">
        <v>36</v>
      </c>
      <c r="O532">
        <v>0.4</v>
      </c>
      <c r="P532" t="s">
        <v>67</v>
      </c>
      <c r="Q532">
        <v>17273</v>
      </c>
      <c r="R532">
        <v>46870</v>
      </c>
      <c r="S532" t="s">
        <v>44</v>
      </c>
      <c r="T532">
        <v>39551</v>
      </c>
      <c r="U532" t="s">
        <v>60</v>
      </c>
      <c r="V532">
        <v>72</v>
      </c>
      <c r="W532">
        <v>6</v>
      </c>
      <c r="X532" t="s">
        <v>31</v>
      </c>
      <c r="Y532" t="s">
        <v>32</v>
      </c>
      <c r="Z532" t="s">
        <v>39</v>
      </c>
      <c r="AA532" t="s">
        <v>34</v>
      </c>
      <c r="AB532" t="s">
        <v>35</v>
      </c>
      <c r="AC532" t="s">
        <v>36</v>
      </c>
    </row>
    <row r="533" spans="1:29" x14ac:dyDescent="0.25">
      <c r="A533">
        <v>561</v>
      </c>
      <c r="B533">
        <v>17158</v>
      </c>
      <c r="C533">
        <v>5543</v>
      </c>
      <c r="D533">
        <v>22701</v>
      </c>
      <c r="E533" t="s">
        <v>48</v>
      </c>
      <c r="F533">
        <v>29</v>
      </c>
      <c r="G533" t="s">
        <v>61</v>
      </c>
      <c r="H533" t="s">
        <v>41</v>
      </c>
      <c r="I533">
        <v>3</v>
      </c>
      <c r="J533" t="s">
        <v>58</v>
      </c>
      <c r="K533">
        <v>721</v>
      </c>
      <c r="L533" t="s">
        <v>63</v>
      </c>
      <c r="M533">
        <v>0</v>
      </c>
      <c r="N533" t="s">
        <v>36</v>
      </c>
      <c r="O533">
        <v>0.13</v>
      </c>
      <c r="P533" t="s">
        <v>59</v>
      </c>
      <c r="Q533">
        <v>7902</v>
      </c>
      <c r="R533">
        <v>48157</v>
      </c>
      <c r="S533" t="s">
        <v>44</v>
      </c>
      <c r="T533">
        <v>10751</v>
      </c>
      <c r="U533" t="s">
        <v>57</v>
      </c>
      <c r="V533">
        <v>72</v>
      </c>
      <c r="W533">
        <v>6</v>
      </c>
      <c r="X533" t="s">
        <v>42</v>
      </c>
      <c r="Y533" t="s">
        <v>32</v>
      </c>
      <c r="Z533" t="s">
        <v>39</v>
      </c>
      <c r="AA533" t="s">
        <v>40</v>
      </c>
      <c r="AB533" t="s">
        <v>43</v>
      </c>
      <c r="AC533" t="s">
        <v>44</v>
      </c>
    </row>
    <row r="534" spans="1:29" x14ac:dyDescent="0.25">
      <c r="A534">
        <v>562</v>
      </c>
      <c r="B534">
        <v>0</v>
      </c>
      <c r="C534">
        <v>4555</v>
      </c>
      <c r="D534">
        <v>4555</v>
      </c>
      <c r="E534" t="s">
        <v>29</v>
      </c>
      <c r="F534">
        <v>48</v>
      </c>
      <c r="G534" t="s">
        <v>53</v>
      </c>
      <c r="H534" t="s">
        <v>30</v>
      </c>
      <c r="I534">
        <v>1</v>
      </c>
      <c r="J534" t="s">
        <v>68</v>
      </c>
      <c r="K534">
        <v>621</v>
      </c>
      <c r="L534" t="s">
        <v>55</v>
      </c>
      <c r="M534">
        <v>0</v>
      </c>
      <c r="N534" t="s">
        <v>36</v>
      </c>
      <c r="O534">
        <v>0.31</v>
      </c>
      <c r="P534" t="s">
        <v>67</v>
      </c>
      <c r="Q534">
        <v>12879</v>
      </c>
      <c r="R534">
        <v>27913</v>
      </c>
      <c r="S534" t="s">
        <v>44</v>
      </c>
      <c r="T534">
        <v>7907</v>
      </c>
      <c r="U534" t="s">
        <v>57</v>
      </c>
      <c r="V534">
        <v>24</v>
      </c>
      <c r="W534">
        <v>2</v>
      </c>
      <c r="X534" t="s">
        <v>50</v>
      </c>
      <c r="Y534" t="s">
        <v>38</v>
      </c>
      <c r="Z534" t="s">
        <v>39</v>
      </c>
      <c r="AA534" t="s">
        <v>34</v>
      </c>
      <c r="AB534" t="s">
        <v>35</v>
      </c>
      <c r="AC534" t="s">
        <v>36</v>
      </c>
    </row>
    <row r="535" spans="1:29" x14ac:dyDescent="0.25">
      <c r="A535">
        <v>563</v>
      </c>
      <c r="B535">
        <v>11860</v>
      </c>
      <c r="C535">
        <v>7062</v>
      </c>
      <c r="D535">
        <v>18922</v>
      </c>
      <c r="E535" t="s">
        <v>29</v>
      </c>
      <c r="F535">
        <v>31</v>
      </c>
      <c r="G535" t="s">
        <v>61</v>
      </c>
      <c r="H535" t="s">
        <v>30</v>
      </c>
      <c r="I535">
        <v>2</v>
      </c>
      <c r="J535" t="s">
        <v>62</v>
      </c>
      <c r="K535">
        <v>603</v>
      </c>
      <c r="L535" t="s">
        <v>55</v>
      </c>
      <c r="M535">
        <v>4</v>
      </c>
      <c r="N535" t="s">
        <v>44</v>
      </c>
      <c r="O535">
        <v>0.37</v>
      </c>
      <c r="P535" t="s">
        <v>67</v>
      </c>
      <c r="Q535">
        <v>17129</v>
      </c>
      <c r="R535">
        <v>10567</v>
      </c>
      <c r="S535" t="s">
        <v>44</v>
      </c>
      <c r="T535">
        <v>29114</v>
      </c>
      <c r="U535" t="s">
        <v>64</v>
      </c>
      <c r="V535">
        <v>36</v>
      </c>
      <c r="W535">
        <v>3</v>
      </c>
      <c r="X535" t="s">
        <v>31</v>
      </c>
      <c r="Y535" t="s">
        <v>32</v>
      </c>
      <c r="Z535" t="s">
        <v>39</v>
      </c>
      <c r="AA535" t="s">
        <v>40</v>
      </c>
      <c r="AB535" t="s">
        <v>42</v>
      </c>
      <c r="AC535" t="s">
        <v>36</v>
      </c>
    </row>
    <row r="536" spans="1:29" x14ac:dyDescent="0.25">
      <c r="A536">
        <v>565</v>
      </c>
      <c r="B536">
        <v>17106</v>
      </c>
      <c r="C536">
        <v>6430</v>
      </c>
      <c r="D536">
        <v>23536</v>
      </c>
      <c r="E536" t="s">
        <v>49</v>
      </c>
      <c r="F536">
        <v>59</v>
      </c>
      <c r="G536" t="s">
        <v>69</v>
      </c>
      <c r="H536" t="s">
        <v>30</v>
      </c>
      <c r="I536">
        <v>2</v>
      </c>
      <c r="J536" t="s">
        <v>62</v>
      </c>
      <c r="K536">
        <v>711</v>
      </c>
      <c r="L536" t="s">
        <v>63</v>
      </c>
      <c r="M536">
        <v>0</v>
      </c>
      <c r="N536" t="s">
        <v>36</v>
      </c>
      <c r="O536">
        <v>0.47</v>
      </c>
      <c r="P536" t="s">
        <v>70</v>
      </c>
      <c r="Q536">
        <v>0</v>
      </c>
      <c r="R536">
        <v>9432</v>
      </c>
      <c r="S536" t="s">
        <v>44</v>
      </c>
      <c r="T536">
        <v>20310</v>
      </c>
      <c r="U536" t="s">
        <v>64</v>
      </c>
      <c r="V536">
        <v>60</v>
      </c>
      <c r="W536">
        <v>5</v>
      </c>
      <c r="X536" t="s">
        <v>31</v>
      </c>
      <c r="Y536" t="s">
        <v>32</v>
      </c>
      <c r="Z536" t="s">
        <v>39</v>
      </c>
      <c r="AA536" t="s">
        <v>40</v>
      </c>
      <c r="AB536" t="s">
        <v>43</v>
      </c>
      <c r="AC536" t="s">
        <v>36</v>
      </c>
    </row>
    <row r="537" spans="1:29" x14ac:dyDescent="0.25">
      <c r="A537">
        <v>566</v>
      </c>
      <c r="B537">
        <v>19844</v>
      </c>
      <c r="C537">
        <v>3466</v>
      </c>
      <c r="D537">
        <v>23310</v>
      </c>
      <c r="E537" t="s">
        <v>46</v>
      </c>
      <c r="F537">
        <v>39</v>
      </c>
      <c r="G537" t="s">
        <v>65</v>
      </c>
      <c r="H537" t="s">
        <v>30</v>
      </c>
      <c r="I537">
        <v>0</v>
      </c>
      <c r="J537" t="s">
        <v>54</v>
      </c>
      <c r="K537">
        <v>620</v>
      </c>
      <c r="L537" t="s">
        <v>55</v>
      </c>
      <c r="M537">
        <v>2</v>
      </c>
      <c r="N537" t="s">
        <v>44</v>
      </c>
      <c r="O537">
        <v>0.51</v>
      </c>
      <c r="P537" t="s">
        <v>56</v>
      </c>
      <c r="Q537">
        <v>731</v>
      </c>
      <c r="R537">
        <v>319</v>
      </c>
      <c r="S537" t="s">
        <v>44</v>
      </c>
      <c r="T537">
        <v>0</v>
      </c>
      <c r="U537" t="s">
        <v>73</v>
      </c>
      <c r="V537">
        <v>12</v>
      </c>
      <c r="W537">
        <v>1</v>
      </c>
      <c r="X537" t="s">
        <v>42</v>
      </c>
      <c r="Y537" t="s">
        <v>38</v>
      </c>
      <c r="Z537" t="s">
        <v>39</v>
      </c>
      <c r="AA537" t="s">
        <v>40</v>
      </c>
      <c r="AB537" t="s">
        <v>48</v>
      </c>
      <c r="AC537" t="s">
        <v>36</v>
      </c>
    </row>
    <row r="538" spans="1:29" x14ac:dyDescent="0.25">
      <c r="A538">
        <v>567</v>
      </c>
      <c r="B538">
        <v>5636</v>
      </c>
      <c r="C538">
        <v>0</v>
      </c>
      <c r="D538">
        <v>5636</v>
      </c>
      <c r="E538" t="s">
        <v>29</v>
      </c>
      <c r="F538">
        <v>35</v>
      </c>
      <c r="G538" t="s">
        <v>65</v>
      </c>
      <c r="H538" t="s">
        <v>30</v>
      </c>
      <c r="I538">
        <v>2</v>
      </c>
      <c r="J538" t="s">
        <v>62</v>
      </c>
      <c r="K538">
        <v>713</v>
      </c>
      <c r="L538" t="s">
        <v>63</v>
      </c>
      <c r="M538">
        <v>0</v>
      </c>
      <c r="N538" t="s">
        <v>36</v>
      </c>
      <c r="O538">
        <v>0.49</v>
      </c>
      <c r="P538" t="s">
        <v>70</v>
      </c>
      <c r="Q538">
        <v>799</v>
      </c>
      <c r="R538">
        <v>24469</v>
      </c>
      <c r="S538" t="s">
        <v>44</v>
      </c>
      <c r="T538">
        <v>19996</v>
      </c>
      <c r="U538" t="s">
        <v>57</v>
      </c>
      <c r="V538">
        <v>24</v>
      </c>
      <c r="W538">
        <v>2</v>
      </c>
      <c r="X538" t="s">
        <v>37</v>
      </c>
      <c r="Y538" t="s">
        <v>32</v>
      </c>
      <c r="Z538" t="s">
        <v>33</v>
      </c>
      <c r="AA538" t="s">
        <v>40</v>
      </c>
      <c r="AB538" t="s">
        <v>35</v>
      </c>
      <c r="AC538" t="s">
        <v>36</v>
      </c>
    </row>
    <row r="539" spans="1:29" x14ac:dyDescent="0.25">
      <c r="A539">
        <v>568</v>
      </c>
      <c r="B539">
        <v>12916</v>
      </c>
      <c r="C539">
        <v>629</v>
      </c>
      <c r="D539">
        <v>13545</v>
      </c>
      <c r="E539" t="s">
        <v>52</v>
      </c>
      <c r="F539">
        <v>48</v>
      </c>
      <c r="G539" t="s">
        <v>53</v>
      </c>
      <c r="H539" t="s">
        <v>41</v>
      </c>
      <c r="I539">
        <v>3</v>
      </c>
      <c r="J539" t="s">
        <v>58</v>
      </c>
      <c r="K539">
        <v>695</v>
      </c>
      <c r="L539" t="s">
        <v>63</v>
      </c>
      <c r="M539">
        <v>1</v>
      </c>
      <c r="N539" t="s">
        <v>44</v>
      </c>
      <c r="O539">
        <v>0.12</v>
      </c>
      <c r="P539" t="s">
        <v>59</v>
      </c>
      <c r="Q539">
        <v>7025</v>
      </c>
      <c r="R539">
        <v>45454</v>
      </c>
      <c r="S539" t="s">
        <v>44</v>
      </c>
      <c r="T539">
        <v>7047</v>
      </c>
      <c r="U539" t="s">
        <v>57</v>
      </c>
      <c r="V539">
        <v>48</v>
      </c>
      <c r="W539">
        <v>4</v>
      </c>
      <c r="X539" t="s">
        <v>37</v>
      </c>
      <c r="Y539" t="s">
        <v>45</v>
      </c>
      <c r="Z539" t="s">
        <v>39</v>
      </c>
      <c r="AA539" t="s">
        <v>40</v>
      </c>
      <c r="AB539" t="s">
        <v>35</v>
      </c>
      <c r="AC539" t="s">
        <v>44</v>
      </c>
    </row>
    <row r="540" spans="1:29" x14ac:dyDescent="0.25">
      <c r="A540">
        <v>570</v>
      </c>
      <c r="B540">
        <v>0</v>
      </c>
      <c r="C540">
        <v>5724</v>
      </c>
      <c r="D540">
        <v>5724</v>
      </c>
      <c r="E540" t="s">
        <v>52</v>
      </c>
      <c r="F540">
        <v>28</v>
      </c>
      <c r="G540" t="s">
        <v>61</v>
      </c>
      <c r="H540" t="s">
        <v>30</v>
      </c>
      <c r="I540">
        <v>3</v>
      </c>
      <c r="J540" t="s">
        <v>58</v>
      </c>
      <c r="K540">
        <v>736</v>
      </c>
      <c r="L540" t="s">
        <v>63</v>
      </c>
      <c r="M540">
        <v>3</v>
      </c>
      <c r="N540" t="s">
        <v>44</v>
      </c>
      <c r="O540">
        <v>0.37</v>
      </c>
      <c r="P540" t="s">
        <v>67</v>
      </c>
      <c r="Q540">
        <v>7624</v>
      </c>
      <c r="R540">
        <v>0</v>
      </c>
      <c r="S540" t="s">
        <v>36</v>
      </c>
      <c r="T540">
        <v>17347</v>
      </c>
      <c r="U540" t="s">
        <v>57</v>
      </c>
      <c r="V540">
        <v>60</v>
      </c>
      <c r="W540">
        <v>5</v>
      </c>
      <c r="X540" t="s">
        <v>50</v>
      </c>
      <c r="Y540" t="s">
        <v>32</v>
      </c>
      <c r="Z540" t="s">
        <v>39</v>
      </c>
      <c r="AA540" t="s">
        <v>40</v>
      </c>
      <c r="AB540" t="s">
        <v>51</v>
      </c>
      <c r="AC540" t="s">
        <v>44</v>
      </c>
    </row>
    <row r="541" spans="1:29" x14ac:dyDescent="0.25">
      <c r="A541">
        <v>571</v>
      </c>
      <c r="B541">
        <v>17444</v>
      </c>
      <c r="C541">
        <v>5897</v>
      </c>
      <c r="D541">
        <v>23341</v>
      </c>
      <c r="E541" t="s">
        <v>48</v>
      </c>
      <c r="F541">
        <v>29</v>
      </c>
      <c r="G541" t="s">
        <v>61</v>
      </c>
      <c r="H541" t="s">
        <v>41</v>
      </c>
      <c r="I541">
        <v>2</v>
      </c>
      <c r="J541" t="s">
        <v>62</v>
      </c>
      <c r="K541">
        <v>686</v>
      </c>
      <c r="L541" t="s">
        <v>63</v>
      </c>
      <c r="M541">
        <v>2</v>
      </c>
      <c r="N541" t="s">
        <v>44</v>
      </c>
      <c r="O541">
        <v>0.56999999999999995</v>
      </c>
      <c r="P541" t="s">
        <v>56</v>
      </c>
      <c r="Q541">
        <v>14961</v>
      </c>
      <c r="R541">
        <v>4791</v>
      </c>
      <c r="S541" t="s">
        <v>44</v>
      </c>
      <c r="T541">
        <v>37527</v>
      </c>
      <c r="U541" t="s">
        <v>60</v>
      </c>
      <c r="V541">
        <v>24</v>
      </c>
      <c r="W541">
        <v>2</v>
      </c>
      <c r="X541" t="s">
        <v>47</v>
      </c>
      <c r="Y541" t="s">
        <v>45</v>
      </c>
      <c r="Z541" t="s">
        <v>33</v>
      </c>
      <c r="AA541" t="s">
        <v>34</v>
      </c>
      <c r="AB541" t="s">
        <v>48</v>
      </c>
      <c r="AC541" t="s">
        <v>36</v>
      </c>
    </row>
    <row r="542" spans="1:29" x14ac:dyDescent="0.25">
      <c r="A542">
        <v>572</v>
      </c>
      <c r="B542">
        <v>7997</v>
      </c>
      <c r="C542">
        <v>3432</v>
      </c>
      <c r="D542">
        <v>11429</v>
      </c>
      <c r="E542" t="s">
        <v>49</v>
      </c>
      <c r="F542">
        <v>53</v>
      </c>
      <c r="G542" t="s">
        <v>53</v>
      </c>
      <c r="H542" t="s">
        <v>41</v>
      </c>
      <c r="I542">
        <v>1</v>
      </c>
      <c r="J542" t="s">
        <v>68</v>
      </c>
      <c r="K542">
        <v>750</v>
      </c>
      <c r="L542" t="s">
        <v>71</v>
      </c>
      <c r="M542">
        <v>4</v>
      </c>
      <c r="N542" t="s">
        <v>44</v>
      </c>
      <c r="O542">
        <v>0.52</v>
      </c>
      <c r="P542" t="s">
        <v>56</v>
      </c>
      <c r="Q542">
        <v>0</v>
      </c>
      <c r="R542">
        <v>31736</v>
      </c>
      <c r="S542" t="s">
        <v>44</v>
      </c>
      <c r="T542">
        <v>25102</v>
      </c>
      <c r="U542" t="s">
        <v>64</v>
      </c>
      <c r="V542">
        <v>36</v>
      </c>
      <c r="W542">
        <v>3</v>
      </c>
      <c r="X542" t="s">
        <v>50</v>
      </c>
      <c r="Y542" t="s">
        <v>32</v>
      </c>
      <c r="Z542" t="s">
        <v>39</v>
      </c>
      <c r="AA542" t="s">
        <v>40</v>
      </c>
      <c r="AB542" t="s">
        <v>35</v>
      </c>
      <c r="AC542" t="s">
        <v>36</v>
      </c>
    </row>
    <row r="543" spans="1:29" x14ac:dyDescent="0.25">
      <c r="A543">
        <v>573</v>
      </c>
      <c r="B543">
        <v>4048</v>
      </c>
      <c r="C543">
        <v>0</v>
      </c>
      <c r="D543">
        <v>4048</v>
      </c>
      <c r="E543" t="s">
        <v>52</v>
      </c>
      <c r="F543">
        <v>53</v>
      </c>
      <c r="G543" t="s">
        <v>53</v>
      </c>
      <c r="H543" t="s">
        <v>30</v>
      </c>
      <c r="I543">
        <v>0</v>
      </c>
      <c r="J543" t="s">
        <v>54</v>
      </c>
      <c r="K543">
        <v>787</v>
      </c>
      <c r="L543" t="s">
        <v>71</v>
      </c>
      <c r="M543">
        <v>4</v>
      </c>
      <c r="N543" t="s">
        <v>44</v>
      </c>
      <c r="O543">
        <v>0.52</v>
      </c>
      <c r="P543" t="s">
        <v>56</v>
      </c>
      <c r="Q543">
        <v>8232</v>
      </c>
      <c r="R543">
        <v>329</v>
      </c>
      <c r="S543" t="s">
        <v>44</v>
      </c>
      <c r="T543">
        <v>5263</v>
      </c>
      <c r="U543" t="s">
        <v>57</v>
      </c>
      <c r="V543">
        <v>84</v>
      </c>
      <c r="W543">
        <v>7</v>
      </c>
      <c r="X543" t="s">
        <v>50</v>
      </c>
      <c r="Y543" t="s">
        <v>32</v>
      </c>
      <c r="Z543" t="s">
        <v>33</v>
      </c>
      <c r="AA543" t="s">
        <v>40</v>
      </c>
      <c r="AB543" t="s">
        <v>35</v>
      </c>
      <c r="AC543" t="s">
        <v>36</v>
      </c>
    </row>
    <row r="544" spans="1:29" x14ac:dyDescent="0.25">
      <c r="A544">
        <v>574</v>
      </c>
      <c r="B544">
        <v>14338</v>
      </c>
      <c r="C544">
        <v>6276</v>
      </c>
      <c r="D544">
        <v>20614</v>
      </c>
      <c r="E544" t="s">
        <v>52</v>
      </c>
      <c r="F544">
        <v>39</v>
      </c>
      <c r="G544" t="s">
        <v>65</v>
      </c>
      <c r="H544" t="s">
        <v>41</v>
      </c>
      <c r="I544">
        <v>2</v>
      </c>
      <c r="J544" t="s">
        <v>62</v>
      </c>
      <c r="K544">
        <v>550</v>
      </c>
      <c r="L544" t="s">
        <v>66</v>
      </c>
      <c r="M544">
        <v>1</v>
      </c>
      <c r="N544" t="s">
        <v>44</v>
      </c>
      <c r="O544">
        <v>0.25</v>
      </c>
      <c r="P544" t="s">
        <v>59</v>
      </c>
      <c r="Q544">
        <v>3367</v>
      </c>
      <c r="R544">
        <v>8851</v>
      </c>
      <c r="S544" t="s">
        <v>44</v>
      </c>
      <c r="T544">
        <v>2902</v>
      </c>
      <c r="U544" t="s">
        <v>73</v>
      </c>
      <c r="V544">
        <v>60</v>
      </c>
      <c r="W544">
        <v>5</v>
      </c>
      <c r="X544" t="s">
        <v>47</v>
      </c>
      <c r="Y544" t="s">
        <v>38</v>
      </c>
      <c r="Z544" t="s">
        <v>39</v>
      </c>
      <c r="AA544" t="s">
        <v>34</v>
      </c>
      <c r="AB544" t="s">
        <v>51</v>
      </c>
      <c r="AC544" t="s">
        <v>44</v>
      </c>
    </row>
    <row r="545" spans="1:29" x14ac:dyDescent="0.25">
      <c r="A545">
        <v>575</v>
      </c>
      <c r="B545">
        <v>19100</v>
      </c>
      <c r="C545">
        <v>5895</v>
      </c>
      <c r="D545">
        <v>24995</v>
      </c>
      <c r="E545" t="s">
        <v>49</v>
      </c>
      <c r="F545">
        <v>23</v>
      </c>
      <c r="G545" t="s">
        <v>72</v>
      </c>
      <c r="H545" t="s">
        <v>30</v>
      </c>
      <c r="I545">
        <v>1</v>
      </c>
      <c r="J545" t="s">
        <v>68</v>
      </c>
      <c r="K545">
        <v>728</v>
      </c>
      <c r="L545" t="s">
        <v>63</v>
      </c>
      <c r="M545">
        <v>0</v>
      </c>
      <c r="N545" t="s">
        <v>36</v>
      </c>
      <c r="O545">
        <v>0.31</v>
      </c>
      <c r="P545" t="s">
        <v>67</v>
      </c>
      <c r="Q545">
        <v>13262</v>
      </c>
      <c r="R545">
        <v>44078</v>
      </c>
      <c r="S545" t="s">
        <v>44</v>
      </c>
      <c r="T545">
        <v>31823</v>
      </c>
      <c r="U545" t="s">
        <v>64</v>
      </c>
      <c r="V545">
        <v>60</v>
      </c>
      <c r="W545">
        <v>5</v>
      </c>
      <c r="X545" t="s">
        <v>37</v>
      </c>
      <c r="Y545" t="s">
        <v>38</v>
      </c>
      <c r="Z545" t="s">
        <v>39</v>
      </c>
      <c r="AA545" t="s">
        <v>40</v>
      </c>
      <c r="AB545" t="s">
        <v>51</v>
      </c>
      <c r="AC545" t="s">
        <v>44</v>
      </c>
    </row>
    <row r="546" spans="1:29" x14ac:dyDescent="0.25">
      <c r="A546">
        <v>576</v>
      </c>
      <c r="B546">
        <v>6544</v>
      </c>
      <c r="C546">
        <v>7115</v>
      </c>
      <c r="D546">
        <v>13659</v>
      </c>
      <c r="E546" t="s">
        <v>49</v>
      </c>
      <c r="F546">
        <v>30</v>
      </c>
      <c r="G546" t="s">
        <v>61</v>
      </c>
      <c r="H546" t="s">
        <v>30</v>
      </c>
      <c r="I546">
        <v>0</v>
      </c>
      <c r="J546" t="s">
        <v>54</v>
      </c>
      <c r="K546">
        <v>584</v>
      </c>
      <c r="L546" t="s">
        <v>55</v>
      </c>
      <c r="M546">
        <v>1</v>
      </c>
      <c r="N546" t="s">
        <v>44</v>
      </c>
      <c r="O546">
        <v>0.34</v>
      </c>
      <c r="P546" t="s">
        <v>67</v>
      </c>
      <c r="Q546">
        <v>5229</v>
      </c>
      <c r="R546">
        <v>23126</v>
      </c>
      <c r="S546" t="s">
        <v>44</v>
      </c>
      <c r="T546">
        <v>31540</v>
      </c>
      <c r="U546" t="s">
        <v>64</v>
      </c>
      <c r="V546">
        <v>72</v>
      </c>
      <c r="W546">
        <v>6</v>
      </c>
      <c r="X546" t="s">
        <v>37</v>
      </c>
      <c r="Y546" t="s">
        <v>32</v>
      </c>
      <c r="Z546" t="s">
        <v>39</v>
      </c>
      <c r="AA546" t="s">
        <v>40</v>
      </c>
      <c r="AB546" t="s">
        <v>42</v>
      </c>
      <c r="AC546" t="s">
        <v>36</v>
      </c>
    </row>
    <row r="547" spans="1:29" x14ac:dyDescent="0.25">
      <c r="A547">
        <v>577</v>
      </c>
      <c r="B547">
        <v>6976</v>
      </c>
      <c r="C547">
        <v>0</v>
      </c>
      <c r="D547">
        <v>6976</v>
      </c>
      <c r="E547" t="s">
        <v>29</v>
      </c>
      <c r="F547">
        <v>21</v>
      </c>
      <c r="G547" t="s">
        <v>72</v>
      </c>
      <c r="H547" t="s">
        <v>30</v>
      </c>
      <c r="I547">
        <v>0</v>
      </c>
      <c r="J547" t="s">
        <v>54</v>
      </c>
      <c r="K547">
        <v>631</v>
      </c>
      <c r="L547" t="s">
        <v>55</v>
      </c>
      <c r="M547">
        <v>0</v>
      </c>
      <c r="N547" t="s">
        <v>36</v>
      </c>
      <c r="O547">
        <v>0.18</v>
      </c>
      <c r="P547" t="s">
        <v>59</v>
      </c>
      <c r="Q547">
        <v>18799</v>
      </c>
      <c r="R547">
        <v>21300</v>
      </c>
      <c r="S547" t="s">
        <v>44</v>
      </c>
      <c r="T547">
        <v>36335</v>
      </c>
      <c r="U547" t="s">
        <v>60</v>
      </c>
      <c r="V547">
        <v>48</v>
      </c>
      <c r="W547">
        <v>4</v>
      </c>
      <c r="X547" t="s">
        <v>47</v>
      </c>
      <c r="Y547" t="s">
        <v>32</v>
      </c>
      <c r="Z547" t="s">
        <v>39</v>
      </c>
      <c r="AA547" t="s">
        <v>40</v>
      </c>
      <c r="AB547" t="s">
        <v>35</v>
      </c>
      <c r="AC547" t="s">
        <v>36</v>
      </c>
    </row>
    <row r="548" spans="1:29" x14ac:dyDescent="0.25">
      <c r="A548">
        <v>578</v>
      </c>
      <c r="B548">
        <v>14775</v>
      </c>
      <c r="C548">
        <v>575</v>
      </c>
      <c r="D548">
        <v>15350</v>
      </c>
      <c r="E548" t="s">
        <v>49</v>
      </c>
      <c r="F548">
        <v>49</v>
      </c>
      <c r="G548" t="s">
        <v>53</v>
      </c>
      <c r="H548" t="s">
        <v>41</v>
      </c>
      <c r="I548">
        <v>3</v>
      </c>
      <c r="J548" t="s">
        <v>58</v>
      </c>
      <c r="K548">
        <v>682</v>
      </c>
      <c r="L548" t="s">
        <v>63</v>
      </c>
      <c r="M548">
        <v>0</v>
      </c>
      <c r="N548" t="s">
        <v>36</v>
      </c>
      <c r="O548">
        <v>0.12</v>
      </c>
      <c r="P548" t="s">
        <v>59</v>
      </c>
      <c r="Q548">
        <v>13747</v>
      </c>
      <c r="R548">
        <v>10164</v>
      </c>
      <c r="S548" t="s">
        <v>44</v>
      </c>
      <c r="T548">
        <v>11190</v>
      </c>
      <c r="U548" t="s">
        <v>57</v>
      </c>
      <c r="V548">
        <v>60</v>
      </c>
      <c r="W548">
        <v>5</v>
      </c>
      <c r="X548" t="s">
        <v>42</v>
      </c>
      <c r="Y548" t="s">
        <v>32</v>
      </c>
      <c r="Z548" t="s">
        <v>39</v>
      </c>
      <c r="AA548" t="s">
        <v>34</v>
      </c>
      <c r="AB548" t="s">
        <v>35</v>
      </c>
      <c r="AC548" t="s">
        <v>44</v>
      </c>
    </row>
    <row r="549" spans="1:29" x14ac:dyDescent="0.25">
      <c r="A549">
        <v>579</v>
      </c>
      <c r="B549">
        <v>12015</v>
      </c>
      <c r="C549">
        <v>7029</v>
      </c>
      <c r="D549">
        <v>19044</v>
      </c>
      <c r="E549" t="s">
        <v>29</v>
      </c>
      <c r="F549">
        <v>54</v>
      </c>
      <c r="G549" t="s">
        <v>53</v>
      </c>
      <c r="H549" t="s">
        <v>41</v>
      </c>
      <c r="I549">
        <v>2</v>
      </c>
      <c r="J549" t="s">
        <v>62</v>
      </c>
      <c r="K549">
        <v>691</v>
      </c>
      <c r="L549" t="s">
        <v>63</v>
      </c>
      <c r="M549">
        <v>4</v>
      </c>
      <c r="N549" t="s">
        <v>44</v>
      </c>
      <c r="O549">
        <v>0.56999999999999995</v>
      </c>
      <c r="P549" t="s">
        <v>56</v>
      </c>
      <c r="Q549">
        <v>19333</v>
      </c>
      <c r="R549">
        <v>24509</v>
      </c>
      <c r="S549" t="s">
        <v>44</v>
      </c>
      <c r="T549">
        <v>28690</v>
      </c>
      <c r="U549" t="s">
        <v>64</v>
      </c>
      <c r="V549">
        <v>48</v>
      </c>
      <c r="W549">
        <v>4</v>
      </c>
      <c r="X549" t="s">
        <v>50</v>
      </c>
      <c r="Y549" t="s">
        <v>32</v>
      </c>
      <c r="Z549" t="s">
        <v>39</v>
      </c>
      <c r="AA549" t="s">
        <v>40</v>
      </c>
      <c r="AB549" t="s">
        <v>35</v>
      </c>
      <c r="AC549" t="s">
        <v>36</v>
      </c>
    </row>
    <row r="550" spans="1:29" x14ac:dyDescent="0.25">
      <c r="A550">
        <v>580</v>
      </c>
      <c r="B550">
        <v>5419</v>
      </c>
      <c r="C550">
        <v>0</v>
      </c>
      <c r="D550">
        <v>5419</v>
      </c>
      <c r="E550" t="s">
        <v>46</v>
      </c>
      <c r="F550">
        <v>33</v>
      </c>
      <c r="G550" t="s">
        <v>61</v>
      </c>
      <c r="H550" t="s">
        <v>30</v>
      </c>
      <c r="I550">
        <v>0</v>
      </c>
      <c r="J550" t="s">
        <v>54</v>
      </c>
      <c r="K550">
        <v>769</v>
      </c>
      <c r="L550" t="s">
        <v>71</v>
      </c>
      <c r="M550">
        <v>0</v>
      </c>
      <c r="N550" t="s">
        <v>36</v>
      </c>
      <c r="O550">
        <v>0.22</v>
      </c>
      <c r="P550" t="s">
        <v>59</v>
      </c>
      <c r="Q550">
        <v>4261</v>
      </c>
      <c r="R550">
        <v>5703</v>
      </c>
      <c r="S550" t="s">
        <v>44</v>
      </c>
      <c r="T550">
        <v>3994</v>
      </c>
      <c r="U550" t="s">
        <v>73</v>
      </c>
      <c r="V550">
        <v>24</v>
      </c>
      <c r="W550">
        <v>2</v>
      </c>
      <c r="X550" t="s">
        <v>31</v>
      </c>
      <c r="Y550" t="s">
        <v>38</v>
      </c>
      <c r="Z550" t="s">
        <v>39</v>
      </c>
      <c r="AA550" t="s">
        <v>40</v>
      </c>
      <c r="AB550" t="s">
        <v>48</v>
      </c>
      <c r="AC550" t="s">
        <v>44</v>
      </c>
    </row>
    <row r="551" spans="1:29" x14ac:dyDescent="0.25">
      <c r="A551">
        <v>581</v>
      </c>
      <c r="B551">
        <v>16430</v>
      </c>
      <c r="C551">
        <v>9499</v>
      </c>
      <c r="D551">
        <v>25929</v>
      </c>
      <c r="E551" t="s">
        <v>49</v>
      </c>
      <c r="F551">
        <v>21</v>
      </c>
      <c r="G551" t="s">
        <v>72</v>
      </c>
      <c r="H551" t="s">
        <v>30</v>
      </c>
      <c r="I551">
        <v>1</v>
      </c>
      <c r="J551" t="s">
        <v>68</v>
      </c>
      <c r="K551">
        <v>707</v>
      </c>
      <c r="L551" t="s">
        <v>63</v>
      </c>
      <c r="M551">
        <v>0</v>
      </c>
      <c r="N551" t="s">
        <v>36</v>
      </c>
      <c r="O551">
        <v>0.22</v>
      </c>
      <c r="P551" t="s">
        <v>59</v>
      </c>
      <c r="Q551">
        <v>3466</v>
      </c>
      <c r="R551">
        <v>27109</v>
      </c>
      <c r="S551" t="s">
        <v>44</v>
      </c>
      <c r="T551">
        <v>38997</v>
      </c>
      <c r="U551" t="s">
        <v>60</v>
      </c>
      <c r="V551">
        <v>36</v>
      </c>
      <c r="W551">
        <v>3</v>
      </c>
      <c r="X551" t="s">
        <v>37</v>
      </c>
      <c r="Y551" t="s">
        <v>45</v>
      </c>
      <c r="Z551" t="s">
        <v>33</v>
      </c>
      <c r="AA551" t="s">
        <v>34</v>
      </c>
      <c r="AB551" t="s">
        <v>35</v>
      </c>
      <c r="AC551" t="s">
        <v>44</v>
      </c>
    </row>
    <row r="552" spans="1:29" x14ac:dyDescent="0.25">
      <c r="A552">
        <v>582</v>
      </c>
      <c r="B552">
        <v>9239</v>
      </c>
      <c r="C552">
        <v>3192</v>
      </c>
      <c r="D552">
        <v>12431</v>
      </c>
      <c r="E552" t="s">
        <v>46</v>
      </c>
      <c r="F552">
        <v>40</v>
      </c>
      <c r="G552" t="s">
        <v>65</v>
      </c>
      <c r="H552" t="s">
        <v>41</v>
      </c>
      <c r="I552">
        <v>0</v>
      </c>
      <c r="J552" t="s">
        <v>54</v>
      </c>
      <c r="K552">
        <v>553</v>
      </c>
      <c r="L552" t="s">
        <v>66</v>
      </c>
      <c r="M552">
        <v>2</v>
      </c>
      <c r="N552" t="s">
        <v>44</v>
      </c>
      <c r="O552">
        <v>0.14000000000000001</v>
      </c>
      <c r="P552" t="s">
        <v>59</v>
      </c>
      <c r="Q552">
        <v>13785</v>
      </c>
      <c r="R552">
        <v>43417</v>
      </c>
      <c r="S552" t="s">
        <v>44</v>
      </c>
      <c r="T552">
        <v>3010</v>
      </c>
      <c r="U552" t="s">
        <v>73</v>
      </c>
      <c r="V552">
        <v>84</v>
      </c>
      <c r="W552">
        <v>7</v>
      </c>
      <c r="X552" t="s">
        <v>31</v>
      </c>
      <c r="Y552" t="s">
        <v>32</v>
      </c>
      <c r="Z552" t="s">
        <v>39</v>
      </c>
      <c r="AA552" t="s">
        <v>40</v>
      </c>
      <c r="AB552" t="s">
        <v>43</v>
      </c>
      <c r="AC552" t="s">
        <v>36</v>
      </c>
    </row>
    <row r="553" spans="1:29" x14ac:dyDescent="0.25">
      <c r="A553">
        <v>583</v>
      </c>
      <c r="B553">
        <v>16489</v>
      </c>
      <c r="C553">
        <v>3178</v>
      </c>
      <c r="D553">
        <v>19667</v>
      </c>
      <c r="E553" t="s">
        <v>29</v>
      </c>
      <c r="F553">
        <v>49</v>
      </c>
      <c r="G553" t="s">
        <v>53</v>
      </c>
      <c r="H553" t="s">
        <v>30</v>
      </c>
      <c r="I553">
        <v>0</v>
      </c>
      <c r="J553" t="s">
        <v>54</v>
      </c>
      <c r="K553">
        <v>716</v>
      </c>
      <c r="L553" t="s">
        <v>63</v>
      </c>
      <c r="M553">
        <v>2</v>
      </c>
      <c r="N553" t="s">
        <v>44</v>
      </c>
      <c r="O553">
        <v>0.56000000000000005</v>
      </c>
      <c r="P553" t="s">
        <v>56</v>
      </c>
      <c r="Q553">
        <v>3088</v>
      </c>
      <c r="R553">
        <v>22554</v>
      </c>
      <c r="S553" t="s">
        <v>44</v>
      </c>
      <c r="T553">
        <v>8377</v>
      </c>
      <c r="U553" t="s">
        <v>57</v>
      </c>
      <c r="V553">
        <v>48</v>
      </c>
      <c r="W553">
        <v>4</v>
      </c>
      <c r="X553" t="s">
        <v>47</v>
      </c>
      <c r="Y553" t="s">
        <v>38</v>
      </c>
      <c r="Z553" t="s">
        <v>33</v>
      </c>
      <c r="AA553" t="s">
        <v>34</v>
      </c>
      <c r="AB553" t="s">
        <v>35</v>
      </c>
      <c r="AC553" t="s">
        <v>36</v>
      </c>
    </row>
    <row r="554" spans="1:29" x14ac:dyDescent="0.25">
      <c r="A554">
        <v>584</v>
      </c>
      <c r="B554">
        <v>18633</v>
      </c>
      <c r="C554">
        <v>6052</v>
      </c>
      <c r="D554">
        <v>24685</v>
      </c>
      <c r="E554" t="s">
        <v>46</v>
      </c>
      <c r="F554">
        <v>33</v>
      </c>
      <c r="G554" t="s">
        <v>61</v>
      </c>
      <c r="H554" t="s">
        <v>30</v>
      </c>
      <c r="I554">
        <v>3</v>
      </c>
      <c r="J554" t="s">
        <v>58</v>
      </c>
      <c r="K554">
        <v>761</v>
      </c>
      <c r="L554" t="s">
        <v>71</v>
      </c>
      <c r="M554">
        <v>4</v>
      </c>
      <c r="N554" t="s">
        <v>44</v>
      </c>
      <c r="O554">
        <v>0.39</v>
      </c>
      <c r="P554" t="s">
        <v>67</v>
      </c>
      <c r="Q554">
        <v>13015</v>
      </c>
      <c r="R554">
        <v>27676</v>
      </c>
      <c r="S554" t="s">
        <v>44</v>
      </c>
      <c r="T554">
        <v>14036</v>
      </c>
      <c r="U554" t="s">
        <v>57</v>
      </c>
      <c r="V554">
        <v>36</v>
      </c>
      <c r="W554">
        <v>3</v>
      </c>
      <c r="X554" t="s">
        <v>31</v>
      </c>
      <c r="Y554" t="s">
        <v>45</v>
      </c>
      <c r="Z554" t="s">
        <v>39</v>
      </c>
      <c r="AA554" t="s">
        <v>40</v>
      </c>
      <c r="AB554" t="s">
        <v>35</v>
      </c>
      <c r="AC554" t="s">
        <v>44</v>
      </c>
    </row>
    <row r="555" spans="1:29" x14ac:dyDescent="0.25">
      <c r="A555">
        <v>585</v>
      </c>
      <c r="B555">
        <v>12357</v>
      </c>
      <c r="C555">
        <v>2734</v>
      </c>
      <c r="D555">
        <v>15091</v>
      </c>
      <c r="E555" t="s">
        <v>46</v>
      </c>
      <c r="F555">
        <v>49</v>
      </c>
      <c r="G555" t="s">
        <v>53</v>
      </c>
      <c r="H555" t="s">
        <v>41</v>
      </c>
      <c r="I555">
        <v>3</v>
      </c>
      <c r="J555" t="s">
        <v>58</v>
      </c>
      <c r="K555">
        <v>741</v>
      </c>
      <c r="L555" t="s">
        <v>71</v>
      </c>
      <c r="M555">
        <v>1</v>
      </c>
      <c r="N555" t="s">
        <v>44</v>
      </c>
      <c r="O555">
        <v>0.35</v>
      </c>
      <c r="P555" t="s">
        <v>67</v>
      </c>
      <c r="Q555">
        <v>1115</v>
      </c>
      <c r="R555">
        <v>23804</v>
      </c>
      <c r="S555" t="s">
        <v>44</v>
      </c>
      <c r="T555">
        <v>27467</v>
      </c>
      <c r="U555" t="s">
        <v>64</v>
      </c>
      <c r="V555">
        <v>60</v>
      </c>
      <c r="W555">
        <v>5</v>
      </c>
      <c r="X555" t="s">
        <v>31</v>
      </c>
      <c r="Y555" t="s">
        <v>45</v>
      </c>
      <c r="Z555" t="s">
        <v>39</v>
      </c>
      <c r="AA555" t="s">
        <v>40</v>
      </c>
      <c r="AB555" t="s">
        <v>35</v>
      </c>
      <c r="AC555" t="s">
        <v>36</v>
      </c>
    </row>
    <row r="556" spans="1:29" x14ac:dyDescent="0.25">
      <c r="A556">
        <v>586</v>
      </c>
      <c r="B556">
        <v>19154</v>
      </c>
      <c r="C556">
        <v>6116</v>
      </c>
      <c r="D556">
        <v>25270</v>
      </c>
      <c r="E556" t="s">
        <v>48</v>
      </c>
      <c r="F556">
        <v>59</v>
      </c>
      <c r="G556" t="s">
        <v>69</v>
      </c>
      <c r="H556" t="s">
        <v>41</v>
      </c>
      <c r="I556">
        <v>1</v>
      </c>
      <c r="J556" t="s">
        <v>68</v>
      </c>
      <c r="K556">
        <v>702</v>
      </c>
      <c r="L556" t="s">
        <v>63</v>
      </c>
      <c r="M556">
        <v>3</v>
      </c>
      <c r="N556" t="s">
        <v>44</v>
      </c>
      <c r="O556">
        <v>0.56000000000000005</v>
      </c>
      <c r="P556" t="s">
        <v>56</v>
      </c>
      <c r="Q556">
        <v>4578</v>
      </c>
      <c r="R556">
        <v>45440</v>
      </c>
      <c r="S556" t="s">
        <v>44</v>
      </c>
      <c r="T556">
        <v>1048</v>
      </c>
      <c r="U556" t="s">
        <v>73</v>
      </c>
      <c r="V556">
        <v>60</v>
      </c>
      <c r="W556">
        <v>5</v>
      </c>
      <c r="X556" t="s">
        <v>50</v>
      </c>
      <c r="Y556" t="s">
        <v>32</v>
      </c>
      <c r="Z556" t="s">
        <v>33</v>
      </c>
      <c r="AA556" t="s">
        <v>34</v>
      </c>
      <c r="AB556" t="s">
        <v>42</v>
      </c>
      <c r="AC556" t="s">
        <v>36</v>
      </c>
    </row>
    <row r="557" spans="1:29" x14ac:dyDescent="0.25">
      <c r="A557">
        <v>587</v>
      </c>
      <c r="B557">
        <v>6363</v>
      </c>
      <c r="C557">
        <v>0</v>
      </c>
      <c r="D557">
        <v>6363</v>
      </c>
      <c r="E557" t="s">
        <v>29</v>
      </c>
      <c r="F557">
        <v>44</v>
      </c>
      <c r="G557" t="s">
        <v>65</v>
      </c>
      <c r="H557" t="s">
        <v>41</v>
      </c>
      <c r="I557">
        <v>3</v>
      </c>
      <c r="J557" t="s">
        <v>58</v>
      </c>
      <c r="K557">
        <v>705</v>
      </c>
      <c r="L557" t="s">
        <v>63</v>
      </c>
      <c r="M557">
        <v>0</v>
      </c>
      <c r="N557" t="s">
        <v>36</v>
      </c>
      <c r="O557">
        <v>0.27</v>
      </c>
      <c r="P557" t="s">
        <v>59</v>
      </c>
      <c r="Q557">
        <v>2590</v>
      </c>
      <c r="R557">
        <v>36923</v>
      </c>
      <c r="S557" t="s">
        <v>44</v>
      </c>
      <c r="T557">
        <v>0</v>
      </c>
      <c r="U557" t="s">
        <v>73</v>
      </c>
      <c r="V557">
        <v>24</v>
      </c>
      <c r="W557">
        <v>2</v>
      </c>
      <c r="X557" t="s">
        <v>47</v>
      </c>
      <c r="Y557" t="s">
        <v>32</v>
      </c>
      <c r="Z557" t="s">
        <v>39</v>
      </c>
      <c r="AA557" t="s">
        <v>40</v>
      </c>
      <c r="AB557" t="s">
        <v>35</v>
      </c>
      <c r="AC557" t="s">
        <v>36</v>
      </c>
    </row>
    <row r="558" spans="1:29" x14ac:dyDescent="0.25">
      <c r="A558">
        <v>588</v>
      </c>
      <c r="B558">
        <v>12176</v>
      </c>
      <c r="C558">
        <v>9847</v>
      </c>
      <c r="D558">
        <v>22023</v>
      </c>
      <c r="E558" t="s">
        <v>29</v>
      </c>
      <c r="F558">
        <v>46</v>
      </c>
      <c r="G558" t="s">
        <v>53</v>
      </c>
      <c r="H558" t="s">
        <v>41</v>
      </c>
      <c r="I558">
        <v>0</v>
      </c>
      <c r="J558" t="s">
        <v>54</v>
      </c>
      <c r="K558">
        <v>753</v>
      </c>
      <c r="L558" t="s">
        <v>71</v>
      </c>
      <c r="M558">
        <v>3</v>
      </c>
      <c r="N558" t="s">
        <v>44</v>
      </c>
      <c r="O558">
        <v>0.41</v>
      </c>
      <c r="P558" t="s">
        <v>70</v>
      </c>
      <c r="Q558">
        <v>0</v>
      </c>
      <c r="R558">
        <v>29802</v>
      </c>
      <c r="S558" t="s">
        <v>44</v>
      </c>
      <c r="T558">
        <v>17038</v>
      </c>
      <c r="U558" t="s">
        <v>57</v>
      </c>
      <c r="V558">
        <v>72</v>
      </c>
      <c r="W558">
        <v>6</v>
      </c>
      <c r="X558" t="s">
        <v>31</v>
      </c>
      <c r="Y558" t="s">
        <v>45</v>
      </c>
      <c r="Z558" t="s">
        <v>39</v>
      </c>
      <c r="AA558" t="s">
        <v>34</v>
      </c>
      <c r="AB558" t="s">
        <v>35</v>
      </c>
      <c r="AC558" t="s">
        <v>36</v>
      </c>
    </row>
    <row r="559" spans="1:29" x14ac:dyDescent="0.25">
      <c r="A559">
        <v>589</v>
      </c>
      <c r="B559">
        <v>19461</v>
      </c>
      <c r="C559">
        <v>9771</v>
      </c>
      <c r="D559">
        <v>29232</v>
      </c>
      <c r="E559" t="s">
        <v>49</v>
      </c>
      <c r="F559">
        <v>37</v>
      </c>
      <c r="G559" t="s">
        <v>65</v>
      </c>
      <c r="H559" t="s">
        <v>30</v>
      </c>
      <c r="I559">
        <v>0</v>
      </c>
      <c r="J559" t="s">
        <v>54</v>
      </c>
      <c r="K559">
        <v>743</v>
      </c>
      <c r="L559" t="s">
        <v>71</v>
      </c>
      <c r="M559">
        <v>1</v>
      </c>
      <c r="N559" t="s">
        <v>44</v>
      </c>
      <c r="O559">
        <v>0.35</v>
      </c>
      <c r="P559" t="s">
        <v>67</v>
      </c>
      <c r="Q559">
        <v>3573</v>
      </c>
      <c r="R559">
        <v>24795</v>
      </c>
      <c r="S559" t="s">
        <v>44</v>
      </c>
      <c r="T559">
        <v>33576</v>
      </c>
      <c r="U559" t="s">
        <v>64</v>
      </c>
      <c r="V559">
        <v>72</v>
      </c>
      <c r="W559">
        <v>6</v>
      </c>
      <c r="X559" t="s">
        <v>37</v>
      </c>
      <c r="Y559" t="s">
        <v>32</v>
      </c>
      <c r="Z559" t="s">
        <v>39</v>
      </c>
      <c r="AA559" t="s">
        <v>34</v>
      </c>
      <c r="AB559" t="s">
        <v>35</v>
      </c>
      <c r="AC559" t="s">
        <v>44</v>
      </c>
    </row>
    <row r="560" spans="1:29" x14ac:dyDescent="0.25">
      <c r="A560">
        <v>590</v>
      </c>
      <c r="B560">
        <v>10427</v>
      </c>
      <c r="C560">
        <v>2203</v>
      </c>
      <c r="D560">
        <v>12630</v>
      </c>
      <c r="E560" t="s">
        <v>29</v>
      </c>
      <c r="F560">
        <v>27</v>
      </c>
      <c r="G560" t="s">
        <v>61</v>
      </c>
      <c r="H560" t="s">
        <v>41</v>
      </c>
      <c r="I560">
        <v>3</v>
      </c>
      <c r="J560" t="s">
        <v>58</v>
      </c>
      <c r="K560">
        <v>784</v>
      </c>
      <c r="L560" t="s">
        <v>71</v>
      </c>
      <c r="M560">
        <v>1</v>
      </c>
      <c r="N560" t="s">
        <v>44</v>
      </c>
      <c r="O560">
        <v>0.19</v>
      </c>
      <c r="P560" t="s">
        <v>59</v>
      </c>
      <c r="Q560">
        <v>0</v>
      </c>
      <c r="R560">
        <v>2611</v>
      </c>
      <c r="S560" t="s">
        <v>44</v>
      </c>
      <c r="T560">
        <v>8878</v>
      </c>
      <c r="U560" t="s">
        <v>57</v>
      </c>
      <c r="V560">
        <v>72</v>
      </c>
      <c r="W560">
        <v>6</v>
      </c>
      <c r="X560" t="s">
        <v>47</v>
      </c>
      <c r="Y560" t="s">
        <v>32</v>
      </c>
      <c r="Z560" t="s">
        <v>39</v>
      </c>
      <c r="AA560" t="s">
        <v>40</v>
      </c>
      <c r="AB560" t="s">
        <v>51</v>
      </c>
      <c r="AC560" t="s">
        <v>44</v>
      </c>
    </row>
    <row r="561" spans="1:29" x14ac:dyDescent="0.25">
      <c r="A561">
        <v>591</v>
      </c>
      <c r="B561">
        <v>10580</v>
      </c>
      <c r="C561">
        <v>1390</v>
      </c>
      <c r="D561">
        <v>11970</v>
      </c>
      <c r="E561" t="s">
        <v>46</v>
      </c>
      <c r="F561">
        <v>33</v>
      </c>
      <c r="G561" t="s">
        <v>61</v>
      </c>
      <c r="H561" t="s">
        <v>41</v>
      </c>
      <c r="I561">
        <v>0</v>
      </c>
      <c r="J561" t="s">
        <v>54</v>
      </c>
      <c r="K561">
        <v>755</v>
      </c>
      <c r="L561" t="s">
        <v>71</v>
      </c>
      <c r="M561">
        <v>4</v>
      </c>
      <c r="N561" t="s">
        <v>44</v>
      </c>
      <c r="O561">
        <v>0.52</v>
      </c>
      <c r="P561" t="s">
        <v>56</v>
      </c>
      <c r="Q561">
        <v>10639</v>
      </c>
      <c r="R561">
        <v>0</v>
      </c>
      <c r="S561" t="s">
        <v>36</v>
      </c>
      <c r="T561">
        <v>28609</v>
      </c>
      <c r="U561" t="s">
        <v>64</v>
      </c>
      <c r="V561">
        <v>48</v>
      </c>
      <c r="W561">
        <v>4</v>
      </c>
      <c r="X561" t="s">
        <v>37</v>
      </c>
      <c r="Y561" t="s">
        <v>32</v>
      </c>
      <c r="Z561" t="s">
        <v>39</v>
      </c>
      <c r="AA561" t="s">
        <v>34</v>
      </c>
      <c r="AB561" t="s">
        <v>48</v>
      </c>
      <c r="AC561" t="s">
        <v>36</v>
      </c>
    </row>
    <row r="562" spans="1:29" x14ac:dyDescent="0.25">
      <c r="A562">
        <v>592</v>
      </c>
      <c r="B562">
        <v>6858</v>
      </c>
      <c r="C562">
        <v>1742</v>
      </c>
      <c r="D562">
        <v>8600</v>
      </c>
      <c r="E562" t="s">
        <v>46</v>
      </c>
      <c r="F562">
        <v>25</v>
      </c>
      <c r="G562" t="s">
        <v>61</v>
      </c>
      <c r="H562" t="s">
        <v>30</v>
      </c>
      <c r="I562">
        <v>0</v>
      </c>
      <c r="J562" t="s">
        <v>54</v>
      </c>
      <c r="K562">
        <v>699</v>
      </c>
      <c r="L562" t="s">
        <v>63</v>
      </c>
      <c r="M562">
        <v>2</v>
      </c>
      <c r="N562" t="s">
        <v>44</v>
      </c>
      <c r="O562">
        <v>0.48</v>
      </c>
      <c r="P562" t="s">
        <v>70</v>
      </c>
      <c r="Q562">
        <v>9422</v>
      </c>
      <c r="R562">
        <v>16479</v>
      </c>
      <c r="S562" t="s">
        <v>44</v>
      </c>
      <c r="T562">
        <v>25070</v>
      </c>
      <c r="U562" t="s">
        <v>64</v>
      </c>
      <c r="V562">
        <v>72</v>
      </c>
      <c r="W562">
        <v>6</v>
      </c>
      <c r="X562" t="s">
        <v>42</v>
      </c>
      <c r="Y562" t="s">
        <v>32</v>
      </c>
      <c r="Z562" t="s">
        <v>39</v>
      </c>
      <c r="AA562" t="s">
        <v>40</v>
      </c>
      <c r="AB562" t="s">
        <v>42</v>
      </c>
      <c r="AC562" t="s">
        <v>36</v>
      </c>
    </row>
    <row r="563" spans="1:29" x14ac:dyDescent="0.25">
      <c r="A563">
        <v>593</v>
      </c>
      <c r="B563">
        <v>12040</v>
      </c>
      <c r="C563">
        <v>1925</v>
      </c>
      <c r="D563">
        <v>13965</v>
      </c>
      <c r="E563" t="s">
        <v>49</v>
      </c>
      <c r="F563">
        <v>46</v>
      </c>
      <c r="G563" t="s">
        <v>53</v>
      </c>
      <c r="H563" t="s">
        <v>30</v>
      </c>
      <c r="I563">
        <v>1</v>
      </c>
      <c r="J563" t="s">
        <v>68</v>
      </c>
      <c r="K563">
        <v>708</v>
      </c>
      <c r="L563" t="s">
        <v>63</v>
      </c>
      <c r="M563">
        <v>2</v>
      </c>
      <c r="N563" t="s">
        <v>44</v>
      </c>
      <c r="O563">
        <v>0.28000000000000003</v>
      </c>
      <c r="P563" t="s">
        <v>59</v>
      </c>
      <c r="Q563">
        <v>10858</v>
      </c>
      <c r="R563">
        <v>9180</v>
      </c>
      <c r="S563" t="s">
        <v>44</v>
      </c>
      <c r="T563">
        <v>22996</v>
      </c>
      <c r="U563" t="s">
        <v>64</v>
      </c>
      <c r="V563">
        <v>36</v>
      </c>
      <c r="W563">
        <v>3</v>
      </c>
      <c r="X563" t="s">
        <v>31</v>
      </c>
      <c r="Y563" t="s">
        <v>32</v>
      </c>
      <c r="Z563" t="s">
        <v>39</v>
      </c>
      <c r="AA563" t="s">
        <v>34</v>
      </c>
      <c r="AB563" t="s">
        <v>51</v>
      </c>
      <c r="AC563" t="s">
        <v>44</v>
      </c>
    </row>
    <row r="564" spans="1:29" x14ac:dyDescent="0.25">
      <c r="A564">
        <v>594</v>
      </c>
      <c r="B564">
        <v>17254</v>
      </c>
      <c r="C564">
        <v>619</v>
      </c>
      <c r="D564">
        <v>17873</v>
      </c>
      <c r="E564" t="s">
        <v>46</v>
      </c>
      <c r="F564">
        <v>23</v>
      </c>
      <c r="G564" t="s">
        <v>72</v>
      </c>
      <c r="H564" t="s">
        <v>30</v>
      </c>
      <c r="I564">
        <v>3</v>
      </c>
      <c r="J564" t="s">
        <v>58</v>
      </c>
      <c r="K564">
        <v>572</v>
      </c>
      <c r="L564" t="s">
        <v>66</v>
      </c>
      <c r="M564">
        <v>1</v>
      </c>
      <c r="N564" t="s">
        <v>44</v>
      </c>
      <c r="O564">
        <v>0.28999999999999998</v>
      </c>
      <c r="P564" t="s">
        <v>59</v>
      </c>
      <c r="Q564">
        <v>4975</v>
      </c>
      <c r="R564">
        <v>9304</v>
      </c>
      <c r="S564" t="s">
        <v>44</v>
      </c>
      <c r="T564">
        <v>19161</v>
      </c>
      <c r="U564" t="s">
        <v>57</v>
      </c>
      <c r="V564">
        <v>84</v>
      </c>
      <c r="W564">
        <v>7</v>
      </c>
      <c r="X564" t="s">
        <v>47</v>
      </c>
      <c r="Y564" t="s">
        <v>45</v>
      </c>
      <c r="Z564" t="s">
        <v>39</v>
      </c>
      <c r="AA564" t="s">
        <v>40</v>
      </c>
      <c r="AB564" t="s">
        <v>43</v>
      </c>
      <c r="AC564" t="s">
        <v>36</v>
      </c>
    </row>
    <row r="565" spans="1:29" x14ac:dyDescent="0.25">
      <c r="A565">
        <v>595</v>
      </c>
      <c r="B565">
        <v>13470</v>
      </c>
      <c r="C565">
        <v>1274</v>
      </c>
      <c r="D565">
        <v>14744</v>
      </c>
      <c r="E565" t="s">
        <v>46</v>
      </c>
      <c r="F565">
        <v>27</v>
      </c>
      <c r="G565" t="s">
        <v>61</v>
      </c>
      <c r="H565" t="s">
        <v>30</v>
      </c>
      <c r="I565">
        <v>0</v>
      </c>
      <c r="J565" t="s">
        <v>54</v>
      </c>
      <c r="K565">
        <v>597</v>
      </c>
      <c r="L565" t="s">
        <v>55</v>
      </c>
      <c r="M565">
        <v>4</v>
      </c>
      <c r="N565" t="s">
        <v>44</v>
      </c>
      <c r="O565">
        <v>0.37</v>
      </c>
      <c r="P565" t="s">
        <v>67</v>
      </c>
      <c r="Q565">
        <v>4925</v>
      </c>
      <c r="R565">
        <v>14610</v>
      </c>
      <c r="S565" t="s">
        <v>44</v>
      </c>
      <c r="T565">
        <v>3228</v>
      </c>
      <c r="U565" t="s">
        <v>73</v>
      </c>
      <c r="V565">
        <v>84</v>
      </c>
      <c r="W565">
        <v>7</v>
      </c>
      <c r="X565" t="s">
        <v>37</v>
      </c>
      <c r="Y565" t="s">
        <v>32</v>
      </c>
      <c r="Z565" t="s">
        <v>39</v>
      </c>
      <c r="AA565" t="s">
        <v>40</v>
      </c>
      <c r="AB565" t="s">
        <v>42</v>
      </c>
      <c r="AC565" t="s">
        <v>36</v>
      </c>
    </row>
    <row r="566" spans="1:29" x14ac:dyDescent="0.25">
      <c r="A566">
        <v>596</v>
      </c>
      <c r="B566">
        <v>3252</v>
      </c>
      <c r="C566">
        <v>956</v>
      </c>
      <c r="D566">
        <v>4208</v>
      </c>
      <c r="E566" t="s">
        <v>29</v>
      </c>
      <c r="F566">
        <v>59</v>
      </c>
      <c r="G566" t="s">
        <v>69</v>
      </c>
      <c r="H566" t="s">
        <v>41</v>
      </c>
      <c r="I566">
        <v>3</v>
      </c>
      <c r="J566" t="s">
        <v>58</v>
      </c>
      <c r="K566">
        <v>697</v>
      </c>
      <c r="L566" t="s">
        <v>63</v>
      </c>
      <c r="M566">
        <v>4</v>
      </c>
      <c r="N566" t="s">
        <v>44</v>
      </c>
      <c r="O566">
        <v>0.1</v>
      </c>
      <c r="P566" t="s">
        <v>59</v>
      </c>
      <c r="Q566">
        <v>10786</v>
      </c>
      <c r="R566">
        <v>8437</v>
      </c>
      <c r="S566" t="s">
        <v>44</v>
      </c>
      <c r="T566">
        <v>27365</v>
      </c>
      <c r="U566" t="s">
        <v>64</v>
      </c>
      <c r="V566">
        <v>48</v>
      </c>
      <c r="W566">
        <v>4</v>
      </c>
      <c r="X566" t="s">
        <v>31</v>
      </c>
      <c r="Y566" t="s">
        <v>32</v>
      </c>
      <c r="Z566" t="s">
        <v>39</v>
      </c>
      <c r="AA566" t="s">
        <v>40</v>
      </c>
      <c r="AB566" t="s">
        <v>48</v>
      </c>
      <c r="AC566" t="s">
        <v>36</v>
      </c>
    </row>
    <row r="567" spans="1:29" x14ac:dyDescent="0.25">
      <c r="A567">
        <v>597</v>
      </c>
      <c r="B567">
        <v>8996</v>
      </c>
      <c r="C567">
        <v>1939</v>
      </c>
      <c r="D567">
        <v>10935</v>
      </c>
      <c r="E567" t="s">
        <v>29</v>
      </c>
      <c r="F567">
        <v>21</v>
      </c>
      <c r="G567" t="s">
        <v>72</v>
      </c>
      <c r="H567" t="s">
        <v>41</v>
      </c>
      <c r="I567">
        <v>1</v>
      </c>
      <c r="J567" t="s">
        <v>68</v>
      </c>
      <c r="K567">
        <v>674</v>
      </c>
      <c r="L567" t="s">
        <v>63</v>
      </c>
      <c r="M567">
        <v>0</v>
      </c>
      <c r="N567" t="s">
        <v>36</v>
      </c>
      <c r="O567">
        <v>0.22</v>
      </c>
      <c r="P567" t="s">
        <v>59</v>
      </c>
      <c r="Q567">
        <v>19814</v>
      </c>
      <c r="R567">
        <v>43118</v>
      </c>
      <c r="S567" t="s">
        <v>44</v>
      </c>
      <c r="T567">
        <v>26188</v>
      </c>
      <c r="U567" t="s">
        <v>64</v>
      </c>
      <c r="V567">
        <v>24</v>
      </c>
      <c r="W567">
        <v>2</v>
      </c>
      <c r="X567" t="s">
        <v>50</v>
      </c>
      <c r="Y567" t="s">
        <v>45</v>
      </c>
      <c r="Z567" t="s">
        <v>33</v>
      </c>
      <c r="AA567" t="s">
        <v>40</v>
      </c>
      <c r="AB567" t="s">
        <v>43</v>
      </c>
      <c r="AC567" t="s">
        <v>36</v>
      </c>
    </row>
    <row r="568" spans="1:29" x14ac:dyDescent="0.25">
      <c r="A568">
        <v>598</v>
      </c>
      <c r="B568">
        <v>14173</v>
      </c>
      <c r="C568">
        <v>3953</v>
      </c>
      <c r="D568">
        <v>18126</v>
      </c>
      <c r="E568" t="s">
        <v>29</v>
      </c>
      <c r="F568">
        <v>37</v>
      </c>
      <c r="G568" t="s">
        <v>65</v>
      </c>
      <c r="H568" t="s">
        <v>30</v>
      </c>
      <c r="I568">
        <v>3</v>
      </c>
      <c r="J568" t="s">
        <v>58</v>
      </c>
      <c r="K568">
        <v>715</v>
      </c>
      <c r="L568" t="s">
        <v>63</v>
      </c>
      <c r="M568">
        <v>2</v>
      </c>
      <c r="N568" t="s">
        <v>44</v>
      </c>
      <c r="O568">
        <v>0.2</v>
      </c>
      <c r="P568" t="s">
        <v>59</v>
      </c>
      <c r="Q568">
        <v>14716</v>
      </c>
      <c r="R568">
        <v>12521</v>
      </c>
      <c r="S568" t="s">
        <v>44</v>
      </c>
      <c r="T568">
        <v>9888</v>
      </c>
      <c r="U568" t="s">
        <v>57</v>
      </c>
      <c r="V568">
        <v>48</v>
      </c>
      <c r="W568">
        <v>4</v>
      </c>
      <c r="X568" t="s">
        <v>37</v>
      </c>
      <c r="Y568" t="s">
        <v>32</v>
      </c>
      <c r="Z568" t="s">
        <v>39</v>
      </c>
      <c r="AA568" t="s">
        <v>40</v>
      </c>
      <c r="AB568" t="s">
        <v>35</v>
      </c>
      <c r="AC568" t="s">
        <v>44</v>
      </c>
    </row>
    <row r="569" spans="1:29" x14ac:dyDescent="0.25">
      <c r="A569">
        <v>599</v>
      </c>
      <c r="B569">
        <v>6673</v>
      </c>
      <c r="C569">
        <v>968</v>
      </c>
      <c r="D569">
        <v>7641</v>
      </c>
      <c r="E569" t="s">
        <v>29</v>
      </c>
      <c r="F569">
        <v>45</v>
      </c>
      <c r="G569" t="s">
        <v>53</v>
      </c>
      <c r="H569" t="s">
        <v>30</v>
      </c>
      <c r="I569">
        <v>0</v>
      </c>
      <c r="J569" t="s">
        <v>54</v>
      </c>
      <c r="K569">
        <v>550</v>
      </c>
      <c r="L569" t="s">
        <v>66</v>
      </c>
      <c r="M569">
        <v>1</v>
      </c>
      <c r="N569" t="s">
        <v>44</v>
      </c>
      <c r="O569">
        <v>0.23</v>
      </c>
      <c r="P569" t="s">
        <v>59</v>
      </c>
      <c r="Q569">
        <v>1995</v>
      </c>
      <c r="R569">
        <v>24028</v>
      </c>
      <c r="S569" t="s">
        <v>44</v>
      </c>
      <c r="T569">
        <v>24130</v>
      </c>
      <c r="U569" t="s">
        <v>64</v>
      </c>
      <c r="V569">
        <v>84</v>
      </c>
      <c r="W569">
        <v>7</v>
      </c>
      <c r="X569" t="s">
        <v>37</v>
      </c>
      <c r="Y569" t="s">
        <v>45</v>
      </c>
      <c r="Z569" t="s">
        <v>39</v>
      </c>
      <c r="AA569" t="s">
        <v>34</v>
      </c>
      <c r="AB569" t="s">
        <v>48</v>
      </c>
      <c r="AC569" t="s">
        <v>36</v>
      </c>
    </row>
    <row r="570" spans="1:29" x14ac:dyDescent="0.25">
      <c r="A570">
        <v>600</v>
      </c>
      <c r="B570">
        <v>17781</v>
      </c>
      <c r="C570">
        <v>9508</v>
      </c>
      <c r="D570">
        <v>27289</v>
      </c>
      <c r="E570" t="s">
        <v>46</v>
      </c>
      <c r="F570">
        <v>23</v>
      </c>
      <c r="G570" t="s">
        <v>72</v>
      </c>
      <c r="H570" t="s">
        <v>41</v>
      </c>
      <c r="I570">
        <v>3</v>
      </c>
      <c r="J570" t="s">
        <v>58</v>
      </c>
      <c r="K570">
        <v>550</v>
      </c>
      <c r="L570" t="s">
        <v>66</v>
      </c>
      <c r="M570">
        <v>3</v>
      </c>
      <c r="N570" t="s">
        <v>44</v>
      </c>
      <c r="O570">
        <v>0.5</v>
      </c>
      <c r="P570" t="s">
        <v>70</v>
      </c>
      <c r="Q570">
        <v>13844</v>
      </c>
      <c r="R570">
        <v>0</v>
      </c>
      <c r="S570" t="s">
        <v>36</v>
      </c>
      <c r="T570">
        <v>19790</v>
      </c>
      <c r="U570" t="s">
        <v>57</v>
      </c>
      <c r="V570">
        <v>36</v>
      </c>
      <c r="W570">
        <v>3</v>
      </c>
      <c r="X570" t="s">
        <v>42</v>
      </c>
      <c r="Y570" t="s">
        <v>45</v>
      </c>
      <c r="Z570" t="s">
        <v>39</v>
      </c>
      <c r="AA570" t="s">
        <v>34</v>
      </c>
      <c r="AB570" t="s">
        <v>51</v>
      </c>
      <c r="AC570" t="s">
        <v>36</v>
      </c>
    </row>
    <row r="571" spans="1:29" x14ac:dyDescent="0.25">
      <c r="A571">
        <v>601</v>
      </c>
      <c r="B571">
        <v>15051</v>
      </c>
      <c r="C571">
        <v>9235</v>
      </c>
      <c r="D571">
        <v>24286</v>
      </c>
      <c r="E571" t="s">
        <v>49</v>
      </c>
      <c r="F571">
        <v>35</v>
      </c>
      <c r="G571" t="s">
        <v>65</v>
      </c>
      <c r="H571" t="s">
        <v>30</v>
      </c>
      <c r="I571">
        <v>0</v>
      </c>
      <c r="J571" t="s">
        <v>54</v>
      </c>
      <c r="K571">
        <v>756</v>
      </c>
      <c r="L571" t="s">
        <v>71</v>
      </c>
      <c r="M571">
        <v>2</v>
      </c>
      <c r="N571" t="s">
        <v>44</v>
      </c>
      <c r="O571">
        <v>0.24</v>
      </c>
      <c r="P571" t="s">
        <v>59</v>
      </c>
      <c r="Q571">
        <v>3891</v>
      </c>
      <c r="R571">
        <v>27301</v>
      </c>
      <c r="S571" t="s">
        <v>44</v>
      </c>
      <c r="T571">
        <v>25824</v>
      </c>
      <c r="U571" t="s">
        <v>64</v>
      </c>
      <c r="V571">
        <v>84</v>
      </c>
      <c r="W571">
        <v>7</v>
      </c>
      <c r="X571" t="s">
        <v>50</v>
      </c>
      <c r="Y571" t="s">
        <v>32</v>
      </c>
      <c r="Z571" t="s">
        <v>39</v>
      </c>
      <c r="AA571" t="s">
        <v>40</v>
      </c>
      <c r="AB571" t="s">
        <v>35</v>
      </c>
      <c r="AC571" t="s">
        <v>44</v>
      </c>
    </row>
    <row r="572" spans="1:29" x14ac:dyDescent="0.25">
      <c r="A572">
        <v>602</v>
      </c>
      <c r="B572">
        <v>8881</v>
      </c>
      <c r="C572">
        <v>281</v>
      </c>
      <c r="D572">
        <v>9162</v>
      </c>
      <c r="E572" t="s">
        <v>52</v>
      </c>
      <c r="F572">
        <v>49</v>
      </c>
      <c r="G572" t="s">
        <v>53</v>
      </c>
      <c r="H572" t="s">
        <v>30</v>
      </c>
      <c r="I572">
        <v>0</v>
      </c>
      <c r="J572" t="s">
        <v>54</v>
      </c>
      <c r="K572">
        <v>637</v>
      </c>
      <c r="L572" t="s">
        <v>55</v>
      </c>
      <c r="M572">
        <v>0</v>
      </c>
      <c r="N572" t="s">
        <v>36</v>
      </c>
      <c r="O572">
        <v>0.2</v>
      </c>
      <c r="P572" t="s">
        <v>59</v>
      </c>
      <c r="Q572">
        <v>15522</v>
      </c>
      <c r="R572">
        <v>38015</v>
      </c>
      <c r="S572" t="s">
        <v>44</v>
      </c>
      <c r="T572">
        <v>34405</v>
      </c>
      <c r="U572" t="s">
        <v>64</v>
      </c>
      <c r="V572">
        <v>12</v>
      </c>
      <c r="W572">
        <v>1</v>
      </c>
      <c r="X572" t="s">
        <v>42</v>
      </c>
      <c r="Y572" t="s">
        <v>45</v>
      </c>
      <c r="Z572" t="s">
        <v>39</v>
      </c>
      <c r="AA572" t="s">
        <v>40</v>
      </c>
      <c r="AB572" t="s">
        <v>48</v>
      </c>
      <c r="AC572" t="s">
        <v>36</v>
      </c>
    </row>
    <row r="573" spans="1:29" x14ac:dyDescent="0.25">
      <c r="A573">
        <v>603</v>
      </c>
      <c r="B573">
        <v>8949</v>
      </c>
      <c r="C573">
        <v>6262</v>
      </c>
      <c r="D573">
        <v>15211</v>
      </c>
      <c r="E573" t="s">
        <v>49</v>
      </c>
      <c r="F573">
        <v>52</v>
      </c>
      <c r="G573" t="s">
        <v>53</v>
      </c>
      <c r="H573" t="s">
        <v>30</v>
      </c>
      <c r="I573">
        <v>0</v>
      </c>
      <c r="J573" t="s">
        <v>54</v>
      </c>
      <c r="K573">
        <v>766</v>
      </c>
      <c r="L573" t="s">
        <v>71</v>
      </c>
      <c r="M573">
        <v>4</v>
      </c>
      <c r="N573" t="s">
        <v>44</v>
      </c>
      <c r="O573">
        <v>0.35</v>
      </c>
      <c r="P573" t="s">
        <v>67</v>
      </c>
      <c r="Q573">
        <v>7145</v>
      </c>
      <c r="R573">
        <v>21740</v>
      </c>
      <c r="S573" t="s">
        <v>44</v>
      </c>
      <c r="T573">
        <v>25474</v>
      </c>
      <c r="U573" t="s">
        <v>64</v>
      </c>
      <c r="V573">
        <v>24</v>
      </c>
      <c r="W573">
        <v>2</v>
      </c>
      <c r="X573" t="s">
        <v>50</v>
      </c>
      <c r="Y573" t="s">
        <v>45</v>
      </c>
      <c r="Z573" t="s">
        <v>39</v>
      </c>
      <c r="AA573" t="s">
        <v>34</v>
      </c>
      <c r="AB573" t="s">
        <v>35</v>
      </c>
      <c r="AC573" t="s">
        <v>44</v>
      </c>
    </row>
    <row r="574" spans="1:29" x14ac:dyDescent="0.25">
      <c r="A574">
        <v>604</v>
      </c>
      <c r="B574">
        <v>11521</v>
      </c>
      <c r="C574">
        <v>1058</v>
      </c>
      <c r="D574">
        <v>12579</v>
      </c>
      <c r="E574" t="s">
        <v>48</v>
      </c>
      <c r="F574">
        <v>46</v>
      </c>
      <c r="G574" t="s">
        <v>53</v>
      </c>
      <c r="H574" t="s">
        <v>30</v>
      </c>
      <c r="I574">
        <v>1</v>
      </c>
      <c r="J574" t="s">
        <v>68</v>
      </c>
      <c r="K574">
        <v>550</v>
      </c>
      <c r="L574" t="s">
        <v>66</v>
      </c>
      <c r="M574">
        <v>1</v>
      </c>
      <c r="N574" t="s">
        <v>44</v>
      </c>
      <c r="O574">
        <v>0.53</v>
      </c>
      <c r="P574" t="s">
        <v>56</v>
      </c>
      <c r="Q574">
        <v>8498</v>
      </c>
      <c r="R574">
        <v>36845</v>
      </c>
      <c r="S574" t="s">
        <v>44</v>
      </c>
      <c r="T574">
        <v>18333</v>
      </c>
      <c r="U574" t="s">
        <v>57</v>
      </c>
      <c r="V574">
        <v>24</v>
      </c>
      <c r="W574">
        <v>2</v>
      </c>
      <c r="X574" t="s">
        <v>37</v>
      </c>
      <c r="Y574" t="s">
        <v>32</v>
      </c>
      <c r="Z574" t="s">
        <v>39</v>
      </c>
      <c r="AA574" t="s">
        <v>40</v>
      </c>
      <c r="AB574" t="s">
        <v>35</v>
      </c>
      <c r="AC574" t="s">
        <v>36</v>
      </c>
    </row>
    <row r="575" spans="1:29" x14ac:dyDescent="0.25">
      <c r="A575">
        <v>605</v>
      </c>
      <c r="B575">
        <v>10017</v>
      </c>
      <c r="C575">
        <v>4293</v>
      </c>
      <c r="D575">
        <v>14310</v>
      </c>
      <c r="E575" t="s">
        <v>49</v>
      </c>
      <c r="F575">
        <v>40</v>
      </c>
      <c r="G575" t="s">
        <v>65</v>
      </c>
      <c r="H575" t="s">
        <v>30</v>
      </c>
      <c r="I575">
        <v>3</v>
      </c>
      <c r="J575" t="s">
        <v>58</v>
      </c>
      <c r="K575">
        <v>684</v>
      </c>
      <c r="L575" t="s">
        <v>63</v>
      </c>
      <c r="M575">
        <v>2</v>
      </c>
      <c r="N575" t="s">
        <v>44</v>
      </c>
      <c r="O575">
        <v>0.22</v>
      </c>
      <c r="P575" t="s">
        <v>59</v>
      </c>
      <c r="Q575">
        <v>9554</v>
      </c>
      <c r="R575">
        <v>21282</v>
      </c>
      <c r="S575" t="s">
        <v>44</v>
      </c>
      <c r="T575">
        <v>37355</v>
      </c>
      <c r="U575" t="s">
        <v>60</v>
      </c>
      <c r="V575">
        <v>12</v>
      </c>
      <c r="W575">
        <v>1</v>
      </c>
      <c r="X575" t="s">
        <v>42</v>
      </c>
      <c r="Y575" t="s">
        <v>32</v>
      </c>
      <c r="Z575" t="s">
        <v>39</v>
      </c>
      <c r="AA575" t="s">
        <v>40</v>
      </c>
      <c r="AB575" t="s">
        <v>42</v>
      </c>
      <c r="AC575" t="s">
        <v>44</v>
      </c>
    </row>
    <row r="576" spans="1:29" x14ac:dyDescent="0.25">
      <c r="A576">
        <v>606</v>
      </c>
      <c r="B576">
        <v>8941</v>
      </c>
      <c r="C576">
        <v>5178</v>
      </c>
      <c r="D576">
        <v>14119</v>
      </c>
      <c r="E576" t="s">
        <v>52</v>
      </c>
      <c r="F576">
        <v>45</v>
      </c>
      <c r="G576" t="s">
        <v>53</v>
      </c>
      <c r="H576" t="s">
        <v>30</v>
      </c>
      <c r="I576">
        <v>1</v>
      </c>
      <c r="J576" t="s">
        <v>68</v>
      </c>
      <c r="K576">
        <v>734</v>
      </c>
      <c r="L576" t="s">
        <v>63</v>
      </c>
      <c r="M576">
        <v>3</v>
      </c>
      <c r="N576" t="s">
        <v>44</v>
      </c>
      <c r="O576">
        <v>0.14000000000000001</v>
      </c>
      <c r="P576" t="s">
        <v>59</v>
      </c>
      <c r="Q576">
        <v>2102</v>
      </c>
      <c r="R576">
        <v>10858</v>
      </c>
      <c r="S576" t="s">
        <v>44</v>
      </c>
      <c r="T576">
        <v>34879</v>
      </c>
      <c r="U576" t="s">
        <v>64</v>
      </c>
      <c r="V576">
        <v>48</v>
      </c>
      <c r="W576">
        <v>4</v>
      </c>
      <c r="X576" t="s">
        <v>31</v>
      </c>
      <c r="Y576" t="s">
        <v>32</v>
      </c>
      <c r="Z576" t="s">
        <v>39</v>
      </c>
      <c r="AA576" t="s">
        <v>40</v>
      </c>
      <c r="AB576" t="s">
        <v>35</v>
      </c>
      <c r="AC576" t="s">
        <v>44</v>
      </c>
    </row>
    <row r="577" spans="1:29" x14ac:dyDescent="0.25">
      <c r="A577">
        <v>607</v>
      </c>
      <c r="B577">
        <v>12209</v>
      </c>
      <c r="C577">
        <v>6980</v>
      </c>
      <c r="D577">
        <v>19189</v>
      </c>
      <c r="E577" t="s">
        <v>46</v>
      </c>
      <c r="F577">
        <v>48</v>
      </c>
      <c r="G577" t="s">
        <v>53</v>
      </c>
      <c r="H577" t="s">
        <v>30</v>
      </c>
      <c r="I577">
        <v>3</v>
      </c>
      <c r="J577" t="s">
        <v>58</v>
      </c>
      <c r="K577">
        <v>550</v>
      </c>
      <c r="L577" t="s">
        <v>66</v>
      </c>
      <c r="M577">
        <v>0</v>
      </c>
      <c r="N577" t="s">
        <v>36</v>
      </c>
      <c r="O577">
        <v>0.28000000000000003</v>
      </c>
      <c r="P577" t="s">
        <v>59</v>
      </c>
      <c r="Q577">
        <v>3030</v>
      </c>
      <c r="R577">
        <v>44159</v>
      </c>
      <c r="S577" t="s">
        <v>44</v>
      </c>
      <c r="T577">
        <v>9367</v>
      </c>
      <c r="U577" t="s">
        <v>57</v>
      </c>
      <c r="V577">
        <v>84</v>
      </c>
      <c r="W577">
        <v>7</v>
      </c>
      <c r="X577" t="s">
        <v>50</v>
      </c>
      <c r="Y577" t="s">
        <v>32</v>
      </c>
      <c r="Z577" t="s">
        <v>33</v>
      </c>
      <c r="AA577" t="s">
        <v>40</v>
      </c>
      <c r="AB577" t="s">
        <v>42</v>
      </c>
      <c r="AC577" t="s">
        <v>36</v>
      </c>
    </row>
    <row r="578" spans="1:29" x14ac:dyDescent="0.25">
      <c r="A578">
        <v>608</v>
      </c>
      <c r="B578">
        <v>19715</v>
      </c>
      <c r="C578">
        <v>9200</v>
      </c>
      <c r="D578">
        <v>28915</v>
      </c>
      <c r="E578" t="s">
        <v>29</v>
      </c>
      <c r="F578">
        <v>29</v>
      </c>
      <c r="G578" t="s">
        <v>61</v>
      </c>
      <c r="H578" t="s">
        <v>30</v>
      </c>
      <c r="I578">
        <v>1</v>
      </c>
      <c r="J578" t="s">
        <v>68</v>
      </c>
      <c r="K578">
        <v>689</v>
      </c>
      <c r="L578" t="s">
        <v>63</v>
      </c>
      <c r="M578">
        <v>0</v>
      </c>
      <c r="N578" t="s">
        <v>36</v>
      </c>
      <c r="O578">
        <v>0.35</v>
      </c>
      <c r="P578" t="s">
        <v>67</v>
      </c>
      <c r="Q578">
        <v>8524</v>
      </c>
      <c r="R578">
        <v>43714</v>
      </c>
      <c r="S578" t="s">
        <v>44</v>
      </c>
      <c r="T578">
        <v>1722</v>
      </c>
      <c r="U578" t="s">
        <v>73</v>
      </c>
      <c r="V578">
        <v>84</v>
      </c>
      <c r="W578">
        <v>7</v>
      </c>
      <c r="X578" t="s">
        <v>37</v>
      </c>
      <c r="Y578" t="s">
        <v>38</v>
      </c>
      <c r="Z578" t="s">
        <v>39</v>
      </c>
      <c r="AA578" t="s">
        <v>40</v>
      </c>
      <c r="AB578" t="s">
        <v>35</v>
      </c>
      <c r="AC578" t="s">
        <v>36</v>
      </c>
    </row>
    <row r="579" spans="1:29" x14ac:dyDescent="0.25">
      <c r="A579">
        <v>610</v>
      </c>
      <c r="B579">
        <v>6637</v>
      </c>
      <c r="C579">
        <v>9227</v>
      </c>
      <c r="D579">
        <v>15864</v>
      </c>
      <c r="E579" t="s">
        <v>29</v>
      </c>
      <c r="F579">
        <v>49</v>
      </c>
      <c r="G579" t="s">
        <v>53</v>
      </c>
      <c r="H579" t="s">
        <v>30</v>
      </c>
      <c r="I579">
        <v>0</v>
      </c>
      <c r="J579" t="s">
        <v>54</v>
      </c>
      <c r="K579">
        <v>682</v>
      </c>
      <c r="L579" t="s">
        <v>63</v>
      </c>
      <c r="M579">
        <v>3</v>
      </c>
      <c r="N579" t="s">
        <v>44</v>
      </c>
      <c r="O579">
        <v>0.51</v>
      </c>
      <c r="P579" t="s">
        <v>56</v>
      </c>
      <c r="Q579">
        <v>16626</v>
      </c>
      <c r="R579">
        <v>34185</v>
      </c>
      <c r="S579" t="s">
        <v>44</v>
      </c>
      <c r="T579">
        <v>38634</v>
      </c>
      <c r="U579" t="s">
        <v>60</v>
      </c>
      <c r="V579">
        <v>72</v>
      </c>
      <c r="W579">
        <v>6</v>
      </c>
      <c r="X579" t="s">
        <v>50</v>
      </c>
      <c r="Y579" t="s">
        <v>32</v>
      </c>
      <c r="Z579" t="s">
        <v>39</v>
      </c>
      <c r="AA579" t="s">
        <v>34</v>
      </c>
      <c r="AB579" t="s">
        <v>35</v>
      </c>
      <c r="AC579" t="s">
        <v>36</v>
      </c>
    </row>
    <row r="580" spans="1:29" x14ac:dyDescent="0.25">
      <c r="A580">
        <v>611</v>
      </c>
      <c r="B580">
        <v>6854</v>
      </c>
      <c r="C580">
        <v>4585</v>
      </c>
      <c r="D580">
        <v>11439</v>
      </c>
      <c r="E580" t="s">
        <v>48</v>
      </c>
      <c r="F580">
        <v>40</v>
      </c>
      <c r="G580" t="s">
        <v>65</v>
      </c>
      <c r="H580" t="s">
        <v>41</v>
      </c>
      <c r="I580">
        <v>0</v>
      </c>
      <c r="J580" t="s">
        <v>54</v>
      </c>
      <c r="K580">
        <v>657</v>
      </c>
      <c r="L580" t="s">
        <v>55</v>
      </c>
      <c r="M580">
        <v>0</v>
      </c>
      <c r="N580" t="s">
        <v>36</v>
      </c>
      <c r="O580">
        <v>0.57999999999999996</v>
      </c>
      <c r="P580" t="s">
        <v>56</v>
      </c>
      <c r="Q580">
        <v>18268</v>
      </c>
      <c r="R580">
        <v>31194</v>
      </c>
      <c r="S580" t="s">
        <v>44</v>
      </c>
      <c r="T580">
        <v>11139</v>
      </c>
      <c r="U580" t="s">
        <v>57</v>
      </c>
      <c r="V580">
        <v>72</v>
      </c>
      <c r="W580">
        <v>6</v>
      </c>
      <c r="X580" t="s">
        <v>50</v>
      </c>
      <c r="Y580" t="s">
        <v>32</v>
      </c>
      <c r="Z580" t="s">
        <v>39</v>
      </c>
      <c r="AA580" t="s">
        <v>40</v>
      </c>
      <c r="AB580" t="s">
        <v>43</v>
      </c>
      <c r="AC580" t="s">
        <v>36</v>
      </c>
    </row>
    <row r="581" spans="1:29" x14ac:dyDescent="0.25">
      <c r="A581">
        <v>612</v>
      </c>
      <c r="B581">
        <v>12320</v>
      </c>
      <c r="C581">
        <v>8467</v>
      </c>
      <c r="D581">
        <v>20787</v>
      </c>
      <c r="E581" t="s">
        <v>49</v>
      </c>
      <c r="F581">
        <v>36</v>
      </c>
      <c r="G581" t="s">
        <v>65</v>
      </c>
      <c r="H581" t="s">
        <v>41</v>
      </c>
      <c r="I581">
        <v>1</v>
      </c>
      <c r="J581" t="s">
        <v>68</v>
      </c>
      <c r="K581">
        <v>727</v>
      </c>
      <c r="L581" t="s">
        <v>63</v>
      </c>
      <c r="M581">
        <v>1</v>
      </c>
      <c r="N581" t="s">
        <v>44</v>
      </c>
      <c r="O581">
        <v>0.5</v>
      </c>
      <c r="P581" t="s">
        <v>70</v>
      </c>
      <c r="Q581">
        <v>14935</v>
      </c>
      <c r="R581">
        <v>25230</v>
      </c>
      <c r="S581" t="s">
        <v>44</v>
      </c>
      <c r="T581">
        <v>3128</v>
      </c>
      <c r="U581" t="s">
        <v>73</v>
      </c>
      <c r="V581">
        <v>72</v>
      </c>
      <c r="W581">
        <v>6</v>
      </c>
      <c r="X581" t="s">
        <v>31</v>
      </c>
      <c r="Y581" t="s">
        <v>32</v>
      </c>
      <c r="Z581" t="s">
        <v>39</v>
      </c>
      <c r="AA581" t="s">
        <v>34</v>
      </c>
      <c r="AB581" t="s">
        <v>35</v>
      </c>
      <c r="AC581" t="s">
        <v>36</v>
      </c>
    </row>
    <row r="582" spans="1:29" x14ac:dyDescent="0.25">
      <c r="A582">
        <v>613</v>
      </c>
      <c r="B582">
        <v>6892</v>
      </c>
      <c r="C582">
        <v>2740</v>
      </c>
      <c r="D582">
        <v>9632</v>
      </c>
      <c r="E582" t="s">
        <v>29</v>
      </c>
      <c r="F582">
        <v>27</v>
      </c>
      <c r="G582" t="s">
        <v>61</v>
      </c>
      <c r="H582" t="s">
        <v>30</v>
      </c>
      <c r="I582">
        <v>2</v>
      </c>
      <c r="J582" t="s">
        <v>62</v>
      </c>
      <c r="K582">
        <v>591</v>
      </c>
      <c r="L582" t="s">
        <v>55</v>
      </c>
      <c r="M582">
        <v>0</v>
      </c>
      <c r="N582" t="s">
        <v>36</v>
      </c>
      <c r="O582">
        <v>0.4</v>
      </c>
      <c r="P582" t="s">
        <v>67</v>
      </c>
      <c r="Q582">
        <v>9624</v>
      </c>
      <c r="R582">
        <v>27018</v>
      </c>
      <c r="S582" t="s">
        <v>44</v>
      </c>
      <c r="T582">
        <v>21617</v>
      </c>
      <c r="U582" t="s">
        <v>64</v>
      </c>
      <c r="V582">
        <v>72</v>
      </c>
      <c r="W582">
        <v>6</v>
      </c>
      <c r="X582" t="s">
        <v>50</v>
      </c>
      <c r="Y582" t="s">
        <v>32</v>
      </c>
      <c r="Z582" t="s">
        <v>39</v>
      </c>
      <c r="AA582" t="s">
        <v>40</v>
      </c>
      <c r="AB582" t="s">
        <v>48</v>
      </c>
      <c r="AC582" t="s">
        <v>36</v>
      </c>
    </row>
    <row r="583" spans="1:29" x14ac:dyDescent="0.25">
      <c r="A583">
        <v>614</v>
      </c>
      <c r="B583">
        <v>9043</v>
      </c>
      <c r="C583">
        <v>2289</v>
      </c>
      <c r="D583">
        <v>11332</v>
      </c>
      <c r="E583" t="s">
        <v>29</v>
      </c>
      <c r="F583">
        <v>34</v>
      </c>
      <c r="G583" t="s">
        <v>61</v>
      </c>
      <c r="H583" t="s">
        <v>30</v>
      </c>
      <c r="I583">
        <v>0</v>
      </c>
      <c r="J583" t="s">
        <v>54</v>
      </c>
      <c r="K583">
        <v>651</v>
      </c>
      <c r="L583" t="s">
        <v>55</v>
      </c>
      <c r="M583">
        <v>3</v>
      </c>
      <c r="N583" t="s">
        <v>44</v>
      </c>
      <c r="O583">
        <v>0.35</v>
      </c>
      <c r="P583" t="s">
        <v>67</v>
      </c>
      <c r="Q583">
        <v>15823</v>
      </c>
      <c r="R583">
        <v>49262</v>
      </c>
      <c r="S583" t="s">
        <v>44</v>
      </c>
      <c r="T583">
        <v>29080</v>
      </c>
      <c r="U583" t="s">
        <v>64</v>
      </c>
      <c r="V583">
        <v>72</v>
      </c>
      <c r="W583">
        <v>6</v>
      </c>
      <c r="X583" t="s">
        <v>50</v>
      </c>
      <c r="Y583" t="s">
        <v>45</v>
      </c>
      <c r="Z583" t="s">
        <v>39</v>
      </c>
      <c r="AA583" t="s">
        <v>40</v>
      </c>
      <c r="AB583" t="s">
        <v>43</v>
      </c>
      <c r="AC583" t="s">
        <v>44</v>
      </c>
    </row>
    <row r="584" spans="1:29" x14ac:dyDescent="0.25">
      <c r="A584">
        <v>615</v>
      </c>
      <c r="B584">
        <v>18521</v>
      </c>
      <c r="C584">
        <v>1239</v>
      </c>
      <c r="D584">
        <v>19760</v>
      </c>
      <c r="E584" t="s">
        <v>49</v>
      </c>
      <c r="F584">
        <v>49</v>
      </c>
      <c r="G584" t="s">
        <v>53</v>
      </c>
      <c r="H584" t="s">
        <v>41</v>
      </c>
      <c r="I584">
        <v>3</v>
      </c>
      <c r="J584" t="s">
        <v>58</v>
      </c>
      <c r="K584">
        <v>673</v>
      </c>
      <c r="L584" t="s">
        <v>63</v>
      </c>
      <c r="M584">
        <v>0</v>
      </c>
      <c r="N584" t="s">
        <v>36</v>
      </c>
      <c r="O584">
        <v>0.12</v>
      </c>
      <c r="P584" t="s">
        <v>59</v>
      </c>
      <c r="Q584">
        <v>7863</v>
      </c>
      <c r="R584">
        <v>24665</v>
      </c>
      <c r="S584" t="s">
        <v>44</v>
      </c>
      <c r="T584">
        <v>36285</v>
      </c>
      <c r="U584" t="s">
        <v>60</v>
      </c>
      <c r="V584">
        <v>12</v>
      </c>
      <c r="W584">
        <v>1</v>
      </c>
      <c r="X584" t="s">
        <v>31</v>
      </c>
      <c r="Y584" t="s">
        <v>38</v>
      </c>
      <c r="Z584" t="s">
        <v>33</v>
      </c>
      <c r="AA584" t="s">
        <v>40</v>
      </c>
      <c r="AB584" t="s">
        <v>35</v>
      </c>
      <c r="AC584" t="s">
        <v>44</v>
      </c>
    </row>
    <row r="585" spans="1:29" x14ac:dyDescent="0.25">
      <c r="A585">
        <v>616</v>
      </c>
      <c r="B585">
        <v>0</v>
      </c>
      <c r="C585">
        <v>5370</v>
      </c>
      <c r="D585">
        <v>5370</v>
      </c>
      <c r="E585" t="s">
        <v>29</v>
      </c>
      <c r="F585">
        <v>39</v>
      </c>
      <c r="G585" t="s">
        <v>65</v>
      </c>
      <c r="H585" t="s">
        <v>30</v>
      </c>
      <c r="I585">
        <v>0</v>
      </c>
      <c r="J585" t="s">
        <v>54</v>
      </c>
      <c r="K585">
        <v>689</v>
      </c>
      <c r="L585" t="s">
        <v>63</v>
      </c>
      <c r="M585">
        <v>4</v>
      </c>
      <c r="N585" t="s">
        <v>44</v>
      </c>
      <c r="O585">
        <v>0.59</v>
      </c>
      <c r="P585" t="s">
        <v>56</v>
      </c>
      <c r="Q585">
        <v>3109</v>
      </c>
      <c r="R585">
        <v>41722</v>
      </c>
      <c r="S585" t="s">
        <v>44</v>
      </c>
      <c r="T585">
        <v>18533</v>
      </c>
      <c r="U585" t="s">
        <v>57</v>
      </c>
      <c r="V585">
        <v>24</v>
      </c>
      <c r="W585">
        <v>2</v>
      </c>
      <c r="X585" t="s">
        <v>31</v>
      </c>
      <c r="Y585" t="s">
        <v>38</v>
      </c>
      <c r="Z585" t="s">
        <v>33</v>
      </c>
      <c r="AA585" t="s">
        <v>40</v>
      </c>
      <c r="AB585" t="s">
        <v>35</v>
      </c>
      <c r="AC585" t="s">
        <v>36</v>
      </c>
    </row>
    <row r="586" spans="1:29" x14ac:dyDescent="0.25">
      <c r="A586">
        <v>617</v>
      </c>
      <c r="B586">
        <v>9941</v>
      </c>
      <c r="C586">
        <v>125</v>
      </c>
      <c r="D586">
        <v>10066</v>
      </c>
      <c r="E586" t="s">
        <v>29</v>
      </c>
      <c r="F586">
        <v>39</v>
      </c>
      <c r="G586" t="s">
        <v>65</v>
      </c>
      <c r="H586" t="s">
        <v>30</v>
      </c>
      <c r="I586">
        <v>0</v>
      </c>
      <c r="J586" t="s">
        <v>54</v>
      </c>
      <c r="K586">
        <v>652</v>
      </c>
      <c r="L586" t="s">
        <v>55</v>
      </c>
      <c r="M586">
        <v>2</v>
      </c>
      <c r="N586" t="s">
        <v>44</v>
      </c>
      <c r="O586">
        <v>0.28999999999999998</v>
      </c>
      <c r="P586" t="s">
        <v>59</v>
      </c>
      <c r="Q586">
        <v>18570</v>
      </c>
      <c r="R586">
        <v>46359</v>
      </c>
      <c r="S586" t="s">
        <v>44</v>
      </c>
      <c r="T586">
        <v>33624</v>
      </c>
      <c r="U586" t="s">
        <v>64</v>
      </c>
      <c r="V586">
        <v>48</v>
      </c>
      <c r="W586">
        <v>4</v>
      </c>
      <c r="X586" t="s">
        <v>42</v>
      </c>
      <c r="Y586" t="s">
        <v>32</v>
      </c>
      <c r="Z586" t="s">
        <v>39</v>
      </c>
      <c r="AA586" t="s">
        <v>40</v>
      </c>
      <c r="AB586" t="s">
        <v>51</v>
      </c>
      <c r="AC586" t="s">
        <v>44</v>
      </c>
    </row>
    <row r="587" spans="1:29" x14ac:dyDescent="0.25">
      <c r="A587">
        <v>618</v>
      </c>
      <c r="B587">
        <v>16388</v>
      </c>
      <c r="C587">
        <v>7473</v>
      </c>
      <c r="D587">
        <v>23861</v>
      </c>
      <c r="E587" t="s">
        <v>49</v>
      </c>
      <c r="F587">
        <v>22</v>
      </c>
      <c r="G587" t="s">
        <v>72</v>
      </c>
      <c r="H587" t="s">
        <v>41</v>
      </c>
      <c r="I587">
        <v>0</v>
      </c>
      <c r="J587" t="s">
        <v>54</v>
      </c>
      <c r="K587">
        <v>695</v>
      </c>
      <c r="L587" t="s">
        <v>63</v>
      </c>
      <c r="M587">
        <v>3</v>
      </c>
      <c r="N587" t="s">
        <v>44</v>
      </c>
      <c r="O587">
        <v>0.35</v>
      </c>
      <c r="P587" t="s">
        <v>67</v>
      </c>
      <c r="Q587">
        <v>12482</v>
      </c>
      <c r="R587">
        <v>40159</v>
      </c>
      <c r="S587" t="s">
        <v>44</v>
      </c>
      <c r="T587">
        <v>28956</v>
      </c>
      <c r="U587" t="s">
        <v>64</v>
      </c>
      <c r="V587">
        <v>36</v>
      </c>
      <c r="W587">
        <v>3</v>
      </c>
      <c r="X587" t="s">
        <v>37</v>
      </c>
      <c r="Y587" t="s">
        <v>38</v>
      </c>
      <c r="Z587" t="s">
        <v>33</v>
      </c>
      <c r="AA587" t="s">
        <v>40</v>
      </c>
      <c r="AB587" t="s">
        <v>43</v>
      </c>
      <c r="AC587" t="s">
        <v>44</v>
      </c>
    </row>
    <row r="588" spans="1:29" x14ac:dyDescent="0.25">
      <c r="A588">
        <v>619</v>
      </c>
      <c r="B588">
        <v>7569</v>
      </c>
      <c r="C588">
        <v>9400</v>
      </c>
      <c r="D588">
        <v>16969</v>
      </c>
      <c r="E588" t="s">
        <v>29</v>
      </c>
      <c r="F588">
        <v>35</v>
      </c>
      <c r="G588" t="s">
        <v>65</v>
      </c>
      <c r="H588" t="s">
        <v>41</v>
      </c>
      <c r="I588">
        <v>1</v>
      </c>
      <c r="J588" t="s">
        <v>68</v>
      </c>
      <c r="K588">
        <v>743</v>
      </c>
      <c r="L588" t="s">
        <v>71</v>
      </c>
      <c r="M588">
        <v>0</v>
      </c>
      <c r="N588" t="s">
        <v>36</v>
      </c>
      <c r="O588">
        <v>0.43</v>
      </c>
      <c r="P588" t="s">
        <v>70</v>
      </c>
      <c r="Q588">
        <v>1550</v>
      </c>
      <c r="R588">
        <v>44132</v>
      </c>
      <c r="S588" t="s">
        <v>44</v>
      </c>
      <c r="T588">
        <v>34077</v>
      </c>
      <c r="U588" t="s">
        <v>64</v>
      </c>
      <c r="V588">
        <v>72</v>
      </c>
      <c r="W588">
        <v>6</v>
      </c>
      <c r="X588" t="s">
        <v>37</v>
      </c>
      <c r="Y588" t="s">
        <v>38</v>
      </c>
      <c r="Z588" t="s">
        <v>33</v>
      </c>
      <c r="AA588" t="s">
        <v>40</v>
      </c>
      <c r="AB588" t="s">
        <v>35</v>
      </c>
      <c r="AC588" t="s">
        <v>36</v>
      </c>
    </row>
    <row r="589" spans="1:29" x14ac:dyDescent="0.25">
      <c r="A589">
        <v>620</v>
      </c>
      <c r="B589">
        <v>6300</v>
      </c>
      <c r="C589">
        <v>5342</v>
      </c>
      <c r="D589">
        <v>11642</v>
      </c>
      <c r="E589" t="s">
        <v>29</v>
      </c>
      <c r="F589">
        <v>23</v>
      </c>
      <c r="G589" t="s">
        <v>72</v>
      </c>
      <c r="H589" t="s">
        <v>41</v>
      </c>
      <c r="I589">
        <v>1</v>
      </c>
      <c r="J589" t="s">
        <v>68</v>
      </c>
      <c r="K589">
        <v>623</v>
      </c>
      <c r="L589" t="s">
        <v>55</v>
      </c>
      <c r="M589">
        <v>0</v>
      </c>
      <c r="N589" t="s">
        <v>36</v>
      </c>
      <c r="O589">
        <v>0.24</v>
      </c>
      <c r="P589" t="s">
        <v>59</v>
      </c>
      <c r="Q589">
        <v>646</v>
      </c>
      <c r="R589">
        <v>43139</v>
      </c>
      <c r="S589" t="s">
        <v>44</v>
      </c>
      <c r="T589">
        <v>4952</v>
      </c>
      <c r="U589" t="s">
        <v>73</v>
      </c>
      <c r="V589">
        <v>12</v>
      </c>
      <c r="W589">
        <v>1</v>
      </c>
      <c r="X589" t="s">
        <v>42</v>
      </c>
      <c r="Y589" t="s">
        <v>38</v>
      </c>
      <c r="Z589" t="s">
        <v>39</v>
      </c>
      <c r="AA589" t="s">
        <v>40</v>
      </c>
      <c r="AB589" t="s">
        <v>35</v>
      </c>
      <c r="AC589" t="s">
        <v>36</v>
      </c>
    </row>
    <row r="590" spans="1:29" x14ac:dyDescent="0.25">
      <c r="A590">
        <v>621</v>
      </c>
      <c r="B590">
        <v>8269</v>
      </c>
      <c r="C590">
        <v>7351</v>
      </c>
      <c r="D590">
        <v>15620</v>
      </c>
      <c r="E590" t="s">
        <v>46</v>
      </c>
      <c r="F590">
        <v>31</v>
      </c>
      <c r="G590" t="s">
        <v>61</v>
      </c>
      <c r="H590" t="s">
        <v>30</v>
      </c>
      <c r="I590">
        <v>3</v>
      </c>
      <c r="J590" t="s">
        <v>58</v>
      </c>
      <c r="K590">
        <v>756</v>
      </c>
      <c r="L590" t="s">
        <v>71</v>
      </c>
      <c r="M590">
        <v>4</v>
      </c>
      <c r="N590" t="s">
        <v>44</v>
      </c>
      <c r="O590">
        <v>0.39</v>
      </c>
      <c r="P590" t="s">
        <v>67</v>
      </c>
      <c r="Q590">
        <v>13407</v>
      </c>
      <c r="R590">
        <v>21516</v>
      </c>
      <c r="S590" t="s">
        <v>44</v>
      </c>
      <c r="T590">
        <v>23796</v>
      </c>
      <c r="U590" t="s">
        <v>64</v>
      </c>
      <c r="V590">
        <v>84</v>
      </c>
      <c r="W590">
        <v>7</v>
      </c>
      <c r="X590" t="s">
        <v>37</v>
      </c>
      <c r="Y590" t="s">
        <v>32</v>
      </c>
      <c r="Z590" t="s">
        <v>39</v>
      </c>
      <c r="AA590" t="s">
        <v>34</v>
      </c>
      <c r="AB590" t="s">
        <v>43</v>
      </c>
      <c r="AC590" t="s">
        <v>44</v>
      </c>
    </row>
    <row r="591" spans="1:29" x14ac:dyDescent="0.25">
      <c r="A591">
        <v>622</v>
      </c>
      <c r="B591">
        <v>5818</v>
      </c>
      <c r="C591">
        <v>6638</v>
      </c>
      <c r="D591">
        <v>12456</v>
      </c>
      <c r="E591" t="s">
        <v>49</v>
      </c>
      <c r="F591">
        <v>40</v>
      </c>
      <c r="G591" t="s">
        <v>65</v>
      </c>
      <c r="H591" t="s">
        <v>41</v>
      </c>
      <c r="I591">
        <v>3</v>
      </c>
      <c r="J591" t="s">
        <v>58</v>
      </c>
      <c r="K591">
        <v>771</v>
      </c>
      <c r="L591" t="s">
        <v>71</v>
      </c>
      <c r="M591">
        <v>4</v>
      </c>
      <c r="N591" t="s">
        <v>44</v>
      </c>
      <c r="O591">
        <v>0.39</v>
      </c>
      <c r="P591" t="s">
        <v>67</v>
      </c>
      <c r="Q591">
        <v>12700</v>
      </c>
      <c r="R591">
        <v>35272</v>
      </c>
      <c r="S591" t="s">
        <v>44</v>
      </c>
      <c r="T591">
        <v>32746</v>
      </c>
      <c r="U591" t="s">
        <v>64</v>
      </c>
      <c r="V591">
        <v>48</v>
      </c>
      <c r="W591">
        <v>4</v>
      </c>
      <c r="X591" t="s">
        <v>50</v>
      </c>
      <c r="Y591" t="s">
        <v>45</v>
      </c>
      <c r="Z591" t="s">
        <v>39</v>
      </c>
      <c r="AA591" t="s">
        <v>34</v>
      </c>
      <c r="AB591" t="s">
        <v>35</v>
      </c>
      <c r="AC591" t="s">
        <v>36</v>
      </c>
    </row>
    <row r="592" spans="1:29" x14ac:dyDescent="0.25">
      <c r="A592">
        <v>623</v>
      </c>
      <c r="B592">
        <v>14015</v>
      </c>
      <c r="C592">
        <v>6570</v>
      </c>
      <c r="D592">
        <v>20585</v>
      </c>
      <c r="E592" t="s">
        <v>46</v>
      </c>
      <c r="F592">
        <v>38</v>
      </c>
      <c r="G592" t="s">
        <v>65</v>
      </c>
      <c r="H592" t="s">
        <v>30</v>
      </c>
      <c r="I592">
        <v>0</v>
      </c>
      <c r="J592" t="s">
        <v>54</v>
      </c>
      <c r="K592">
        <v>657</v>
      </c>
      <c r="L592" t="s">
        <v>55</v>
      </c>
      <c r="M592">
        <v>1</v>
      </c>
      <c r="N592" t="s">
        <v>44</v>
      </c>
      <c r="O592">
        <v>0.32</v>
      </c>
      <c r="P592" t="s">
        <v>67</v>
      </c>
      <c r="Q592">
        <v>537</v>
      </c>
      <c r="R592">
        <v>24673</v>
      </c>
      <c r="S592" t="s">
        <v>44</v>
      </c>
      <c r="T592">
        <v>22249</v>
      </c>
      <c r="U592" t="s">
        <v>64</v>
      </c>
      <c r="V592">
        <v>48</v>
      </c>
      <c r="W592">
        <v>4</v>
      </c>
      <c r="X592" t="s">
        <v>42</v>
      </c>
      <c r="Y592" t="s">
        <v>45</v>
      </c>
      <c r="Z592" t="s">
        <v>39</v>
      </c>
      <c r="AA592" t="s">
        <v>40</v>
      </c>
      <c r="AB592" t="s">
        <v>42</v>
      </c>
      <c r="AC592" t="s">
        <v>44</v>
      </c>
    </row>
    <row r="593" spans="1:29" x14ac:dyDescent="0.25">
      <c r="A593">
        <v>624</v>
      </c>
      <c r="B593">
        <v>14234</v>
      </c>
      <c r="C593">
        <v>3249</v>
      </c>
      <c r="D593">
        <v>17483</v>
      </c>
      <c r="E593" t="s">
        <v>29</v>
      </c>
      <c r="F593">
        <v>22</v>
      </c>
      <c r="G593" t="s">
        <v>72</v>
      </c>
      <c r="H593" t="s">
        <v>41</v>
      </c>
      <c r="I593">
        <v>0</v>
      </c>
      <c r="J593" t="s">
        <v>54</v>
      </c>
      <c r="K593">
        <v>550</v>
      </c>
      <c r="L593" t="s">
        <v>66</v>
      </c>
      <c r="M593">
        <v>4</v>
      </c>
      <c r="N593" t="s">
        <v>44</v>
      </c>
      <c r="O593">
        <v>0.52</v>
      </c>
      <c r="P593" t="s">
        <v>56</v>
      </c>
      <c r="Q593">
        <v>14166</v>
      </c>
      <c r="R593">
        <v>5239</v>
      </c>
      <c r="S593" t="s">
        <v>44</v>
      </c>
      <c r="T593">
        <v>1015</v>
      </c>
      <c r="U593" t="s">
        <v>73</v>
      </c>
      <c r="V593">
        <v>48</v>
      </c>
      <c r="W593">
        <v>4</v>
      </c>
      <c r="X593" t="s">
        <v>42</v>
      </c>
      <c r="Y593" t="s">
        <v>32</v>
      </c>
      <c r="Z593" t="s">
        <v>33</v>
      </c>
      <c r="AA593" t="s">
        <v>34</v>
      </c>
      <c r="AB593" t="s">
        <v>48</v>
      </c>
      <c r="AC593" t="s">
        <v>36</v>
      </c>
    </row>
    <row r="594" spans="1:29" x14ac:dyDescent="0.25">
      <c r="A594">
        <v>625</v>
      </c>
      <c r="B594">
        <v>8254</v>
      </c>
      <c r="C594">
        <v>9110</v>
      </c>
      <c r="D594">
        <v>17364</v>
      </c>
      <c r="E594" t="s">
        <v>29</v>
      </c>
      <c r="F594">
        <v>52</v>
      </c>
      <c r="G594" t="s">
        <v>53</v>
      </c>
      <c r="H594" t="s">
        <v>30</v>
      </c>
      <c r="I594">
        <v>1</v>
      </c>
      <c r="J594" t="s">
        <v>68</v>
      </c>
      <c r="K594">
        <v>566</v>
      </c>
      <c r="L594" t="s">
        <v>66</v>
      </c>
      <c r="M594">
        <v>1</v>
      </c>
      <c r="N594" t="s">
        <v>44</v>
      </c>
      <c r="O594">
        <v>0.23</v>
      </c>
      <c r="P594" t="s">
        <v>59</v>
      </c>
      <c r="Q594">
        <v>6572</v>
      </c>
      <c r="R594">
        <v>0</v>
      </c>
      <c r="S594" t="s">
        <v>36</v>
      </c>
      <c r="T594">
        <v>26957</v>
      </c>
      <c r="U594" t="s">
        <v>64</v>
      </c>
      <c r="V594">
        <v>12</v>
      </c>
      <c r="W594">
        <v>1</v>
      </c>
      <c r="X594" t="s">
        <v>37</v>
      </c>
      <c r="Y594" t="s">
        <v>38</v>
      </c>
      <c r="Z594" t="s">
        <v>39</v>
      </c>
      <c r="AA594" t="s">
        <v>34</v>
      </c>
      <c r="AB594" t="s">
        <v>35</v>
      </c>
      <c r="AC594" t="s">
        <v>36</v>
      </c>
    </row>
    <row r="595" spans="1:29" x14ac:dyDescent="0.25">
      <c r="A595">
        <v>626</v>
      </c>
      <c r="B595">
        <v>19144</v>
      </c>
      <c r="C595">
        <v>7595</v>
      </c>
      <c r="D595">
        <v>26739</v>
      </c>
      <c r="E595" t="s">
        <v>29</v>
      </c>
      <c r="F595">
        <v>28</v>
      </c>
      <c r="G595" t="s">
        <v>61</v>
      </c>
      <c r="H595" t="s">
        <v>30</v>
      </c>
      <c r="I595">
        <v>0</v>
      </c>
      <c r="J595" t="s">
        <v>54</v>
      </c>
      <c r="K595">
        <v>745</v>
      </c>
      <c r="L595" t="s">
        <v>71</v>
      </c>
      <c r="M595">
        <v>0</v>
      </c>
      <c r="N595" t="s">
        <v>36</v>
      </c>
      <c r="O595">
        <v>0.32</v>
      </c>
      <c r="P595" t="s">
        <v>67</v>
      </c>
      <c r="Q595">
        <v>234</v>
      </c>
      <c r="R595">
        <v>26415</v>
      </c>
      <c r="S595" t="s">
        <v>44</v>
      </c>
      <c r="T595">
        <v>17005</v>
      </c>
      <c r="U595" t="s">
        <v>57</v>
      </c>
      <c r="V595">
        <v>36</v>
      </c>
      <c r="W595">
        <v>3</v>
      </c>
      <c r="X595" t="s">
        <v>47</v>
      </c>
      <c r="Y595" t="s">
        <v>32</v>
      </c>
      <c r="Z595" t="s">
        <v>39</v>
      </c>
      <c r="AA595" t="s">
        <v>40</v>
      </c>
      <c r="AB595" t="s">
        <v>51</v>
      </c>
      <c r="AC595" t="s">
        <v>44</v>
      </c>
    </row>
    <row r="596" spans="1:29" x14ac:dyDescent="0.25">
      <c r="A596">
        <v>627</v>
      </c>
      <c r="B596">
        <v>9350</v>
      </c>
      <c r="C596">
        <v>6294</v>
      </c>
      <c r="D596">
        <v>15644</v>
      </c>
      <c r="E596" t="s">
        <v>46</v>
      </c>
      <c r="F596">
        <v>42</v>
      </c>
      <c r="G596" t="s">
        <v>65</v>
      </c>
      <c r="H596" t="s">
        <v>41</v>
      </c>
      <c r="I596">
        <v>0</v>
      </c>
      <c r="J596" t="s">
        <v>54</v>
      </c>
      <c r="K596">
        <v>620</v>
      </c>
      <c r="L596" t="s">
        <v>55</v>
      </c>
      <c r="M596">
        <v>1</v>
      </c>
      <c r="N596" t="s">
        <v>44</v>
      </c>
      <c r="O596">
        <v>0.37</v>
      </c>
      <c r="P596" t="s">
        <v>67</v>
      </c>
      <c r="Q596">
        <v>14067</v>
      </c>
      <c r="R596">
        <v>37888</v>
      </c>
      <c r="S596" t="s">
        <v>44</v>
      </c>
      <c r="T596">
        <v>22292</v>
      </c>
      <c r="U596" t="s">
        <v>64</v>
      </c>
      <c r="V596">
        <v>72</v>
      </c>
      <c r="W596">
        <v>6</v>
      </c>
      <c r="X596" t="s">
        <v>37</v>
      </c>
      <c r="Y596" t="s">
        <v>32</v>
      </c>
      <c r="Z596" t="s">
        <v>39</v>
      </c>
      <c r="AA596" t="s">
        <v>40</v>
      </c>
      <c r="AB596" t="s">
        <v>48</v>
      </c>
      <c r="AC596" t="s">
        <v>36</v>
      </c>
    </row>
    <row r="597" spans="1:29" x14ac:dyDescent="0.25">
      <c r="A597">
        <v>628</v>
      </c>
      <c r="B597">
        <v>17183</v>
      </c>
      <c r="C597">
        <v>6527</v>
      </c>
      <c r="D597">
        <v>23710</v>
      </c>
      <c r="E597" t="s">
        <v>49</v>
      </c>
      <c r="F597">
        <v>26</v>
      </c>
      <c r="G597" t="s">
        <v>61</v>
      </c>
      <c r="H597" t="s">
        <v>30</v>
      </c>
      <c r="I597">
        <v>1</v>
      </c>
      <c r="J597" t="s">
        <v>68</v>
      </c>
      <c r="K597">
        <v>611</v>
      </c>
      <c r="L597" t="s">
        <v>55</v>
      </c>
      <c r="M597">
        <v>1</v>
      </c>
      <c r="N597" t="s">
        <v>44</v>
      </c>
      <c r="O597">
        <v>0.43</v>
      </c>
      <c r="P597" t="s">
        <v>70</v>
      </c>
      <c r="Q597">
        <v>9696</v>
      </c>
      <c r="R597">
        <v>27195</v>
      </c>
      <c r="S597" t="s">
        <v>44</v>
      </c>
      <c r="T597">
        <v>32876</v>
      </c>
      <c r="U597" t="s">
        <v>64</v>
      </c>
      <c r="V597">
        <v>48</v>
      </c>
      <c r="W597">
        <v>4</v>
      </c>
      <c r="X597" t="s">
        <v>47</v>
      </c>
      <c r="Y597" t="s">
        <v>38</v>
      </c>
      <c r="Z597" t="s">
        <v>39</v>
      </c>
      <c r="AA597" t="s">
        <v>40</v>
      </c>
      <c r="AB597" t="s">
        <v>48</v>
      </c>
      <c r="AC597" t="s">
        <v>36</v>
      </c>
    </row>
    <row r="598" spans="1:29" x14ac:dyDescent="0.25">
      <c r="A598">
        <v>630</v>
      </c>
      <c r="B598">
        <v>8090</v>
      </c>
      <c r="C598">
        <v>1969</v>
      </c>
      <c r="D598">
        <v>10059</v>
      </c>
      <c r="E598" t="s">
        <v>49</v>
      </c>
      <c r="F598">
        <v>56</v>
      </c>
      <c r="G598" t="s">
        <v>69</v>
      </c>
      <c r="H598" t="s">
        <v>41</v>
      </c>
      <c r="I598">
        <v>0</v>
      </c>
      <c r="J598" t="s">
        <v>54</v>
      </c>
      <c r="K598">
        <v>772</v>
      </c>
      <c r="L598" t="s">
        <v>71</v>
      </c>
      <c r="M598">
        <v>4</v>
      </c>
      <c r="N598" t="s">
        <v>44</v>
      </c>
      <c r="O598">
        <v>0.3</v>
      </c>
      <c r="P598" t="s">
        <v>59</v>
      </c>
      <c r="Q598">
        <v>17758</v>
      </c>
      <c r="R598">
        <v>29323</v>
      </c>
      <c r="S598" t="s">
        <v>44</v>
      </c>
      <c r="T598">
        <v>26470</v>
      </c>
      <c r="U598" t="s">
        <v>64</v>
      </c>
      <c r="V598">
        <v>84</v>
      </c>
      <c r="W598">
        <v>7</v>
      </c>
      <c r="X598" t="s">
        <v>47</v>
      </c>
      <c r="Y598" t="s">
        <v>38</v>
      </c>
      <c r="Z598" t="s">
        <v>39</v>
      </c>
      <c r="AA598" t="s">
        <v>40</v>
      </c>
      <c r="AB598" t="s">
        <v>51</v>
      </c>
      <c r="AC598" t="s">
        <v>44</v>
      </c>
    </row>
    <row r="599" spans="1:29" x14ac:dyDescent="0.25">
      <c r="A599">
        <v>631</v>
      </c>
      <c r="B599">
        <v>13637</v>
      </c>
      <c r="C599">
        <v>891</v>
      </c>
      <c r="D599">
        <v>14528</v>
      </c>
      <c r="E599" t="s">
        <v>29</v>
      </c>
      <c r="F599">
        <v>35</v>
      </c>
      <c r="G599" t="s">
        <v>65</v>
      </c>
      <c r="H599" t="s">
        <v>30</v>
      </c>
      <c r="I599">
        <v>2</v>
      </c>
      <c r="J599" t="s">
        <v>62</v>
      </c>
      <c r="K599">
        <v>792</v>
      </c>
      <c r="L599" t="s">
        <v>71</v>
      </c>
      <c r="M599">
        <v>1</v>
      </c>
      <c r="N599" t="s">
        <v>44</v>
      </c>
      <c r="O599">
        <v>0.42</v>
      </c>
      <c r="P599" t="s">
        <v>70</v>
      </c>
      <c r="Q599">
        <v>1909</v>
      </c>
      <c r="R599">
        <v>34964</v>
      </c>
      <c r="S599" t="s">
        <v>44</v>
      </c>
      <c r="T599">
        <v>10759</v>
      </c>
      <c r="U599" t="s">
        <v>57</v>
      </c>
      <c r="V599">
        <v>24</v>
      </c>
      <c r="W599">
        <v>2</v>
      </c>
      <c r="X599" t="s">
        <v>50</v>
      </c>
      <c r="Y599" t="s">
        <v>45</v>
      </c>
      <c r="Z599" t="s">
        <v>39</v>
      </c>
      <c r="AA599" t="s">
        <v>40</v>
      </c>
      <c r="AB599" t="s">
        <v>43</v>
      </c>
      <c r="AC599" t="s">
        <v>36</v>
      </c>
    </row>
    <row r="600" spans="1:29" x14ac:dyDescent="0.25">
      <c r="A600">
        <v>633</v>
      </c>
      <c r="B600">
        <v>11911</v>
      </c>
      <c r="C600">
        <v>7175</v>
      </c>
      <c r="D600">
        <v>19086</v>
      </c>
      <c r="E600" t="s">
        <v>29</v>
      </c>
      <c r="F600">
        <v>38</v>
      </c>
      <c r="G600" t="s">
        <v>65</v>
      </c>
      <c r="H600" t="s">
        <v>30</v>
      </c>
      <c r="I600">
        <v>1</v>
      </c>
      <c r="J600" t="s">
        <v>68</v>
      </c>
      <c r="K600">
        <v>780</v>
      </c>
      <c r="L600" t="s">
        <v>71</v>
      </c>
      <c r="M600">
        <v>3</v>
      </c>
      <c r="N600" t="s">
        <v>44</v>
      </c>
      <c r="O600">
        <v>0.56999999999999995</v>
      </c>
      <c r="P600" t="s">
        <v>56</v>
      </c>
      <c r="Q600">
        <v>80</v>
      </c>
      <c r="R600">
        <v>30763</v>
      </c>
      <c r="S600" t="s">
        <v>44</v>
      </c>
      <c r="T600">
        <v>21504</v>
      </c>
      <c r="U600" t="s">
        <v>64</v>
      </c>
      <c r="V600">
        <v>12</v>
      </c>
      <c r="W600">
        <v>1</v>
      </c>
      <c r="X600" t="s">
        <v>47</v>
      </c>
      <c r="Y600" t="s">
        <v>32</v>
      </c>
      <c r="Z600" t="s">
        <v>33</v>
      </c>
      <c r="AA600" t="s">
        <v>34</v>
      </c>
      <c r="AB600" t="s">
        <v>43</v>
      </c>
      <c r="AC600" t="s">
        <v>36</v>
      </c>
    </row>
    <row r="601" spans="1:29" x14ac:dyDescent="0.25">
      <c r="A601">
        <v>634</v>
      </c>
      <c r="B601">
        <v>10472</v>
      </c>
      <c r="C601">
        <v>9556</v>
      </c>
      <c r="D601">
        <v>20028</v>
      </c>
      <c r="E601" t="s">
        <v>29</v>
      </c>
      <c r="F601">
        <v>22</v>
      </c>
      <c r="G601" t="s">
        <v>72</v>
      </c>
      <c r="H601" t="s">
        <v>41</v>
      </c>
      <c r="I601">
        <v>2</v>
      </c>
      <c r="J601" t="s">
        <v>62</v>
      </c>
      <c r="K601">
        <v>668</v>
      </c>
      <c r="L601" t="s">
        <v>55</v>
      </c>
      <c r="M601">
        <v>1</v>
      </c>
      <c r="N601" t="s">
        <v>44</v>
      </c>
      <c r="O601">
        <v>0.28999999999999998</v>
      </c>
      <c r="P601" t="s">
        <v>59</v>
      </c>
      <c r="Q601">
        <v>2083</v>
      </c>
      <c r="R601">
        <v>0</v>
      </c>
      <c r="S601" t="s">
        <v>36</v>
      </c>
      <c r="T601">
        <v>9507</v>
      </c>
      <c r="U601" t="s">
        <v>57</v>
      </c>
      <c r="V601">
        <v>12</v>
      </c>
      <c r="W601">
        <v>1</v>
      </c>
      <c r="X601" t="s">
        <v>31</v>
      </c>
      <c r="Y601" t="s">
        <v>45</v>
      </c>
      <c r="Z601" t="s">
        <v>33</v>
      </c>
      <c r="AA601" t="s">
        <v>34</v>
      </c>
      <c r="AB601" t="s">
        <v>51</v>
      </c>
      <c r="AC601" t="s">
        <v>44</v>
      </c>
    </row>
    <row r="602" spans="1:29" x14ac:dyDescent="0.25">
      <c r="A602">
        <v>635</v>
      </c>
      <c r="B602">
        <v>5266</v>
      </c>
      <c r="C602">
        <v>8320</v>
      </c>
      <c r="D602">
        <v>13586</v>
      </c>
      <c r="E602" t="s">
        <v>46</v>
      </c>
      <c r="F602">
        <v>33</v>
      </c>
      <c r="G602" t="s">
        <v>61</v>
      </c>
      <c r="H602" t="s">
        <v>30</v>
      </c>
      <c r="I602">
        <v>3</v>
      </c>
      <c r="J602" t="s">
        <v>58</v>
      </c>
      <c r="K602">
        <v>711</v>
      </c>
      <c r="L602" t="s">
        <v>63</v>
      </c>
      <c r="M602">
        <v>4</v>
      </c>
      <c r="N602" t="s">
        <v>44</v>
      </c>
      <c r="O602">
        <v>0.46</v>
      </c>
      <c r="P602" t="s">
        <v>70</v>
      </c>
      <c r="Q602">
        <v>13378</v>
      </c>
      <c r="R602">
        <v>18105</v>
      </c>
      <c r="S602" t="s">
        <v>44</v>
      </c>
      <c r="T602">
        <v>22050</v>
      </c>
      <c r="U602" t="s">
        <v>64</v>
      </c>
      <c r="V602">
        <v>12</v>
      </c>
      <c r="W602">
        <v>1</v>
      </c>
      <c r="X602" t="s">
        <v>50</v>
      </c>
      <c r="Y602" t="s">
        <v>45</v>
      </c>
      <c r="Z602" t="s">
        <v>33</v>
      </c>
      <c r="AA602" t="s">
        <v>40</v>
      </c>
      <c r="AB602" t="s">
        <v>35</v>
      </c>
      <c r="AC602" t="s">
        <v>36</v>
      </c>
    </row>
    <row r="603" spans="1:29" x14ac:dyDescent="0.25">
      <c r="A603">
        <v>636</v>
      </c>
      <c r="B603">
        <v>2666</v>
      </c>
      <c r="C603">
        <v>9206</v>
      </c>
      <c r="D603">
        <v>11872</v>
      </c>
      <c r="E603" t="s">
        <v>46</v>
      </c>
      <c r="F603">
        <v>35</v>
      </c>
      <c r="G603" t="s">
        <v>65</v>
      </c>
      <c r="H603" t="s">
        <v>30</v>
      </c>
      <c r="I603">
        <v>3</v>
      </c>
      <c r="J603" t="s">
        <v>58</v>
      </c>
      <c r="K603">
        <v>747</v>
      </c>
      <c r="L603" t="s">
        <v>71</v>
      </c>
      <c r="M603">
        <v>2</v>
      </c>
      <c r="N603" t="s">
        <v>44</v>
      </c>
      <c r="O603">
        <v>0.11</v>
      </c>
      <c r="P603" t="s">
        <v>59</v>
      </c>
      <c r="Q603">
        <v>15217</v>
      </c>
      <c r="R603">
        <v>0</v>
      </c>
      <c r="S603" t="s">
        <v>36</v>
      </c>
      <c r="T603">
        <v>5820</v>
      </c>
      <c r="U603" t="s">
        <v>57</v>
      </c>
      <c r="V603">
        <v>48</v>
      </c>
      <c r="W603">
        <v>4</v>
      </c>
      <c r="X603" t="s">
        <v>31</v>
      </c>
      <c r="Y603" t="s">
        <v>38</v>
      </c>
      <c r="Z603" t="s">
        <v>33</v>
      </c>
      <c r="AA603" t="s">
        <v>40</v>
      </c>
      <c r="AB603" t="s">
        <v>35</v>
      </c>
      <c r="AC603" t="s">
        <v>44</v>
      </c>
    </row>
    <row r="604" spans="1:29" x14ac:dyDescent="0.25">
      <c r="A604">
        <v>637</v>
      </c>
      <c r="B604">
        <v>6188</v>
      </c>
      <c r="C604">
        <v>9991</v>
      </c>
      <c r="D604">
        <v>16179</v>
      </c>
      <c r="E604" t="s">
        <v>29</v>
      </c>
      <c r="F604">
        <v>40</v>
      </c>
      <c r="G604" t="s">
        <v>65</v>
      </c>
      <c r="H604" t="s">
        <v>41</v>
      </c>
      <c r="I604">
        <v>3</v>
      </c>
      <c r="J604" t="s">
        <v>58</v>
      </c>
      <c r="K604">
        <v>791</v>
      </c>
      <c r="L604" t="s">
        <v>71</v>
      </c>
      <c r="M604">
        <v>0</v>
      </c>
      <c r="N604" t="s">
        <v>36</v>
      </c>
      <c r="O604">
        <v>0.35</v>
      </c>
      <c r="P604" t="s">
        <v>67</v>
      </c>
      <c r="Q604">
        <v>18074</v>
      </c>
      <c r="R604">
        <v>29739</v>
      </c>
      <c r="S604" t="s">
        <v>44</v>
      </c>
      <c r="T604">
        <v>8835</v>
      </c>
      <c r="U604" t="s">
        <v>57</v>
      </c>
      <c r="V604">
        <v>12</v>
      </c>
      <c r="W604">
        <v>1</v>
      </c>
      <c r="X604" t="s">
        <v>50</v>
      </c>
      <c r="Y604" t="s">
        <v>38</v>
      </c>
      <c r="Z604" t="s">
        <v>39</v>
      </c>
      <c r="AA604" t="s">
        <v>34</v>
      </c>
      <c r="AB604" t="s">
        <v>35</v>
      </c>
      <c r="AC604" t="s">
        <v>44</v>
      </c>
    </row>
    <row r="605" spans="1:29" x14ac:dyDescent="0.25">
      <c r="A605">
        <v>638</v>
      </c>
      <c r="B605">
        <v>19055</v>
      </c>
      <c r="C605">
        <v>6812</v>
      </c>
      <c r="D605">
        <v>25867</v>
      </c>
      <c r="E605" t="s">
        <v>46</v>
      </c>
      <c r="F605">
        <v>49</v>
      </c>
      <c r="G605" t="s">
        <v>53</v>
      </c>
      <c r="H605" t="s">
        <v>30</v>
      </c>
      <c r="I605">
        <v>2</v>
      </c>
      <c r="J605" t="s">
        <v>62</v>
      </c>
      <c r="K605">
        <v>550</v>
      </c>
      <c r="L605" t="s">
        <v>66</v>
      </c>
      <c r="M605">
        <v>2</v>
      </c>
      <c r="N605" t="s">
        <v>44</v>
      </c>
      <c r="O605">
        <v>0.34</v>
      </c>
      <c r="P605" t="s">
        <v>67</v>
      </c>
      <c r="Q605">
        <v>17140</v>
      </c>
      <c r="R605">
        <v>48205</v>
      </c>
      <c r="S605" t="s">
        <v>44</v>
      </c>
      <c r="T605">
        <v>0</v>
      </c>
      <c r="U605" t="s">
        <v>73</v>
      </c>
      <c r="V605">
        <v>24</v>
      </c>
      <c r="W605">
        <v>2</v>
      </c>
      <c r="X605" t="s">
        <v>31</v>
      </c>
      <c r="Y605" t="s">
        <v>32</v>
      </c>
      <c r="Z605" t="s">
        <v>39</v>
      </c>
      <c r="AA605" t="s">
        <v>40</v>
      </c>
      <c r="AB605" t="s">
        <v>51</v>
      </c>
      <c r="AC605" t="s">
        <v>44</v>
      </c>
    </row>
    <row r="606" spans="1:29" x14ac:dyDescent="0.25">
      <c r="A606">
        <v>639</v>
      </c>
      <c r="B606">
        <v>12161</v>
      </c>
      <c r="C606">
        <v>7519</v>
      </c>
      <c r="D606">
        <v>19680</v>
      </c>
      <c r="E606" t="s">
        <v>29</v>
      </c>
      <c r="F606">
        <v>49</v>
      </c>
      <c r="G606" t="s">
        <v>53</v>
      </c>
      <c r="H606" t="s">
        <v>41</v>
      </c>
      <c r="I606">
        <v>2</v>
      </c>
      <c r="J606" t="s">
        <v>62</v>
      </c>
      <c r="K606">
        <v>594</v>
      </c>
      <c r="L606" t="s">
        <v>55</v>
      </c>
      <c r="M606">
        <v>3</v>
      </c>
      <c r="N606" t="s">
        <v>44</v>
      </c>
      <c r="O606">
        <v>0.54</v>
      </c>
      <c r="P606" t="s">
        <v>56</v>
      </c>
      <c r="Q606">
        <v>2670</v>
      </c>
      <c r="R606">
        <v>31969</v>
      </c>
      <c r="S606" t="s">
        <v>44</v>
      </c>
      <c r="T606">
        <v>35617</v>
      </c>
      <c r="U606" t="s">
        <v>60</v>
      </c>
      <c r="V606">
        <v>48</v>
      </c>
      <c r="W606">
        <v>4</v>
      </c>
      <c r="X606" t="s">
        <v>31</v>
      </c>
      <c r="Y606" t="s">
        <v>32</v>
      </c>
      <c r="Z606" t="s">
        <v>39</v>
      </c>
      <c r="AA606" t="s">
        <v>40</v>
      </c>
      <c r="AB606" t="s">
        <v>35</v>
      </c>
      <c r="AC606" t="s">
        <v>36</v>
      </c>
    </row>
    <row r="607" spans="1:29" x14ac:dyDescent="0.25">
      <c r="A607">
        <v>640</v>
      </c>
      <c r="B607">
        <v>13314</v>
      </c>
      <c r="C607">
        <v>4612</v>
      </c>
      <c r="D607">
        <v>17926</v>
      </c>
      <c r="E607" t="s">
        <v>49</v>
      </c>
      <c r="F607">
        <v>23</v>
      </c>
      <c r="G607" t="s">
        <v>72</v>
      </c>
      <c r="H607" t="s">
        <v>30</v>
      </c>
      <c r="I607">
        <v>3</v>
      </c>
      <c r="J607" t="s">
        <v>58</v>
      </c>
      <c r="K607">
        <v>607</v>
      </c>
      <c r="L607" t="s">
        <v>55</v>
      </c>
      <c r="M607">
        <v>1</v>
      </c>
      <c r="N607" t="s">
        <v>44</v>
      </c>
      <c r="O607">
        <v>0.36</v>
      </c>
      <c r="P607" t="s">
        <v>67</v>
      </c>
      <c r="Q607">
        <v>3751</v>
      </c>
      <c r="R607">
        <v>14497</v>
      </c>
      <c r="S607" t="s">
        <v>44</v>
      </c>
      <c r="T607">
        <v>0</v>
      </c>
      <c r="U607" t="s">
        <v>73</v>
      </c>
      <c r="V607">
        <v>84</v>
      </c>
      <c r="W607">
        <v>7</v>
      </c>
      <c r="X607" t="s">
        <v>37</v>
      </c>
      <c r="Y607" t="s">
        <v>38</v>
      </c>
      <c r="Z607" t="s">
        <v>39</v>
      </c>
      <c r="AA607" t="s">
        <v>40</v>
      </c>
      <c r="AB607" t="s">
        <v>43</v>
      </c>
      <c r="AC607" t="s">
        <v>36</v>
      </c>
    </row>
    <row r="608" spans="1:29" x14ac:dyDescent="0.25">
      <c r="A608">
        <v>641</v>
      </c>
      <c r="B608">
        <v>14891</v>
      </c>
      <c r="C608">
        <v>9710</v>
      </c>
      <c r="D608">
        <v>24601</v>
      </c>
      <c r="E608" t="s">
        <v>48</v>
      </c>
      <c r="F608">
        <v>39</v>
      </c>
      <c r="G608" t="s">
        <v>65</v>
      </c>
      <c r="H608" t="s">
        <v>30</v>
      </c>
      <c r="I608">
        <v>0</v>
      </c>
      <c r="J608" t="s">
        <v>54</v>
      </c>
      <c r="K608">
        <v>728</v>
      </c>
      <c r="L608" t="s">
        <v>63</v>
      </c>
      <c r="M608">
        <v>1</v>
      </c>
      <c r="N608" t="s">
        <v>44</v>
      </c>
      <c r="O608">
        <v>0.56000000000000005</v>
      </c>
      <c r="P608" t="s">
        <v>56</v>
      </c>
      <c r="Q608">
        <v>11744</v>
      </c>
      <c r="R608">
        <v>1816</v>
      </c>
      <c r="S608" t="s">
        <v>44</v>
      </c>
      <c r="T608">
        <v>0</v>
      </c>
      <c r="U608" t="s">
        <v>73</v>
      </c>
      <c r="V608">
        <v>24</v>
      </c>
      <c r="W608">
        <v>2</v>
      </c>
      <c r="X608" t="s">
        <v>47</v>
      </c>
      <c r="Y608" t="s">
        <v>45</v>
      </c>
      <c r="Z608" t="s">
        <v>39</v>
      </c>
      <c r="AA608" t="s">
        <v>34</v>
      </c>
      <c r="AB608" t="s">
        <v>35</v>
      </c>
      <c r="AC608" t="s">
        <v>36</v>
      </c>
    </row>
    <row r="609" spans="1:29" x14ac:dyDescent="0.25">
      <c r="A609">
        <v>642</v>
      </c>
      <c r="B609">
        <v>6777</v>
      </c>
      <c r="C609">
        <v>1198</v>
      </c>
      <c r="D609">
        <v>7975</v>
      </c>
      <c r="E609" t="s">
        <v>29</v>
      </c>
      <c r="F609">
        <v>23</v>
      </c>
      <c r="G609" t="s">
        <v>72</v>
      </c>
      <c r="H609" t="s">
        <v>41</v>
      </c>
      <c r="I609">
        <v>0</v>
      </c>
      <c r="J609" t="s">
        <v>54</v>
      </c>
      <c r="K609">
        <v>675</v>
      </c>
      <c r="L609" t="s">
        <v>63</v>
      </c>
      <c r="M609">
        <v>4</v>
      </c>
      <c r="N609" t="s">
        <v>44</v>
      </c>
      <c r="O609">
        <v>0.34</v>
      </c>
      <c r="P609" t="s">
        <v>67</v>
      </c>
      <c r="Q609">
        <v>5261</v>
      </c>
      <c r="R609">
        <v>26483</v>
      </c>
      <c r="S609" t="s">
        <v>44</v>
      </c>
      <c r="T609">
        <v>7840</v>
      </c>
      <c r="U609" t="s">
        <v>57</v>
      </c>
      <c r="V609">
        <v>60</v>
      </c>
      <c r="W609">
        <v>5</v>
      </c>
      <c r="X609" t="s">
        <v>31</v>
      </c>
      <c r="Y609" t="s">
        <v>32</v>
      </c>
      <c r="Z609" t="s">
        <v>33</v>
      </c>
      <c r="AA609" t="s">
        <v>34</v>
      </c>
      <c r="AB609" t="s">
        <v>42</v>
      </c>
      <c r="AC609" t="s">
        <v>44</v>
      </c>
    </row>
    <row r="610" spans="1:29" x14ac:dyDescent="0.25">
      <c r="A610">
        <v>643</v>
      </c>
      <c r="B610">
        <v>5900</v>
      </c>
      <c r="C610">
        <v>5238</v>
      </c>
      <c r="D610">
        <v>11138</v>
      </c>
      <c r="E610" t="s">
        <v>46</v>
      </c>
      <c r="F610">
        <v>34</v>
      </c>
      <c r="G610" t="s">
        <v>61</v>
      </c>
      <c r="H610" t="s">
        <v>30</v>
      </c>
      <c r="I610">
        <v>2</v>
      </c>
      <c r="J610" t="s">
        <v>62</v>
      </c>
      <c r="K610">
        <v>711</v>
      </c>
      <c r="L610" t="s">
        <v>63</v>
      </c>
      <c r="M610">
        <v>0</v>
      </c>
      <c r="N610" t="s">
        <v>36</v>
      </c>
      <c r="O610">
        <v>0.35</v>
      </c>
      <c r="P610" t="s">
        <v>67</v>
      </c>
      <c r="Q610">
        <v>14691</v>
      </c>
      <c r="R610">
        <v>43481</v>
      </c>
      <c r="S610" t="s">
        <v>44</v>
      </c>
      <c r="T610">
        <v>38834</v>
      </c>
      <c r="U610" t="s">
        <v>60</v>
      </c>
      <c r="V610">
        <v>84</v>
      </c>
      <c r="W610">
        <v>7</v>
      </c>
      <c r="X610" t="s">
        <v>42</v>
      </c>
      <c r="Y610" t="s">
        <v>38</v>
      </c>
      <c r="Z610" t="s">
        <v>39</v>
      </c>
      <c r="AA610" t="s">
        <v>34</v>
      </c>
      <c r="AB610" t="s">
        <v>35</v>
      </c>
      <c r="AC610" t="s">
        <v>36</v>
      </c>
    </row>
    <row r="611" spans="1:29" x14ac:dyDescent="0.25">
      <c r="A611">
        <v>644</v>
      </c>
      <c r="B611">
        <v>15716</v>
      </c>
      <c r="C611">
        <v>6089</v>
      </c>
      <c r="D611">
        <v>21805</v>
      </c>
      <c r="E611" t="s">
        <v>29</v>
      </c>
      <c r="F611">
        <v>24</v>
      </c>
      <c r="G611" t="s">
        <v>72</v>
      </c>
      <c r="H611" t="s">
        <v>30</v>
      </c>
      <c r="I611">
        <v>2</v>
      </c>
      <c r="J611" t="s">
        <v>62</v>
      </c>
      <c r="K611">
        <v>593</v>
      </c>
      <c r="L611" t="s">
        <v>55</v>
      </c>
      <c r="M611">
        <v>0</v>
      </c>
      <c r="N611" t="s">
        <v>36</v>
      </c>
      <c r="O611">
        <v>0.16</v>
      </c>
      <c r="P611" t="s">
        <v>59</v>
      </c>
      <c r="Q611">
        <v>6852</v>
      </c>
      <c r="R611">
        <v>22159</v>
      </c>
      <c r="S611" t="s">
        <v>44</v>
      </c>
      <c r="T611">
        <v>32440</v>
      </c>
      <c r="U611" t="s">
        <v>64</v>
      </c>
      <c r="V611">
        <v>12</v>
      </c>
      <c r="W611">
        <v>1</v>
      </c>
      <c r="X611" t="s">
        <v>37</v>
      </c>
      <c r="Y611" t="s">
        <v>38</v>
      </c>
      <c r="Z611" t="s">
        <v>39</v>
      </c>
      <c r="AA611" t="s">
        <v>40</v>
      </c>
      <c r="AB611" t="s">
        <v>35</v>
      </c>
      <c r="AC611" t="s">
        <v>36</v>
      </c>
    </row>
    <row r="612" spans="1:29" x14ac:dyDescent="0.25">
      <c r="A612">
        <v>645</v>
      </c>
      <c r="B612">
        <v>8981</v>
      </c>
      <c r="C612">
        <v>6257</v>
      </c>
      <c r="D612">
        <v>15238</v>
      </c>
      <c r="E612" t="s">
        <v>29</v>
      </c>
      <c r="F612">
        <v>31</v>
      </c>
      <c r="G612" t="s">
        <v>61</v>
      </c>
      <c r="H612" t="s">
        <v>30</v>
      </c>
      <c r="I612">
        <v>2</v>
      </c>
      <c r="J612" t="s">
        <v>62</v>
      </c>
      <c r="K612">
        <v>564</v>
      </c>
      <c r="L612" t="s">
        <v>66</v>
      </c>
      <c r="M612">
        <v>3</v>
      </c>
      <c r="N612" t="s">
        <v>44</v>
      </c>
      <c r="O612">
        <v>0.5</v>
      </c>
      <c r="P612" t="s">
        <v>70</v>
      </c>
      <c r="Q612">
        <v>1494</v>
      </c>
      <c r="R612">
        <v>3849</v>
      </c>
      <c r="S612" t="s">
        <v>44</v>
      </c>
      <c r="T612">
        <v>36183</v>
      </c>
      <c r="U612" t="s">
        <v>60</v>
      </c>
      <c r="V612">
        <v>72</v>
      </c>
      <c r="W612">
        <v>6</v>
      </c>
      <c r="X612" t="s">
        <v>47</v>
      </c>
      <c r="Y612" t="s">
        <v>32</v>
      </c>
      <c r="Z612" t="s">
        <v>39</v>
      </c>
      <c r="AA612" t="s">
        <v>40</v>
      </c>
      <c r="AB612" t="s">
        <v>35</v>
      </c>
      <c r="AC612" t="s">
        <v>36</v>
      </c>
    </row>
    <row r="613" spans="1:29" x14ac:dyDescent="0.25">
      <c r="A613">
        <v>646</v>
      </c>
      <c r="B613">
        <v>8376</v>
      </c>
      <c r="C613">
        <v>7705</v>
      </c>
      <c r="D613">
        <v>16081</v>
      </c>
      <c r="E613" t="s">
        <v>29</v>
      </c>
      <c r="F613">
        <v>51</v>
      </c>
      <c r="G613" t="s">
        <v>53</v>
      </c>
      <c r="H613" t="s">
        <v>41</v>
      </c>
      <c r="I613">
        <v>3</v>
      </c>
      <c r="J613" t="s">
        <v>58</v>
      </c>
      <c r="K613">
        <v>627</v>
      </c>
      <c r="L613" t="s">
        <v>55</v>
      </c>
      <c r="M613">
        <v>2</v>
      </c>
      <c r="N613" t="s">
        <v>44</v>
      </c>
      <c r="O613">
        <v>0.22</v>
      </c>
      <c r="P613" t="s">
        <v>59</v>
      </c>
      <c r="Q613">
        <v>17285</v>
      </c>
      <c r="R613">
        <v>21612</v>
      </c>
      <c r="S613" t="s">
        <v>44</v>
      </c>
      <c r="T613">
        <v>31636</v>
      </c>
      <c r="U613" t="s">
        <v>64</v>
      </c>
      <c r="V613">
        <v>72</v>
      </c>
      <c r="W613">
        <v>6</v>
      </c>
      <c r="X613" t="s">
        <v>37</v>
      </c>
      <c r="Y613" t="s">
        <v>32</v>
      </c>
      <c r="Z613" t="s">
        <v>39</v>
      </c>
      <c r="AA613" t="s">
        <v>40</v>
      </c>
      <c r="AB613" t="s">
        <v>48</v>
      </c>
      <c r="AC613" t="s">
        <v>36</v>
      </c>
    </row>
    <row r="614" spans="1:29" x14ac:dyDescent="0.25">
      <c r="A614">
        <v>647</v>
      </c>
      <c r="B614">
        <v>18907</v>
      </c>
      <c r="C614">
        <v>3719</v>
      </c>
      <c r="D614">
        <v>22626</v>
      </c>
      <c r="E614" t="s">
        <v>49</v>
      </c>
      <c r="F614">
        <v>52</v>
      </c>
      <c r="G614" t="s">
        <v>53</v>
      </c>
      <c r="H614" t="s">
        <v>30</v>
      </c>
      <c r="I614">
        <v>0</v>
      </c>
      <c r="J614" t="s">
        <v>54</v>
      </c>
      <c r="K614">
        <v>619</v>
      </c>
      <c r="L614" t="s">
        <v>55</v>
      </c>
      <c r="M614">
        <v>3</v>
      </c>
      <c r="N614" t="s">
        <v>44</v>
      </c>
      <c r="O614">
        <v>0.55000000000000004</v>
      </c>
      <c r="P614" t="s">
        <v>56</v>
      </c>
      <c r="Q614">
        <v>672</v>
      </c>
      <c r="R614">
        <v>39617</v>
      </c>
      <c r="S614" t="s">
        <v>44</v>
      </c>
      <c r="T614">
        <v>3389</v>
      </c>
      <c r="U614" t="s">
        <v>73</v>
      </c>
      <c r="V614">
        <v>48</v>
      </c>
      <c r="W614">
        <v>4</v>
      </c>
      <c r="X614" t="s">
        <v>47</v>
      </c>
      <c r="Y614" t="s">
        <v>45</v>
      </c>
      <c r="Z614" t="s">
        <v>33</v>
      </c>
      <c r="AA614" t="s">
        <v>34</v>
      </c>
      <c r="AB614" t="s">
        <v>43</v>
      </c>
      <c r="AC614" t="s">
        <v>36</v>
      </c>
    </row>
    <row r="615" spans="1:29" x14ac:dyDescent="0.25">
      <c r="A615">
        <v>648</v>
      </c>
      <c r="B615">
        <v>12160</v>
      </c>
      <c r="C615">
        <v>302</v>
      </c>
      <c r="D615">
        <v>12462</v>
      </c>
      <c r="E615" t="s">
        <v>46</v>
      </c>
      <c r="F615">
        <v>47</v>
      </c>
      <c r="G615" t="s">
        <v>53</v>
      </c>
      <c r="H615" t="s">
        <v>30</v>
      </c>
      <c r="I615">
        <v>2</v>
      </c>
      <c r="J615" t="s">
        <v>62</v>
      </c>
      <c r="K615">
        <v>727</v>
      </c>
      <c r="L615" t="s">
        <v>63</v>
      </c>
      <c r="M615">
        <v>1</v>
      </c>
      <c r="N615" t="s">
        <v>44</v>
      </c>
      <c r="O615">
        <v>0.56000000000000005</v>
      </c>
      <c r="P615" t="s">
        <v>56</v>
      </c>
      <c r="Q615">
        <v>8630</v>
      </c>
      <c r="R615">
        <v>33826</v>
      </c>
      <c r="S615" t="s">
        <v>44</v>
      </c>
      <c r="T615">
        <v>1763</v>
      </c>
      <c r="U615" t="s">
        <v>73</v>
      </c>
      <c r="V615">
        <v>72</v>
      </c>
      <c r="W615">
        <v>6</v>
      </c>
      <c r="X615" t="s">
        <v>50</v>
      </c>
      <c r="Y615" t="s">
        <v>45</v>
      </c>
      <c r="Z615" t="s">
        <v>39</v>
      </c>
      <c r="AA615" t="s">
        <v>40</v>
      </c>
      <c r="AB615" t="s">
        <v>35</v>
      </c>
      <c r="AC615" t="s">
        <v>36</v>
      </c>
    </row>
    <row r="616" spans="1:29" x14ac:dyDescent="0.25">
      <c r="A616">
        <v>649</v>
      </c>
      <c r="B616">
        <v>0</v>
      </c>
      <c r="C616">
        <v>0</v>
      </c>
      <c r="D616">
        <v>0</v>
      </c>
      <c r="E616" t="s">
        <v>52</v>
      </c>
      <c r="F616">
        <v>40</v>
      </c>
      <c r="G616" t="s">
        <v>65</v>
      </c>
      <c r="H616" t="s">
        <v>30</v>
      </c>
      <c r="I616">
        <v>2</v>
      </c>
      <c r="J616" t="s">
        <v>62</v>
      </c>
      <c r="K616">
        <v>550</v>
      </c>
      <c r="L616" t="s">
        <v>66</v>
      </c>
      <c r="M616">
        <v>2</v>
      </c>
      <c r="N616" t="s">
        <v>44</v>
      </c>
      <c r="O616">
        <v>0.56999999999999995</v>
      </c>
      <c r="P616" t="s">
        <v>56</v>
      </c>
      <c r="Q616">
        <v>10268</v>
      </c>
      <c r="R616">
        <v>44498</v>
      </c>
      <c r="S616" t="s">
        <v>44</v>
      </c>
      <c r="T616">
        <v>24925</v>
      </c>
      <c r="U616" t="s">
        <v>64</v>
      </c>
      <c r="V616">
        <v>48</v>
      </c>
      <c r="W616">
        <v>4</v>
      </c>
      <c r="X616" t="s">
        <v>31</v>
      </c>
      <c r="Y616" t="s">
        <v>38</v>
      </c>
      <c r="Z616" t="s">
        <v>39</v>
      </c>
      <c r="AA616" t="s">
        <v>40</v>
      </c>
      <c r="AB616" t="s">
        <v>42</v>
      </c>
      <c r="AC616" t="s">
        <v>36</v>
      </c>
    </row>
    <row r="617" spans="1:29" x14ac:dyDescent="0.25">
      <c r="A617">
        <v>651</v>
      </c>
      <c r="B617">
        <v>12488</v>
      </c>
      <c r="C617">
        <v>4909</v>
      </c>
      <c r="D617">
        <v>17397</v>
      </c>
      <c r="E617" t="s">
        <v>46</v>
      </c>
      <c r="F617">
        <v>29</v>
      </c>
      <c r="G617" t="s">
        <v>61</v>
      </c>
      <c r="H617" t="s">
        <v>30</v>
      </c>
      <c r="I617">
        <v>3</v>
      </c>
      <c r="J617" t="s">
        <v>58</v>
      </c>
      <c r="K617">
        <v>709</v>
      </c>
      <c r="L617" t="s">
        <v>63</v>
      </c>
      <c r="M617">
        <v>3</v>
      </c>
      <c r="N617" t="s">
        <v>44</v>
      </c>
      <c r="O617">
        <v>0.44</v>
      </c>
      <c r="P617" t="s">
        <v>70</v>
      </c>
      <c r="Q617">
        <v>9157</v>
      </c>
      <c r="R617">
        <v>24563</v>
      </c>
      <c r="S617" t="s">
        <v>44</v>
      </c>
      <c r="T617">
        <v>24457</v>
      </c>
      <c r="U617" t="s">
        <v>64</v>
      </c>
      <c r="V617">
        <v>84</v>
      </c>
      <c r="W617">
        <v>7</v>
      </c>
      <c r="X617" t="s">
        <v>37</v>
      </c>
      <c r="Y617" t="s">
        <v>45</v>
      </c>
      <c r="Z617" t="s">
        <v>33</v>
      </c>
      <c r="AA617" t="s">
        <v>40</v>
      </c>
      <c r="AB617" t="s">
        <v>35</v>
      </c>
      <c r="AC617" t="s">
        <v>36</v>
      </c>
    </row>
    <row r="618" spans="1:29" x14ac:dyDescent="0.25">
      <c r="A618">
        <v>652</v>
      </c>
      <c r="B618">
        <v>7240</v>
      </c>
      <c r="C618">
        <v>3072</v>
      </c>
      <c r="D618">
        <v>10312</v>
      </c>
      <c r="E618" t="s">
        <v>49</v>
      </c>
      <c r="F618">
        <v>48</v>
      </c>
      <c r="G618" t="s">
        <v>53</v>
      </c>
      <c r="H618" t="s">
        <v>41</v>
      </c>
      <c r="I618">
        <v>1</v>
      </c>
      <c r="J618" t="s">
        <v>68</v>
      </c>
      <c r="K618">
        <v>744</v>
      </c>
      <c r="L618" t="s">
        <v>71</v>
      </c>
      <c r="M618">
        <v>2</v>
      </c>
      <c r="N618" t="s">
        <v>44</v>
      </c>
      <c r="O618">
        <v>0.49</v>
      </c>
      <c r="P618" t="s">
        <v>70</v>
      </c>
      <c r="Q618">
        <v>11982</v>
      </c>
      <c r="R618">
        <v>4359</v>
      </c>
      <c r="S618" t="s">
        <v>44</v>
      </c>
      <c r="T618">
        <v>22423</v>
      </c>
      <c r="U618" t="s">
        <v>64</v>
      </c>
      <c r="V618">
        <v>12</v>
      </c>
      <c r="W618">
        <v>1</v>
      </c>
      <c r="X618" t="s">
        <v>42</v>
      </c>
      <c r="Y618" t="s">
        <v>45</v>
      </c>
      <c r="Z618" t="s">
        <v>39</v>
      </c>
      <c r="AA618" t="s">
        <v>40</v>
      </c>
      <c r="AB618" t="s">
        <v>43</v>
      </c>
      <c r="AC618" t="s">
        <v>36</v>
      </c>
    </row>
    <row r="619" spans="1:29" x14ac:dyDescent="0.25">
      <c r="A619">
        <v>653</v>
      </c>
      <c r="B619">
        <v>12453</v>
      </c>
      <c r="C619">
        <v>3124</v>
      </c>
      <c r="D619">
        <v>15577</v>
      </c>
      <c r="E619" t="s">
        <v>46</v>
      </c>
      <c r="F619">
        <v>51</v>
      </c>
      <c r="G619" t="s">
        <v>53</v>
      </c>
      <c r="H619" t="s">
        <v>41</v>
      </c>
      <c r="I619">
        <v>0</v>
      </c>
      <c r="J619" t="s">
        <v>54</v>
      </c>
      <c r="K619">
        <v>552</v>
      </c>
      <c r="L619" t="s">
        <v>66</v>
      </c>
      <c r="M619">
        <v>2</v>
      </c>
      <c r="N619" t="s">
        <v>44</v>
      </c>
      <c r="O619">
        <v>0.17</v>
      </c>
      <c r="P619" t="s">
        <v>59</v>
      </c>
      <c r="Q619">
        <v>8655</v>
      </c>
      <c r="R619">
        <v>30669</v>
      </c>
      <c r="S619" t="s">
        <v>44</v>
      </c>
      <c r="T619">
        <v>11518</v>
      </c>
      <c r="U619" t="s">
        <v>57</v>
      </c>
      <c r="V619">
        <v>36</v>
      </c>
      <c r="W619">
        <v>3</v>
      </c>
      <c r="X619" t="s">
        <v>37</v>
      </c>
      <c r="Y619" t="s">
        <v>38</v>
      </c>
      <c r="Z619" t="s">
        <v>39</v>
      </c>
      <c r="AA619" t="s">
        <v>34</v>
      </c>
      <c r="AB619" t="s">
        <v>35</v>
      </c>
      <c r="AC619" t="s">
        <v>36</v>
      </c>
    </row>
    <row r="620" spans="1:29" x14ac:dyDescent="0.25">
      <c r="A620">
        <v>654</v>
      </c>
      <c r="B620">
        <v>12478</v>
      </c>
      <c r="C620">
        <v>9519</v>
      </c>
      <c r="D620">
        <v>21997</v>
      </c>
      <c r="E620" t="s">
        <v>46</v>
      </c>
      <c r="F620">
        <v>54</v>
      </c>
      <c r="G620" t="s">
        <v>53</v>
      </c>
      <c r="H620" t="s">
        <v>30</v>
      </c>
      <c r="I620">
        <v>1</v>
      </c>
      <c r="J620" t="s">
        <v>68</v>
      </c>
      <c r="K620">
        <v>763</v>
      </c>
      <c r="L620" t="s">
        <v>71</v>
      </c>
      <c r="M620">
        <v>2</v>
      </c>
      <c r="N620" t="s">
        <v>44</v>
      </c>
      <c r="O620">
        <v>0.4</v>
      </c>
      <c r="P620" t="s">
        <v>67</v>
      </c>
      <c r="Q620">
        <v>18582</v>
      </c>
      <c r="R620">
        <v>12809</v>
      </c>
      <c r="S620" t="s">
        <v>44</v>
      </c>
      <c r="T620">
        <v>33360</v>
      </c>
      <c r="U620" t="s">
        <v>64</v>
      </c>
      <c r="V620">
        <v>36</v>
      </c>
      <c r="W620">
        <v>3</v>
      </c>
      <c r="X620" t="s">
        <v>37</v>
      </c>
      <c r="Y620" t="s">
        <v>32</v>
      </c>
      <c r="Z620" t="s">
        <v>33</v>
      </c>
      <c r="AA620" t="s">
        <v>40</v>
      </c>
      <c r="AB620" t="s">
        <v>43</v>
      </c>
      <c r="AC620" t="s">
        <v>36</v>
      </c>
    </row>
    <row r="621" spans="1:29" x14ac:dyDescent="0.25">
      <c r="A621">
        <v>655</v>
      </c>
      <c r="B621">
        <v>14394</v>
      </c>
      <c r="C621">
        <v>8125</v>
      </c>
      <c r="D621">
        <v>22519</v>
      </c>
      <c r="E621" t="s">
        <v>29</v>
      </c>
      <c r="F621">
        <v>35</v>
      </c>
      <c r="G621" t="s">
        <v>65</v>
      </c>
      <c r="H621" t="s">
        <v>30</v>
      </c>
      <c r="I621">
        <v>1</v>
      </c>
      <c r="J621" t="s">
        <v>68</v>
      </c>
      <c r="K621">
        <v>635</v>
      </c>
      <c r="L621" t="s">
        <v>55</v>
      </c>
      <c r="M621">
        <v>0</v>
      </c>
      <c r="N621" t="s">
        <v>36</v>
      </c>
      <c r="O621">
        <v>0.12</v>
      </c>
      <c r="P621" t="s">
        <v>59</v>
      </c>
      <c r="Q621">
        <v>0</v>
      </c>
      <c r="R621">
        <v>0</v>
      </c>
      <c r="S621" t="s">
        <v>36</v>
      </c>
      <c r="T621">
        <v>29173</v>
      </c>
      <c r="U621" t="s">
        <v>64</v>
      </c>
      <c r="V621">
        <v>24</v>
      </c>
      <c r="W621">
        <v>2</v>
      </c>
      <c r="X621" t="s">
        <v>31</v>
      </c>
      <c r="Y621" t="s">
        <v>32</v>
      </c>
      <c r="Z621" t="s">
        <v>39</v>
      </c>
      <c r="AA621" t="s">
        <v>40</v>
      </c>
      <c r="AB621" t="s">
        <v>42</v>
      </c>
      <c r="AC621" t="s">
        <v>36</v>
      </c>
    </row>
    <row r="622" spans="1:29" x14ac:dyDescent="0.25">
      <c r="A622">
        <v>656</v>
      </c>
      <c r="B622">
        <v>6432</v>
      </c>
      <c r="C622">
        <v>3291</v>
      </c>
      <c r="D622">
        <v>9723</v>
      </c>
      <c r="E622" t="s">
        <v>29</v>
      </c>
      <c r="F622">
        <v>45</v>
      </c>
      <c r="G622" t="s">
        <v>53</v>
      </c>
      <c r="H622" t="s">
        <v>30</v>
      </c>
      <c r="I622">
        <v>1</v>
      </c>
      <c r="J622" t="s">
        <v>68</v>
      </c>
      <c r="K622">
        <v>623</v>
      </c>
      <c r="L622" t="s">
        <v>55</v>
      </c>
      <c r="M622">
        <v>3</v>
      </c>
      <c r="N622" t="s">
        <v>44</v>
      </c>
      <c r="O622">
        <v>0.35</v>
      </c>
      <c r="P622" t="s">
        <v>67</v>
      </c>
      <c r="Q622">
        <v>11957</v>
      </c>
      <c r="R622">
        <v>29454</v>
      </c>
      <c r="S622" t="s">
        <v>44</v>
      </c>
      <c r="T622">
        <v>10395</v>
      </c>
      <c r="U622" t="s">
        <v>57</v>
      </c>
      <c r="V622">
        <v>12</v>
      </c>
      <c r="W622">
        <v>1</v>
      </c>
      <c r="X622" t="s">
        <v>47</v>
      </c>
      <c r="Y622" t="s">
        <v>38</v>
      </c>
      <c r="Z622" t="s">
        <v>39</v>
      </c>
      <c r="AA622" t="s">
        <v>40</v>
      </c>
      <c r="AB622" t="s">
        <v>48</v>
      </c>
      <c r="AC622" t="s">
        <v>36</v>
      </c>
    </row>
    <row r="623" spans="1:29" x14ac:dyDescent="0.25">
      <c r="A623">
        <v>657</v>
      </c>
      <c r="B623">
        <v>15568</v>
      </c>
      <c r="C623">
        <v>4033</v>
      </c>
      <c r="D623">
        <v>19601</v>
      </c>
      <c r="E623" t="s">
        <v>48</v>
      </c>
      <c r="F623">
        <v>56</v>
      </c>
      <c r="G623" t="s">
        <v>69</v>
      </c>
      <c r="H623" t="s">
        <v>30</v>
      </c>
      <c r="I623">
        <v>3</v>
      </c>
      <c r="J623" t="s">
        <v>58</v>
      </c>
      <c r="K623">
        <v>600</v>
      </c>
      <c r="L623" t="s">
        <v>55</v>
      </c>
      <c r="M623">
        <v>2</v>
      </c>
      <c r="N623" t="s">
        <v>44</v>
      </c>
      <c r="O623">
        <v>0.18</v>
      </c>
      <c r="P623" t="s">
        <v>59</v>
      </c>
      <c r="Q623">
        <v>4008</v>
      </c>
      <c r="R623">
        <v>7254</v>
      </c>
      <c r="S623" t="s">
        <v>44</v>
      </c>
      <c r="T623">
        <v>20207</v>
      </c>
      <c r="U623" t="s">
        <v>64</v>
      </c>
      <c r="V623">
        <v>72</v>
      </c>
      <c r="W623">
        <v>6</v>
      </c>
      <c r="X623" t="s">
        <v>31</v>
      </c>
      <c r="Y623" t="s">
        <v>32</v>
      </c>
      <c r="Z623" t="s">
        <v>39</v>
      </c>
      <c r="AA623" t="s">
        <v>40</v>
      </c>
      <c r="AB623" t="s">
        <v>51</v>
      </c>
      <c r="AC623" t="s">
        <v>36</v>
      </c>
    </row>
    <row r="624" spans="1:29" x14ac:dyDescent="0.25">
      <c r="A624">
        <v>658</v>
      </c>
      <c r="B624">
        <v>16178</v>
      </c>
      <c r="C624">
        <v>0</v>
      </c>
      <c r="D624">
        <v>16178</v>
      </c>
      <c r="E624" t="s">
        <v>29</v>
      </c>
      <c r="F624">
        <v>28</v>
      </c>
      <c r="G624" t="s">
        <v>61</v>
      </c>
      <c r="H624" t="s">
        <v>41</v>
      </c>
      <c r="I624">
        <v>0</v>
      </c>
      <c r="J624" t="s">
        <v>54</v>
      </c>
      <c r="K624">
        <v>616</v>
      </c>
      <c r="L624" t="s">
        <v>55</v>
      </c>
      <c r="M624">
        <v>0</v>
      </c>
      <c r="N624" t="s">
        <v>36</v>
      </c>
      <c r="O624">
        <v>0.19</v>
      </c>
      <c r="P624" t="s">
        <v>59</v>
      </c>
      <c r="Q624">
        <v>11696</v>
      </c>
      <c r="R624">
        <v>45590</v>
      </c>
      <c r="S624" t="s">
        <v>44</v>
      </c>
      <c r="T624">
        <v>39055</v>
      </c>
      <c r="U624" t="s">
        <v>60</v>
      </c>
      <c r="V624">
        <v>12</v>
      </c>
      <c r="W624">
        <v>1</v>
      </c>
      <c r="X624" t="s">
        <v>50</v>
      </c>
      <c r="Y624" t="s">
        <v>32</v>
      </c>
      <c r="Z624" t="s">
        <v>33</v>
      </c>
      <c r="AA624" t="s">
        <v>40</v>
      </c>
      <c r="AB624" t="s">
        <v>42</v>
      </c>
      <c r="AC624" t="s">
        <v>36</v>
      </c>
    </row>
    <row r="625" spans="1:29" x14ac:dyDescent="0.25">
      <c r="A625">
        <v>659</v>
      </c>
      <c r="B625">
        <v>19660</v>
      </c>
      <c r="C625">
        <v>703</v>
      </c>
      <c r="D625">
        <v>20363</v>
      </c>
      <c r="E625" t="s">
        <v>48</v>
      </c>
      <c r="F625">
        <v>29</v>
      </c>
      <c r="G625" t="s">
        <v>61</v>
      </c>
      <c r="H625" t="s">
        <v>30</v>
      </c>
      <c r="I625">
        <v>1</v>
      </c>
      <c r="J625" t="s">
        <v>68</v>
      </c>
      <c r="K625">
        <v>625</v>
      </c>
      <c r="L625" t="s">
        <v>55</v>
      </c>
      <c r="M625">
        <v>2</v>
      </c>
      <c r="N625" t="s">
        <v>44</v>
      </c>
      <c r="O625">
        <v>0.28000000000000003</v>
      </c>
      <c r="P625" t="s">
        <v>59</v>
      </c>
      <c r="Q625">
        <v>9104</v>
      </c>
      <c r="R625">
        <v>24785</v>
      </c>
      <c r="S625" t="s">
        <v>44</v>
      </c>
      <c r="T625">
        <v>27639</v>
      </c>
      <c r="U625" t="s">
        <v>64</v>
      </c>
      <c r="V625">
        <v>60</v>
      </c>
      <c r="W625">
        <v>5</v>
      </c>
      <c r="X625" t="s">
        <v>31</v>
      </c>
      <c r="Y625" t="s">
        <v>32</v>
      </c>
      <c r="Z625" t="s">
        <v>39</v>
      </c>
      <c r="AA625" t="s">
        <v>34</v>
      </c>
      <c r="AB625" t="s">
        <v>42</v>
      </c>
      <c r="AC625" t="s">
        <v>36</v>
      </c>
    </row>
    <row r="626" spans="1:29" x14ac:dyDescent="0.25">
      <c r="A626">
        <v>660</v>
      </c>
      <c r="B626">
        <v>2302</v>
      </c>
      <c r="C626">
        <v>8133</v>
      </c>
      <c r="D626">
        <v>10435</v>
      </c>
      <c r="E626" t="s">
        <v>46</v>
      </c>
      <c r="F626">
        <v>57</v>
      </c>
      <c r="G626" t="s">
        <v>69</v>
      </c>
      <c r="H626" t="s">
        <v>30</v>
      </c>
      <c r="I626">
        <v>3</v>
      </c>
      <c r="J626" t="s">
        <v>58</v>
      </c>
      <c r="K626">
        <v>642</v>
      </c>
      <c r="L626" t="s">
        <v>55</v>
      </c>
      <c r="M626">
        <v>4</v>
      </c>
      <c r="N626" t="s">
        <v>44</v>
      </c>
      <c r="O626">
        <v>0.32</v>
      </c>
      <c r="P626" t="s">
        <v>67</v>
      </c>
      <c r="Q626">
        <v>496</v>
      </c>
      <c r="R626">
        <v>2093</v>
      </c>
      <c r="S626" t="s">
        <v>44</v>
      </c>
      <c r="T626">
        <v>29924</v>
      </c>
      <c r="U626" t="s">
        <v>64</v>
      </c>
      <c r="V626">
        <v>36</v>
      </c>
      <c r="W626">
        <v>3</v>
      </c>
      <c r="X626" t="s">
        <v>31</v>
      </c>
      <c r="Y626" t="s">
        <v>32</v>
      </c>
      <c r="Z626" t="s">
        <v>39</v>
      </c>
      <c r="AA626" t="s">
        <v>40</v>
      </c>
      <c r="AB626" t="s">
        <v>48</v>
      </c>
      <c r="AC626" t="s">
        <v>36</v>
      </c>
    </row>
    <row r="627" spans="1:29" x14ac:dyDescent="0.25">
      <c r="A627">
        <v>661</v>
      </c>
      <c r="B627">
        <v>19022</v>
      </c>
      <c r="C627">
        <v>574</v>
      </c>
      <c r="D627">
        <v>19596</v>
      </c>
      <c r="E627" t="s">
        <v>29</v>
      </c>
      <c r="F627">
        <v>59</v>
      </c>
      <c r="G627" t="s">
        <v>69</v>
      </c>
      <c r="H627" t="s">
        <v>41</v>
      </c>
      <c r="I627">
        <v>0</v>
      </c>
      <c r="J627" t="s">
        <v>54</v>
      </c>
      <c r="K627">
        <v>725</v>
      </c>
      <c r="L627" t="s">
        <v>63</v>
      </c>
      <c r="M627">
        <v>4</v>
      </c>
      <c r="N627" t="s">
        <v>44</v>
      </c>
      <c r="O627">
        <v>0.41</v>
      </c>
      <c r="P627" t="s">
        <v>70</v>
      </c>
      <c r="Q627">
        <v>1463</v>
      </c>
      <c r="R627">
        <v>44498</v>
      </c>
      <c r="S627" t="s">
        <v>44</v>
      </c>
      <c r="T627">
        <v>8433</v>
      </c>
      <c r="U627" t="s">
        <v>57</v>
      </c>
      <c r="V627">
        <v>72</v>
      </c>
      <c r="W627">
        <v>6</v>
      </c>
      <c r="X627" t="s">
        <v>50</v>
      </c>
      <c r="Y627" t="s">
        <v>32</v>
      </c>
      <c r="Z627" t="s">
        <v>39</v>
      </c>
      <c r="AA627" t="s">
        <v>34</v>
      </c>
      <c r="AB627" t="s">
        <v>48</v>
      </c>
      <c r="AC627" t="s">
        <v>36</v>
      </c>
    </row>
    <row r="628" spans="1:29" x14ac:dyDescent="0.25">
      <c r="A628">
        <v>662</v>
      </c>
      <c r="B628">
        <v>2055</v>
      </c>
      <c r="C628">
        <v>5704</v>
      </c>
      <c r="D628">
        <v>7759</v>
      </c>
      <c r="E628" t="s">
        <v>29</v>
      </c>
      <c r="F628">
        <v>52</v>
      </c>
      <c r="G628" t="s">
        <v>53</v>
      </c>
      <c r="H628" t="s">
        <v>30</v>
      </c>
      <c r="I628">
        <v>2</v>
      </c>
      <c r="J628" t="s">
        <v>62</v>
      </c>
      <c r="K628">
        <v>694</v>
      </c>
      <c r="L628" t="s">
        <v>63</v>
      </c>
      <c r="M628">
        <v>0</v>
      </c>
      <c r="N628" t="s">
        <v>36</v>
      </c>
      <c r="O628">
        <v>0.14000000000000001</v>
      </c>
      <c r="P628" t="s">
        <v>59</v>
      </c>
      <c r="Q628">
        <v>12459</v>
      </c>
      <c r="R628">
        <v>40985</v>
      </c>
      <c r="S628" t="s">
        <v>44</v>
      </c>
      <c r="T628">
        <v>31104</v>
      </c>
      <c r="U628" t="s">
        <v>64</v>
      </c>
      <c r="V628">
        <v>84</v>
      </c>
      <c r="W628">
        <v>7</v>
      </c>
      <c r="X628" t="s">
        <v>31</v>
      </c>
      <c r="Y628" t="s">
        <v>32</v>
      </c>
      <c r="Z628" t="s">
        <v>39</v>
      </c>
      <c r="AA628" t="s">
        <v>40</v>
      </c>
      <c r="AB628" t="s">
        <v>48</v>
      </c>
      <c r="AC628" t="s">
        <v>36</v>
      </c>
    </row>
    <row r="629" spans="1:29" x14ac:dyDescent="0.25">
      <c r="A629">
        <v>663</v>
      </c>
      <c r="B629">
        <v>15013</v>
      </c>
      <c r="C629">
        <v>7848</v>
      </c>
      <c r="D629">
        <v>22861</v>
      </c>
      <c r="E629" t="s">
        <v>29</v>
      </c>
      <c r="F629">
        <v>37</v>
      </c>
      <c r="G629" t="s">
        <v>65</v>
      </c>
      <c r="H629" t="s">
        <v>41</v>
      </c>
      <c r="I629">
        <v>1</v>
      </c>
      <c r="J629" t="s">
        <v>68</v>
      </c>
      <c r="K629">
        <v>556</v>
      </c>
      <c r="L629" t="s">
        <v>66</v>
      </c>
      <c r="M629">
        <v>1</v>
      </c>
      <c r="N629" t="s">
        <v>44</v>
      </c>
      <c r="O629">
        <v>0.35</v>
      </c>
      <c r="P629" t="s">
        <v>67</v>
      </c>
      <c r="Q629">
        <v>16877</v>
      </c>
      <c r="R629">
        <v>32009</v>
      </c>
      <c r="S629" t="s">
        <v>44</v>
      </c>
      <c r="T629">
        <v>38594</v>
      </c>
      <c r="U629" t="s">
        <v>60</v>
      </c>
      <c r="V629">
        <v>84</v>
      </c>
      <c r="W629">
        <v>7</v>
      </c>
      <c r="X629" t="s">
        <v>47</v>
      </c>
      <c r="Y629" t="s">
        <v>38</v>
      </c>
      <c r="Z629" t="s">
        <v>39</v>
      </c>
      <c r="AA629" t="s">
        <v>40</v>
      </c>
      <c r="AB629" t="s">
        <v>42</v>
      </c>
      <c r="AC629" t="s">
        <v>36</v>
      </c>
    </row>
    <row r="630" spans="1:29" x14ac:dyDescent="0.25">
      <c r="A630">
        <v>664</v>
      </c>
      <c r="B630">
        <v>10717</v>
      </c>
      <c r="C630">
        <v>5208</v>
      </c>
      <c r="D630">
        <v>15925</v>
      </c>
      <c r="E630" t="s">
        <v>48</v>
      </c>
      <c r="F630">
        <v>55</v>
      </c>
      <c r="G630" t="s">
        <v>69</v>
      </c>
      <c r="H630" t="s">
        <v>30</v>
      </c>
      <c r="I630">
        <v>0</v>
      </c>
      <c r="J630" t="s">
        <v>54</v>
      </c>
      <c r="K630">
        <v>562</v>
      </c>
      <c r="L630" t="s">
        <v>66</v>
      </c>
      <c r="M630">
        <v>2</v>
      </c>
      <c r="N630" t="s">
        <v>44</v>
      </c>
      <c r="O630">
        <v>0.19</v>
      </c>
      <c r="P630" t="s">
        <v>59</v>
      </c>
      <c r="Q630">
        <v>17810</v>
      </c>
      <c r="R630">
        <v>16558</v>
      </c>
      <c r="S630" t="s">
        <v>44</v>
      </c>
      <c r="T630">
        <v>0</v>
      </c>
      <c r="U630" t="s">
        <v>73</v>
      </c>
      <c r="V630">
        <v>36</v>
      </c>
      <c r="W630">
        <v>3</v>
      </c>
      <c r="X630" t="s">
        <v>42</v>
      </c>
      <c r="Y630" t="s">
        <v>45</v>
      </c>
      <c r="Z630" t="s">
        <v>39</v>
      </c>
      <c r="AA630" t="s">
        <v>40</v>
      </c>
      <c r="AB630" t="s">
        <v>35</v>
      </c>
      <c r="AC630" t="s">
        <v>36</v>
      </c>
    </row>
    <row r="631" spans="1:29" x14ac:dyDescent="0.25">
      <c r="A631">
        <v>665</v>
      </c>
      <c r="B631">
        <v>10150</v>
      </c>
      <c r="C631">
        <v>6924</v>
      </c>
      <c r="D631">
        <v>17074</v>
      </c>
      <c r="E631" t="s">
        <v>29</v>
      </c>
      <c r="F631">
        <v>57</v>
      </c>
      <c r="G631" t="s">
        <v>69</v>
      </c>
      <c r="H631" t="s">
        <v>41</v>
      </c>
      <c r="I631">
        <v>1</v>
      </c>
      <c r="J631" t="s">
        <v>68</v>
      </c>
      <c r="K631">
        <v>669</v>
      </c>
      <c r="L631" t="s">
        <v>55</v>
      </c>
      <c r="M631">
        <v>1</v>
      </c>
      <c r="N631" t="s">
        <v>44</v>
      </c>
      <c r="O631">
        <v>0.39</v>
      </c>
      <c r="P631" t="s">
        <v>67</v>
      </c>
      <c r="Q631">
        <v>9884</v>
      </c>
      <c r="R631">
        <v>17718</v>
      </c>
      <c r="S631" t="s">
        <v>44</v>
      </c>
      <c r="T631">
        <v>11528</v>
      </c>
      <c r="U631" t="s">
        <v>57</v>
      </c>
      <c r="V631">
        <v>12</v>
      </c>
      <c r="W631">
        <v>1</v>
      </c>
      <c r="X631" t="s">
        <v>50</v>
      </c>
      <c r="Y631" t="s">
        <v>45</v>
      </c>
      <c r="Z631" t="s">
        <v>39</v>
      </c>
      <c r="AA631" t="s">
        <v>34</v>
      </c>
      <c r="AB631" t="s">
        <v>35</v>
      </c>
      <c r="AC631" t="s">
        <v>44</v>
      </c>
    </row>
    <row r="632" spans="1:29" x14ac:dyDescent="0.25">
      <c r="A632">
        <v>666</v>
      </c>
      <c r="B632">
        <v>4125</v>
      </c>
      <c r="C632">
        <v>3828</v>
      </c>
      <c r="D632">
        <v>7953</v>
      </c>
      <c r="E632" t="s">
        <v>29</v>
      </c>
      <c r="F632">
        <v>39</v>
      </c>
      <c r="G632" t="s">
        <v>65</v>
      </c>
      <c r="H632" t="s">
        <v>41</v>
      </c>
      <c r="I632">
        <v>0</v>
      </c>
      <c r="J632" t="s">
        <v>54</v>
      </c>
      <c r="K632">
        <v>615</v>
      </c>
      <c r="L632" t="s">
        <v>55</v>
      </c>
      <c r="M632">
        <v>3</v>
      </c>
      <c r="N632" t="s">
        <v>44</v>
      </c>
      <c r="O632">
        <v>0.35</v>
      </c>
      <c r="P632" t="s">
        <v>67</v>
      </c>
      <c r="Q632">
        <v>18177</v>
      </c>
      <c r="R632">
        <v>16705</v>
      </c>
      <c r="S632" t="s">
        <v>44</v>
      </c>
      <c r="T632">
        <v>29190</v>
      </c>
      <c r="U632" t="s">
        <v>64</v>
      </c>
      <c r="V632">
        <v>72</v>
      </c>
      <c r="W632">
        <v>6</v>
      </c>
      <c r="X632" t="s">
        <v>37</v>
      </c>
      <c r="Y632" t="s">
        <v>32</v>
      </c>
      <c r="Z632" t="s">
        <v>39</v>
      </c>
      <c r="AA632" t="s">
        <v>40</v>
      </c>
      <c r="AB632" t="s">
        <v>35</v>
      </c>
      <c r="AC632" t="s">
        <v>36</v>
      </c>
    </row>
    <row r="633" spans="1:29" x14ac:dyDescent="0.25">
      <c r="A633">
        <v>668</v>
      </c>
      <c r="B633">
        <v>17745</v>
      </c>
      <c r="C633">
        <v>0</v>
      </c>
      <c r="D633">
        <v>17745</v>
      </c>
      <c r="E633" t="s">
        <v>29</v>
      </c>
      <c r="F633">
        <v>27</v>
      </c>
      <c r="G633" t="s">
        <v>61</v>
      </c>
      <c r="H633" t="s">
        <v>41</v>
      </c>
      <c r="I633">
        <v>3</v>
      </c>
      <c r="J633" t="s">
        <v>58</v>
      </c>
      <c r="K633">
        <v>687</v>
      </c>
      <c r="L633" t="s">
        <v>63</v>
      </c>
      <c r="M633">
        <v>3</v>
      </c>
      <c r="N633" t="s">
        <v>44</v>
      </c>
      <c r="O633">
        <v>0.47</v>
      </c>
      <c r="P633" t="s">
        <v>70</v>
      </c>
      <c r="Q633">
        <v>17042</v>
      </c>
      <c r="R633">
        <v>12342</v>
      </c>
      <c r="S633" t="s">
        <v>44</v>
      </c>
      <c r="T633">
        <v>8641</v>
      </c>
      <c r="U633" t="s">
        <v>57</v>
      </c>
      <c r="V633">
        <v>84</v>
      </c>
      <c r="W633">
        <v>7</v>
      </c>
      <c r="X633" t="s">
        <v>42</v>
      </c>
      <c r="Y633" t="s">
        <v>45</v>
      </c>
      <c r="Z633" t="s">
        <v>39</v>
      </c>
      <c r="AA633" t="s">
        <v>34</v>
      </c>
      <c r="AB633" t="s">
        <v>51</v>
      </c>
      <c r="AC633" t="s">
        <v>36</v>
      </c>
    </row>
    <row r="634" spans="1:29" x14ac:dyDescent="0.25">
      <c r="A634">
        <v>669</v>
      </c>
      <c r="B634">
        <v>18748</v>
      </c>
      <c r="C634">
        <v>7114</v>
      </c>
      <c r="D634">
        <v>25862</v>
      </c>
      <c r="E634" t="s">
        <v>52</v>
      </c>
      <c r="F634">
        <v>48</v>
      </c>
      <c r="G634" t="s">
        <v>53</v>
      </c>
      <c r="H634" t="s">
        <v>30</v>
      </c>
      <c r="I634">
        <v>0</v>
      </c>
      <c r="J634" t="s">
        <v>54</v>
      </c>
      <c r="K634">
        <v>780</v>
      </c>
      <c r="L634" t="s">
        <v>71</v>
      </c>
      <c r="M634">
        <v>3</v>
      </c>
      <c r="N634" t="s">
        <v>44</v>
      </c>
      <c r="O634">
        <v>0.27</v>
      </c>
      <c r="P634" t="s">
        <v>59</v>
      </c>
      <c r="Q634">
        <v>4761</v>
      </c>
      <c r="R634">
        <v>12239</v>
      </c>
      <c r="S634" t="s">
        <v>44</v>
      </c>
      <c r="T634">
        <v>5643</v>
      </c>
      <c r="U634" t="s">
        <v>57</v>
      </c>
      <c r="V634">
        <v>12</v>
      </c>
      <c r="W634">
        <v>1</v>
      </c>
      <c r="X634" t="s">
        <v>42</v>
      </c>
      <c r="Y634" t="s">
        <v>45</v>
      </c>
      <c r="Z634" t="s">
        <v>39</v>
      </c>
      <c r="AA634" t="s">
        <v>34</v>
      </c>
      <c r="AB634" t="s">
        <v>43</v>
      </c>
      <c r="AC634" t="s">
        <v>44</v>
      </c>
    </row>
    <row r="635" spans="1:29" x14ac:dyDescent="0.25">
      <c r="A635">
        <v>670</v>
      </c>
      <c r="B635">
        <v>8809</v>
      </c>
      <c r="C635">
        <v>9539</v>
      </c>
      <c r="D635">
        <v>18348</v>
      </c>
      <c r="E635" t="s">
        <v>29</v>
      </c>
      <c r="F635">
        <v>29</v>
      </c>
      <c r="G635" t="s">
        <v>61</v>
      </c>
      <c r="H635" t="s">
        <v>30</v>
      </c>
      <c r="I635">
        <v>3</v>
      </c>
      <c r="J635" t="s">
        <v>58</v>
      </c>
      <c r="K635">
        <v>637</v>
      </c>
      <c r="L635" t="s">
        <v>55</v>
      </c>
      <c r="M635">
        <v>3</v>
      </c>
      <c r="N635" t="s">
        <v>44</v>
      </c>
      <c r="O635">
        <v>0.48</v>
      </c>
      <c r="P635" t="s">
        <v>70</v>
      </c>
      <c r="Q635">
        <v>7630</v>
      </c>
      <c r="R635">
        <v>46622</v>
      </c>
      <c r="S635" t="s">
        <v>44</v>
      </c>
      <c r="T635">
        <v>6056</v>
      </c>
      <c r="U635" t="s">
        <v>57</v>
      </c>
      <c r="V635">
        <v>24</v>
      </c>
      <c r="W635">
        <v>2</v>
      </c>
      <c r="X635" t="s">
        <v>47</v>
      </c>
      <c r="Y635" t="s">
        <v>32</v>
      </c>
      <c r="Z635" t="s">
        <v>39</v>
      </c>
      <c r="AA635" t="s">
        <v>34</v>
      </c>
      <c r="AB635" t="s">
        <v>43</v>
      </c>
      <c r="AC635" t="s">
        <v>36</v>
      </c>
    </row>
    <row r="636" spans="1:29" x14ac:dyDescent="0.25">
      <c r="A636">
        <v>671</v>
      </c>
      <c r="B636">
        <v>6621</v>
      </c>
      <c r="C636">
        <v>3173</v>
      </c>
      <c r="D636">
        <v>9794</v>
      </c>
      <c r="E636" t="s">
        <v>49</v>
      </c>
      <c r="F636">
        <v>48</v>
      </c>
      <c r="G636" t="s">
        <v>53</v>
      </c>
      <c r="H636" t="s">
        <v>41</v>
      </c>
      <c r="I636">
        <v>0</v>
      </c>
      <c r="J636" t="s">
        <v>54</v>
      </c>
      <c r="K636">
        <v>566</v>
      </c>
      <c r="L636" t="s">
        <v>66</v>
      </c>
      <c r="M636">
        <v>1</v>
      </c>
      <c r="N636" t="s">
        <v>44</v>
      </c>
      <c r="O636">
        <v>0.32</v>
      </c>
      <c r="P636" t="s">
        <v>67</v>
      </c>
      <c r="Q636">
        <v>16375</v>
      </c>
      <c r="R636">
        <v>46665</v>
      </c>
      <c r="S636" t="s">
        <v>44</v>
      </c>
      <c r="T636">
        <v>33899</v>
      </c>
      <c r="U636" t="s">
        <v>64</v>
      </c>
      <c r="V636">
        <v>72</v>
      </c>
      <c r="W636">
        <v>6</v>
      </c>
      <c r="X636" t="s">
        <v>37</v>
      </c>
      <c r="Y636" t="s">
        <v>32</v>
      </c>
      <c r="Z636" t="s">
        <v>39</v>
      </c>
      <c r="AA636" t="s">
        <v>40</v>
      </c>
      <c r="AB636" t="s">
        <v>35</v>
      </c>
      <c r="AC636" t="s">
        <v>36</v>
      </c>
    </row>
    <row r="637" spans="1:29" x14ac:dyDescent="0.25">
      <c r="A637">
        <v>672</v>
      </c>
      <c r="B637">
        <v>17034</v>
      </c>
      <c r="C637">
        <v>1667</v>
      </c>
      <c r="D637">
        <v>18701</v>
      </c>
      <c r="E637" t="s">
        <v>29</v>
      </c>
      <c r="F637">
        <v>26</v>
      </c>
      <c r="G637" t="s">
        <v>61</v>
      </c>
      <c r="H637" t="s">
        <v>30</v>
      </c>
      <c r="I637">
        <v>3</v>
      </c>
      <c r="J637" t="s">
        <v>58</v>
      </c>
      <c r="K637">
        <v>601</v>
      </c>
      <c r="L637" t="s">
        <v>55</v>
      </c>
      <c r="M637">
        <v>2</v>
      </c>
      <c r="N637" t="s">
        <v>44</v>
      </c>
      <c r="O637">
        <v>0.34</v>
      </c>
      <c r="P637" t="s">
        <v>67</v>
      </c>
      <c r="Q637">
        <v>8741</v>
      </c>
      <c r="R637">
        <v>32274</v>
      </c>
      <c r="S637" t="s">
        <v>44</v>
      </c>
      <c r="T637">
        <v>0</v>
      </c>
      <c r="U637" t="s">
        <v>73</v>
      </c>
      <c r="V637">
        <v>36</v>
      </c>
      <c r="W637">
        <v>3</v>
      </c>
      <c r="X637" t="s">
        <v>42</v>
      </c>
      <c r="Y637" t="s">
        <v>38</v>
      </c>
      <c r="Z637" t="s">
        <v>33</v>
      </c>
      <c r="AA637" t="s">
        <v>34</v>
      </c>
      <c r="AB637" t="s">
        <v>43</v>
      </c>
      <c r="AC637" t="s">
        <v>36</v>
      </c>
    </row>
    <row r="638" spans="1:29" x14ac:dyDescent="0.25">
      <c r="A638">
        <v>673</v>
      </c>
      <c r="B638">
        <v>15623</v>
      </c>
      <c r="C638">
        <v>9829</v>
      </c>
      <c r="D638">
        <v>25452</v>
      </c>
      <c r="E638" t="s">
        <v>29</v>
      </c>
      <c r="F638">
        <v>49</v>
      </c>
      <c r="G638" t="s">
        <v>53</v>
      </c>
      <c r="H638" t="s">
        <v>30</v>
      </c>
      <c r="I638">
        <v>2</v>
      </c>
      <c r="J638" t="s">
        <v>62</v>
      </c>
      <c r="K638">
        <v>683</v>
      </c>
      <c r="L638" t="s">
        <v>63</v>
      </c>
      <c r="M638">
        <v>1</v>
      </c>
      <c r="N638" t="s">
        <v>44</v>
      </c>
      <c r="O638">
        <v>0.42</v>
      </c>
      <c r="P638" t="s">
        <v>70</v>
      </c>
      <c r="Q638">
        <v>4350</v>
      </c>
      <c r="R638">
        <v>11419</v>
      </c>
      <c r="S638" t="s">
        <v>44</v>
      </c>
      <c r="T638">
        <v>18241</v>
      </c>
      <c r="U638" t="s">
        <v>57</v>
      </c>
      <c r="V638">
        <v>60</v>
      </c>
      <c r="W638">
        <v>5</v>
      </c>
      <c r="X638" t="s">
        <v>47</v>
      </c>
      <c r="Y638" t="s">
        <v>45</v>
      </c>
      <c r="Z638" t="s">
        <v>39</v>
      </c>
      <c r="AA638" t="s">
        <v>34</v>
      </c>
      <c r="AB638" t="s">
        <v>42</v>
      </c>
      <c r="AC638" t="s">
        <v>36</v>
      </c>
    </row>
    <row r="639" spans="1:29" x14ac:dyDescent="0.25">
      <c r="A639">
        <v>674</v>
      </c>
      <c r="B639">
        <v>7126</v>
      </c>
      <c r="C639">
        <v>4114</v>
      </c>
      <c r="D639">
        <v>11240</v>
      </c>
      <c r="E639" t="s">
        <v>29</v>
      </c>
      <c r="F639">
        <v>37</v>
      </c>
      <c r="G639" t="s">
        <v>65</v>
      </c>
      <c r="H639" t="s">
        <v>30</v>
      </c>
      <c r="I639">
        <v>2</v>
      </c>
      <c r="J639" t="s">
        <v>62</v>
      </c>
      <c r="K639">
        <v>760</v>
      </c>
      <c r="L639" t="s">
        <v>71</v>
      </c>
      <c r="M639">
        <v>2</v>
      </c>
      <c r="N639" t="s">
        <v>44</v>
      </c>
      <c r="O639">
        <v>0.11</v>
      </c>
      <c r="P639" t="s">
        <v>59</v>
      </c>
      <c r="Q639">
        <v>207</v>
      </c>
      <c r="R639">
        <v>42832</v>
      </c>
      <c r="S639" t="s">
        <v>44</v>
      </c>
      <c r="T639">
        <v>9712</v>
      </c>
      <c r="U639" t="s">
        <v>57</v>
      </c>
      <c r="V639">
        <v>48</v>
      </c>
      <c r="W639">
        <v>4</v>
      </c>
      <c r="X639" t="s">
        <v>42</v>
      </c>
      <c r="Y639" t="s">
        <v>45</v>
      </c>
      <c r="Z639" t="s">
        <v>39</v>
      </c>
      <c r="AA639" t="s">
        <v>34</v>
      </c>
      <c r="AB639" t="s">
        <v>43</v>
      </c>
      <c r="AC639" t="s">
        <v>44</v>
      </c>
    </row>
    <row r="640" spans="1:29" x14ac:dyDescent="0.25">
      <c r="A640">
        <v>677</v>
      </c>
      <c r="B640">
        <v>7870</v>
      </c>
      <c r="C640">
        <v>1000</v>
      </c>
      <c r="D640">
        <v>8870</v>
      </c>
      <c r="E640" t="s">
        <v>46</v>
      </c>
      <c r="F640">
        <v>51</v>
      </c>
      <c r="G640" t="s">
        <v>53</v>
      </c>
      <c r="H640" t="s">
        <v>30</v>
      </c>
      <c r="I640">
        <v>2</v>
      </c>
      <c r="J640" t="s">
        <v>62</v>
      </c>
      <c r="K640">
        <v>751</v>
      </c>
      <c r="L640" t="s">
        <v>71</v>
      </c>
      <c r="M640">
        <v>1</v>
      </c>
      <c r="N640" t="s">
        <v>44</v>
      </c>
      <c r="O640">
        <v>0.25</v>
      </c>
      <c r="P640" t="s">
        <v>59</v>
      </c>
      <c r="Q640">
        <v>2886</v>
      </c>
      <c r="R640">
        <v>21988</v>
      </c>
      <c r="S640" t="s">
        <v>44</v>
      </c>
      <c r="T640">
        <v>16660</v>
      </c>
      <c r="U640" t="s">
        <v>57</v>
      </c>
      <c r="V640">
        <v>12</v>
      </c>
      <c r="W640">
        <v>1</v>
      </c>
      <c r="X640" t="s">
        <v>31</v>
      </c>
      <c r="Y640" t="s">
        <v>45</v>
      </c>
      <c r="Z640" t="s">
        <v>33</v>
      </c>
      <c r="AA640" t="s">
        <v>40</v>
      </c>
      <c r="AB640" t="s">
        <v>35</v>
      </c>
      <c r="AC640" t="s">
        <v>44</v>
      </c>
    </row>
    <row r="641" spans="1:29" x14ac:dyDescent="0.25">
      <c r="A641">
        <v>678</v>
      </c>
      <c r="B641">
        <v>3531</v>
      </c>
      <c r="C641">
        <v>9042</v>
      </c>
      <c r="D641">
        <v>12573</v>
      </c>
      <c r="E641" t="s">
        <v>29</v>
      </c>
      <c r="F641">
        <v>23</v>
      </c>
      <c r="G641" t="s">
        <v>72</v>
      </c>
      <c r="H641" t="s">
        <v>30</v>
      </c>
      <c r="I641">
        <v>1</v>
      </c>
      <c r="J641" t="s">
        <v>68</v>
      </c>
      <c r="K641">
        <v>686</v>
      </c>
      <c r="L641" t="s">
        <v>63</v>
      </c>
      <c r="M641">
        <v>2</v>
      </c>
      <c r="N641" t="s">
        <v>44</v>
      </c>
      <c r="O641">
        <v>0.14000000000000001</v>
      </c>
      <c r="P641" t="s">
        <v>59</v>
      </c>
      <c r="Q641">
        <v>16861</v>
      </c>
      <c r="R641">
        <v>43027</v>
      </c>
      <c r="S641" t="s">
        <v>44</v>
      </c>
      <c r="T641">
        <v>39915</v>
      </c>
      <c r="U641" t="s">
        <v>60</v>
      </c>
      <c r="V641">
        <v>48</v>
      </c>
      <c r="W641">
        <v>4</v>
      </c>
      <c r="X641" t="s">
        <v>37</v>
      </c>
      <c r="Y641" t="s">
        <v>32</v>
      </c>
      <c r="Z641" t="s">
        <v>39</v>
      </c>
      <c r="AA641" t="s">
        <v>40</v>
      </c>
      <c r="AB641" t="s">
        <v>48</v>
      </c>
      <c r="AC641" t="s">
        <v>36</v>
      </c>
    </row>
    <row r="642" spans="1:29" x14ac:dyDescent="0.25">
      <c r="A642">
        <v>679</v>
      </c>
      <c r="B642">
        <v>10172</v>
      </c>
      <c r="C642">
        <v>1388</v>
      </c>
      <c r="D642">
        <v>11560</v>
      </c>
      <c r="E642" t="s">
        <v>46</v>
      </c>
      <c r="F642">
        <v>41</v>
      </c>
      <c r="G642" t="s">
        <v>65</v>
      </c>
      <c r="H642" t="s">
        <v>30</v>
      </c>
      <c r="I642">
        <v>0</v>
      </c>
      <c r="J642" t="s">
        <v>54</v>
      </c>
      <c r="K642">
        <v>768</v>
      </c>
      <c r="L642" t="s">
        <v>71</v>
      </c>
      <c r="M642">
        <v>4</v>
      </c>
      <c r="N642" t="s">
        <v>44</v>
      </c>
      <c r="O642">
        <v>0.15</v>
      </c>
      <c r="P642" t="s">
        <v>59</v>
      </c>
      <c r="Q642">
        <v>8953</v>
      </c>
      <c r="R642">
        <v>24908</v>
      </c>
      <c r="S642" t="s">
        <v>44</v>
      </c>
      <c r="T642">
        <v>0</v>
      </c>
      <c r="U642" t="s">
        <v>73</v>
      </c>
      <c r="V642">
        <v>72</v>
      </c>
      <c r="W642">
        <v>6</v>
      </c>
      <c r="X642" t="s">
        <v>37</v>
      </c>
      <c r="Y642" t="s">
        <v>45</v>
      </c>
      <c r="Z642" t="s">
        <v>39</v>
      </c>
      <c r="AA642" t="s">
        <v>34</v>
      </c>
      <c r="AB642" t="s">
        <v>35</v>
      </c>
      <c r="AC642" t="s">
        <v>44</v>
      </c>
    </row>
    <row r="643" spans="1:29" x14ac:dyDescent="0.25">
      <c r="A643">
        <v>680</v>
      </c>
      <c r="B643">
        <v>9673</v>
      </c>
      <c r="C643">
        <v>5450</v>
      </c>
      <c r="D643">
        <v>15123</v>
      </c>
      <c r="E643" t="s">
        <v>52</v>
      </c>
      <c r="F643">
        <v>46</v>
      </c>
      <c r="G643" t="s">
        <v>53</v>
      </c>
      <c r="H643" t="s">
        <v>30</v>
      </c>
      <c r="I643">
        <v>3</v>
      </c>
      <c r="J643" t="s">
        <v>58</v>
      </c>
      <c r="K643">
        <v>754</v>
      </c>
      <c r="L643" t="s">
        <v>71</v>
      </c>
      <c r="M643">
        <v>0</v>
      </c>
      <c r="N643" t="s">
        <v>36</v>
      </c>
      <c r="O643">
        <v>0.56000000000000005</v>
      </c>
      <c r="P643" t="s">
        <v>56</v>
      </c>
      <c r="Q643">
        <v>8381</v>
      </c>
      <c r="R643">
        <v>5674</v>
      </c>
      <c r="S643" t="s">
        <v>44</v>
      </c>
      <c r="T643">
        <v>38372</v>
      </c>
      <c r="U643" t="s">
        <v>60</v>
      </c>
      <c r="V643">
        <v>36</v>
      </c>
      <c r="W643">
        <v>3</v>
      </c>
      <c r="X643" t="s">
        <v>37</v>
      </c>
      <c r="Y643" t="s">
        <v>38</v>
      </c>
      <c r="Z643" t="s">
        <v>39</v>
      </c>
      <c r="AA643" t="s">
        <v>34</v>
      </c>
      <c r="AB643" t="s">
        <v>48</v>
      </c>
      <c r="AC643" t="s">
        <v>36</v>
      </c>
    </row>
    <row r="644" spans="1:29" x14ac:dyDescent="0.25">
      <c r="A644">
        <v>681</v>
      </c>
      <c r="B644">
        <v>8882</v>
      </c>
      <c r="C644">
        <v>0</v>
      </c>
      <c r="D644">
        <v>8882</v>
      </c>
      <c r="E644" t="s">
        <v>29</v>
      </c>
      <c r="F644">
        <v>56</v>
      </c>
      <c r="G644" t="s">
        <v>69</v>
      </c>
      <c r="H644" t="s">
        <v>30</v>
      </c>
      <c r="I644">
        <v>3</v>
      </c>
      <c r="J644" t="s">
        <v>58</v>
      </c>
      <c r="K644">
        <v>760</v>
      </c>
      <c r="L644" t="s">
        <v>71</v>
      </c>
      <c r="M644">
        <v>4</v>
      </c>
      <c r="N644" t="s">
        <v>44</v>
      </c>
      <c r="O644">
        <v>0.44</v>
      </c>
      <c r="P644" t="s">
        <v>70</v>
      </c>
      <c r="Q644">
        <v>13795</v>
      </c>
      <c r="R644">
        <v>5002</v>
      </c>
      <c r="S644" t="s">
        <v>44</v>
      </c>
      <c r="T644">
        <v>18942</v>
      </c>
      <c r="U644" t="s">
        <v>57</v>
      </c>
      <c r="V644">
        <v>84</v>
      </c>
      <c r="W644">
        <v>7</v>
      </c>
      <c r="X644" t="s">
        <v>47</v>
      </c>
      <c r="Y644" t="s">
        <v>45</v>
      </c>
      <c r="Z644" t="s">
        <v>39</v>
      </c>
      <c r="AA644" t="s">
        <v>40</v>
      </c>
      <c r="AB644" t="s">
        <v>35</v>
      </c>
      <c r="AC644" t="s">
        <v>36</v>
      </c>
    </row>
    <row r="645" spans="1:29" x14ac:dyDescent="0.25">
      <c r="A645">
        <v>682</v>
      </c>
      <c r="B645">
        <v>3906</v>
      </c>
      <c r="C645">
        <v>1367</v>
      </c>
      <c r="D645">
        <v>5273</v>
      </c>
      <c r="E645" t="s">
        <v>48</v>
      </c>
      <c r="F645">
        <v>40</v>
      </c>
      <c r="G645" t="s">
        <v>65</v>
      </c>
      <c r="H645" t="s">
        <v>30</v>
      </c>
      <c r="I645">
        <v>3</v>
      </c>
      <c r="J645" t="s">
        <v>58</v>
      </c>
      <c r="K645">
        <v>570</v>
      </c>
      <c r="L645" t="s">
        <v>66</v>
      </c>
      <c r="M645">
        <v>1</v>
      </c>
      <c r="N645" t="s">
        <v>44</v>
      </c>
      <c r="O645">
        <v>0.16</v>
      </c>
      <c r="P645" t="s">
        <v>59</v>
      </c>
      <c r="Q645">
        <v>17139</v>
      </c>
      <c r="R645">
        <v>27567</v>
      </c>
      <c r="S645" t="s">
        <v>44</v>
      </c>
      <c r="T645">
        <v>0</v>
      </c>
      <c r="U645" t="s">
        <v>73</v>
      </c>
      <c r="V645">
        <v>84</v>
      </c>
      <c r="W645">
        <v>7</v>
      </c>
      <c r="X645" t="s">
        <v>42</v>
      </c>
      <c r="Y645" t="s">
        <v>32</v>
      </c>
      <c r="Z645" t="s">
        <v>39</v>
      </c>
      <c r="AA645" t="s">
        <v>34</v>
      </c>
      <c r="AB645" t="s">
        <v>35</v>
      </c>
      <c r="AC645" t="s">
        <v>36</v>
      </c>
    </row>
    <row r="646" spans="1:29" x14ac:dyDescent="0.25">
      <c r="A646">
        <v>683</v>
      </c>
      <c r="B646">
        <v>5086</v>
      </c>
      <c r="C646">
        <v>8189</v>
      </c>
      <c r="D646">
        <v>13275</v>
      </c>
      <c r="E646" t="s">
        <v>49</v>
      </c>
      <c r="F646">
        <v>40</v>
      </c>
      <c r="G646" t="s">
        <v>65</v>
      </c>
      <c r="H646" t="s">
        <v>41</v>
      </c>
      <c r="I646">
        <v>0</v>
      </c>
      <c r="J646" t="s">
        <v>54</v>
      </c>
      <c r="K646">
        <v>573</v>
      </c>
      <c r="L646" t="s">
        <v>66</v>
      </c>
      <c r="M646">
        <v>1</v>
      </c>
      <c r="N646" t="s">
        <v>44</v>
      </c>
      <c r="O646">
        <v>0.28000000000000003</v>
      </c>
      <c r="P646" t="s">
        <v>59</v>
      </c>
      <c r="Q646">
        <v>9638</v>
      </c>
      <c r="R646">
        <v>910</v>
      </c>
      <c r="S646" t="s">
        <v>44</v>
      </c>
      <c r="T646">
        <v>2607</v>
      </c>
      <c r="U646" t="s">
        <v>73</v>
      </c>
      <c r="V646">
        <v>60</v>
      </c>
      <c r="W646">
        <v>5</v>
      </c>
      <c r="X646" t="s">
        <v>37</v>
      </c>
      <c r="Y646" t="s">
        <v>32</v>
      </c>
      <c r="Z646" t="s">
        <v>39</v>
      </c>
      <c r="AA646" t="s">
        <v>40</v>
      </c>
      <c r="AB646" t="s">
        <v>42</v>
      </c>
      <c r="AC646" t="s">
        <v>36</v>
      </c>
    </row>
    <row r="647" spans="1:29" x14ac:dyDescent="0.25">
      <c r="A647">
        <v>684</v>
      </c>
      <c r="B647">
        <v>15503</v>
      </c>
      <c r="C647">
        <v>9013</v>
      </c>
      <c r="D647">
        <v>24516</v>
      </c>
      <c r="E647" t="s">
        <v>48</v>
      </c>
      <c r="F647">
        <v>32</v>
      </c>
      <c r="G647" t="s">
        <v>61</v>
      </c>
      <c r="H647" t="s">
        <v>30</v>
      </c>
      <c r="I647">
        <v>1</v>
      </c>
      <c r="J647" t="s">
        <v>68</v>
      </c>
      <c r="K647">
        <v>779</v>
      </c>
      <c r="L647" t="s">
        <v>71</v>
      </c>
      <c r="M647">
        <v>1</v>
      </c>
      <c r="N647" t="s">
        <v>44</v>
      </c>
      <c r="O647">
        <v>0.4</v>
      </c>
      <c r="P647" t="s">
        <v>67</v>
      </c>
      <c r="Q647">
        <v>4931</v>
      </c>
      <c r="R647">
        <v>29072</v>
      </c>
      <c r="S647" t="s">
        <v>44</v>
      </c>
      <c r="T647">
        <v>0</v>
      </c>
      <c r="U647" t="s">
        <v>73</v>
      </c>
      <c r="V647">
        <v>72</v>
      </c>
      <c r="W647">
        <v>6</v>
      </c>
      <c r="X647" t="s">
        <v>37</v>
      </c>
      <c r="Y647" t="s">
        <v>45</v>
      </c>
      <c r="Z647" t="s">
        <v>33</v>
      </c>
      <c r="AA647" t="s">
        <v>40</v>
      </c>
      <c r="AB647" t="s">
        <v>51</v>
      </c>
      <c r="AC647" t="s">
        <v>36</v>
      </c>
    </row>
    <row r="648" spans="1:29" x14ac:dyDescent="0.25">
      <c r="A648">
        <v>685</v>
      </c>
      <c r="B648">
        <v>10152</v>
      </c>
      <c r="C648">
        <v>454</v>
      </c>
      <c r="D648">
        <v>10606</v>
      </c>
      <c r="E648" t="s">
        <v>29</v>
      </c>
      <c r="F648">
        <v>33</v>
      </c>
      <c r="G648" t="s">
        <v>61</v>
      </c>
      <c r="H648" t="s">
        <v>30</v>
      </c>
      <c r="I648">
        <v>2</v>
      </c>
      <c r="J648" t="s">
        <v>62</v>
      </c>
      <c r="K648">
        <v>553</v>
      </c>
      <c r="L648" t="s">
        <v>66</v>
      </c>
      <c r="M648">
        <v>2</v>
      </c>
      <c r="N648" t="s">
        <v>44</v>
      </c>
      <c r="O648">
        <v>0.52</v>
      </c>
      <c r="P648" t="s">
        <v>56</v>
      </c>
      <c r="Q648">
        <v>9855</v>
      </c>
      <c r="R648">
        <v>33717</v>
      </c>
      <c r="S648" t="s">
        <v>44</v>
      </c>
      <c r="T648">
        <v>4574</v>
      </c>
      <c r="U648" t="s">
        <v>73</v>
      </c>
      <c r="V648">
        <v>24</v>
      </c>
      <c r="W648">
        <v>2</v>
      </c>
      <c r="X648" t="s">
        <v>31</v>
      </c>
      <c r="Y648" t="s">
        <v>38</v>
      </c>
      <c r="Z648" t="s">
        <v>33</v>
      </c>
      <c r="AA648" t="s">
        <v>40</v>
      </c>
      <c r="AB648" t="s">
        <v>43</v>
      </c>
      <c r="AC648" t="s">
        <v>36</v>
      </c>
    </row>
    <row r="649" spans="1:29" x14ac:dyDescent="0.25">
      <c r="A649">
        <v>686</v>
      </c>
      <c r="B649">
        <v>7750</v>
      </c>
      <c r="C649">
        <v>9816</v>
      </c>
      <c r="D649">
        <v>17566</v>
      </c>
      <c r="E649" t="s">
        <v>46</v>
      </c>
      <c r="F649">
        <v>31</v>
      </c>
      <c r="G649" t="s">
        <v>61</v>
      </c>
      <c r="H649" t="s">
        <v>41</v>
      </c>
      <c r="I649">
        <v>1</v>
      </c>
      <c r="J649" t="s">
        <v>68</v>
      </c>
      <c r="K649">
        <v>701</v>
      </c>
      <c r="L649" t="s">
        <v>63</v>
      </c>
      <c r="M649">
        <v>0</v>
      </c>
      <c r="N649" t="s">
        <v>36</v>
      </c>
      <c r="O649">
        <v>0.12</v>
      </c>
      <c r="P649" t="s">
        <v>59</v>
      </c>
      <c r="Q649">
        <v>5724</v>
      </c>
      <c r="R649">
        <v>21809</v>
      </c>
      <c r="S649" t="s">
        <v>44</v>
      </c>
      <c r="T649">
        <v>8274</v>
      </c>
      <c r="U649" t="s">
        <v>57</v>
      </c>
      <c r="V649">
        <v>72</v>
      </c>
      <c r="W649">
        <v>6</v>
      </c>
      <c r="X649" t="s">
        <v>31</v>
      </c>
      <c r="Y649" t="s">
        <v>45</v>
      </c>
      <c r="Z649" t="s">
        <v>39</v>
      </c>
      <c r="AA649" t="s">
        <v>40</v>
      </c>
      <c r="AB649" t="s">
        <v>35</v>
      </c>
      <c r="AC649" t="s">
        <v>44</v>
      </c>
    </row>
    <row r="650" spans="1:29" x14ac:dyDescent="0.25">
      <c r="A650">
        <v>687</v>
      </c>
      <c r="B650">
        <v>14772</v>
      </c>
      <c r="C650">
        <v>0</v>
      </c>
      <c r="D650">
        <v>14772</v>
      </c>
      <c r="E650" t="s">
        <v>29</v>
      </c>
      <c r="F650">
        <v>36</v>
      </c>
      <c r="G650" t="s">
        <v>65</v>
      </c>
      <c r="H650" t="s">
        <v>30</v>
      </c>
      <c r="I650">
        <v>1</v>
      </c>
      <c r="J650" t="s">
        <v>68</v>
      </c>
      <c r="K650">
        <v>736</v>
      </c>
      <c r="L650" t="s">
        <v>63</v>
      </c>
      <c r="M650">
        <v>2</v>
      </c>
      <c r="N650" t="s">
        <v>44</v>
      </c>
      <c r="O650">
        <v>0.22</v>
      </c>
      <c r="P650" t="s">
        <v>59</v>
      </c>
      <c r="Q650">
        <v>12420</v>
      </c>
      <c r="R650">
        <v>26651</v>
      </c>
      <c r="S650" t="s">
        <v>44</v>
      </c>
      <c r="T650">
        <v>16748</v>
      </c>
      <c r="U650" t="s">
        <v>57</v>
      </c>
      <c r="V650">
        <v>48</v>
      </c>
      <c r="W650">
        <v>4</v>
      </c>
      <c r="X650" t="s">
        <v>50</v>
      </c>
      <c r="Y650" t="s">
        <v>45</v>
      </c>
      <c r="Z650" t="s">
        <v>39</v>
      </c>
      <c r="AA650" t="s">
        <v>34</v>
      </c>
      <c r="AB650" t="s">
        <v>35</v>
      </c>
      <c r="AC650" t="s">
        <v>44</v>
      </c>
    </row>
    <row r="651" spans="1:29" x14ac:dyDescent="0.25">
      <c r="A651">
        <v>688</v>
      </c>
      <c r="B651">
        <v>12267</v>
      </c>
      <c r="C651">
        <v>0</v>
      </c>
      <c r="D651">
        <v>12267</v>
      </c>
      <c r="E651" t="s">
        <v>52</v>
      </c>
      <c r="F651">
        <v>28</v>
      </c>
      <c r="G651" t="s">
        <v>61</v>
      </c>
      <c r="H651" t="s">
        <v>30</v>
      </c>
      <c r="I651">
        <v>3</v>
      </c>
      <c r="J651" t="s">
        <v>58</v>
      </c>
      <c r="K651">
        <v>776</v>
      </c>
      <c r="L651" t="s">
        <v>71</v>
      </c>
      <c r="M651">
        <v>2</v>
      </c>
      <c r="N651" t="s">
        <v>44</v>
      </c>
      <c r="O651">
        <v>0.54</v>
      </c>
      <c r="P651" t="s">
        <v>56</v>
      </c>
      <c r="Q651">
        <v>4060</v>
      </c>
      <c r="R651">
        <v>44291</v>
      </c>
      <c r="S651" t="s">
        <v>44</v>
      </c>
      <c r="T651">
        <v>21175</v>
      </c>
      <c r="U651" t="s">
        <v>64</v>
      </c>
      <c r="V651">
        <v>12</v>
      </c>
      <c r="W651">
        <v>1</v>
      </c>
      <c r="X651" t="s">
        <v>50</v>
      </c>
      <c r="Y651" t="s">
        <v>32</v>
      </c>
      <c r="Z651" t="s">
        <v>33</v>
      </c>
      <c r="AA651" t="s">
        <v>40</v>
      </c>
      <c r="AB651" t="s">
        <v>42</v>
      </c>
      <c r="AC651" t="s">
        <v>36</v>
      </c>
    </row>
    <row r="652" spans="1:29" x14ac:dyDescent="0.25">
      <c r="A652">
        <v>689</v>
      </c>
      <c r="B652">
        <v>3062</v>
      </c>
      <c r="C652">
        <v>7232</v>
      </c>
      <c r="D652">
        <v>10294</v>
      </c>
      <c r="E652" t="s">
        <v>49</v>
      </c>
      <c r="F652">
        <v>22</v>
      </c>
      <c r="G652" t="s">
        <v>72</v>
      </c>
      <c r="H652" t="s">
        <v>30</v>
      </c>
      <c r="I652">
        <v>3</v>
      </c>
      <c r="J652" t="s">
        <v>58</v>
      </c>
      <c r="K652">
        <v>552</v>
      </c>
      <c r="L652" t="s">
        <v>66</v>
      </c>
      <c r="M652">
        <v>3</v>
      </c>
      <c r="N652" t="s">
        <v>44</v>
      </c>
      <c r="O652">
        <v>0.35</v>
      </c>
      <c r="P652" t="s">
        <v>67</v>
      </c>
      <c r="Q652">
        <v>4765</v>
      </c>
      <c r="R652">
        <v>43989</v>
      </c>
      <c r="S652" t="s">
        <v>44</v>
      </c>
      <c r="T652">
        <v>12826</v>
      </c>
      <c r="U652" t="s">
        <v>57</v>
      </c>
      <c r="V652">
        <v>48</v>
      </c>
      <c r="W652">
        <v>4</v>
      </c>
      <c r="X652" t="s">
        <v>31</v>
      </c>
      <c r="Y652" t="s">
        <v>45</v>
      </c>
      <c r="Z652" t="s">
        <v>39</v>
      </c>
      <c r="AA652" t="s">
        <v>40</v>
      </c>
      <c r="AB652" t="s">
        <v>35</v>
      </c>
      <c r="AC652" t="s">
        <v>36</v>
      </c>
    </row>
    <row r="653" spans="1:29" x14ac:dyDescent="0.25">
      <c r="A653">
        <v>690</v>
      </c>
      <c r="B653">
        <v>19680</v>
      </c>
      <c r="C653">
        <v>4806</v>
      </c>
      <c r="D653">
        <v>24486</v>
      </c>
      <c r="E653" t="s">
        <v>29</v>
      </c>
      <c r="F653">
        <v>50</v>
      </c>
      <c r="G653" t="s">
        <v>53</v>
      </c>
      <c r="H653" t="s">
        <v>41</v>
      </c>
      <c r="I653">
        <v>3</v>
      </c>
      <c r="J653" t="s">
        <v>58</v>
      </c>
      <c r="K653">
        <v>617</v>
      </c>
      <c r="L653" t="s">
        <v>55</v>
      </c>
      <c r="M653">
        <v>3</v>
      </c>
      <c r="N653" t="s">
        <v>44</v>
      </c>
      <c r="O653">
        <v>0.35</v>
      </c>
      <c r="P653" t="s">
        <v>67</v>
      </c>
      <c r="Q653">
        <v>19996</v>
      </c>
      <c r="R653">
        <v>16484</v>
      </c>
      <c r="S653" t="s">
        <v>44</v>
      </c>
      <c r="T653">
        <v>0</v>
      </c>
      <c r="U653" t="s">
        <v>73</v>
      </c>
      <c r="V653">
        <v>84</v>
      </c>
      <c r="W653">
        <v>7</v>
      </c>
      <c r="X653" t="s">
        <v>42</v>
      </c>
      <c r="Y653" t="s">
        <v>45</v>
      </c>
      <c r="Z653" t="s">
        <v>39</v>
      </c>
      <c r="AA653" t="s">
        <v>40</v>
      </c>
      <c r="AB653" t="s">
        <v>35</v>
      </c>
      <c r="AC653" t="s">
        <v>36</v>
      </c>
    </row>
    <row r="654" spans="1:29" x14ac:dyDescent="0.25">
      <c r="A654">
        <v>691</v>
      </c>
      <c r="B654">
        <v>8229</v>
      </c>
      <c r="C654">
        <v>2190</v>
      </c>
      <c r="D654">
        <v>10419</v>
      </c>
      <c r="E654" t="s">
        <v>49</v>
      </c>
      <c r="F654">
        <v>50</v>
      </c>
      <c r="G654" t="s">
        <v>53</v>
      </c>
      <c r="H654" t="s">
        <v>30</v>
      </c>
      <c r="I654">
        <v>0</v>
      </c>
      <c r="J654" t="s">
        <v>54</v>
      </c>
      <c r="K654">
        <v>798</v>
      </c>
      <c r="L654" t="s">
        <v>71</v>
      </c>
      <c r="M654">
        <v>2</v>
      </c>
      <c r="N654" t="s">
        <v>44</v>
      </c>
      <c r="O654">
        <v>0.57999999999999996</v>
      </c>
      <c r="P654" t="s">
        <v>56</v>
      </c>
      <c r="Q654">
        <v>6553</v>
      </c>
      <c r="R654">
        <v>4646</v>
      </c>
      <c r="S654" t="s">
        <v>44</v>
      </c>
      <c r="T654">
        <v>35129</v>
      </c>
      <c r="U654" t="s">
        <v>60</v>
      </c>
      <c r="V654">
        <v>24</v>
      </c>
      <c r="W654">
        <v>2</v>
      </c>
      <c r="X654" t="s">
        <v>50</v>
      </c>
      <c r="Y654" t="s">
        <v>38</v>
      </c>
      <c r="Z654" t="s">
        <v>33</v>
      </c>
      <c r="AA654" t="s">
        <v>40</v>
      </c>
      <c r="AB654" t="s">
        <v>42</v>
      </c>
      <c r="AC654" t="s">
        <v>36</v>
      </c>
    </row>
    <row r="655" spans="1:29" x14ac:dyDescent="0.25">
      <c r="A655">
        <v>692</v>
      </c>
      <c r="B655">
        <v>18509</v>
      </c>
      <c r="C655">
        <v>9108</v>
      </c>
      <c r="D655">
        <v>27617</v>
      </c>
      <c r="E655" t="s">
        <v>49</v>
      </c>
      <c r="F655">
        <v>32</v>
      </c>
      <c r="G655" t="s">
        <v>61</v>
      </c>
      <c r="H655" t="s">
        <v>30</v>
      </c>
      <c r="I655">
        <v>0</v>
      </c>
      <c r="J655" t="s">
        <v>54</v>
      </c>
      <c r="K655">
        <v>650</v>
      </c>
      <c r="L655" t="s">
        <v>55</v>
      </c>
      <c r="M655">
        <v>4</v>
      </c>
      <c r="N655" t="s">
        <v>44</v>
      </c>
      <c r="O655">
        <v>0.41</v>
      </c>
      <c r="P655" t="s">
        <v>70</v>
      </c>
      <c r="Q655">
        <v>7378</v>
      </c>
      <c r="R655">
        <v>39713</v>
      </c>
      <c r="S655" t="s">
        <v>44</v>
      </c>
      <c r="T655">
        <v>5473</v>
      </c>
      <c r="U655" t="s">
        <v>57</v>
      </c>
      <c r="V655">
        <v>12</v>
      </c>
      <c r="W655">
        <v>1</v>
      </c>
      <c r="X655" t="s">
        <v>42</v>
      </c>
      <c r="Y655" t="s">
        <v>32</v>
      </c>
      <c r="Z655" t="s">
        <v>39</v>
      </c>
      <c r="AA655" t="s">
        <v>34</v>
      </c>
      <c r="AB655" t="s">
        <v>35</v>
      </c>
      <c r="AC655" t="s">
        <v>36</v>
      </c>
    </row>
    <row r="656" spans="1:29" x14ac:dyDescent="0.25">
      <c r="A656">
        <v>693</v>
      </c>
      <c r="B656">
        <v>17147</v>
      </c>
      <c r="C656">
        <v>2875</v>
      </c>
      <c r="D656">
        <v>20022</v>
      </c>
      <c r="E656" t="s">
        <v>29</v>
      </c>
      <c r="F656">
        <v>30</v>
      </c>
      <c r="G656" t="s">
        <v>61</v>
      </c>
      <c r="H656" t="s">
        <v>30</v>
      </c>
      <c r="I656">
        <v>1</v>
      </c>
      <c r="J656" t="s">
        <v>68</v>
      </c>
      <c r="K656">
        <v>717</v>
      </c>
      <c r="L656" t="s">
        <v>63</v>
      </c>
      <c r="M656">
        <v>3</v>
      </c>
      <c r="N656" t="s">
        <v>44</v>
      </c>
      <c r="O656">
        <v>0.23</v>
      </c>
      <c r="P656" t="s">
        <v>59</v>
      </c>
      <c r="Q656">
        <v>18073</v>
      </c>
      <c r="R656">
        <v>2400</v>
      </c>
      <c r="S656" t="s">
        <v>44</v>
      </c>
      <c r="T656">
        <v>24490</v>
      </c>
      <c r="U656" t="s">
        <v>64</v>
      </c>
      <c r="V656">
        <v>84</v>
      </c>
      <c r="W656">
        <v>7</v>
      </c>
      <c r="X656" t="s">
        <v>31</v>
      </c>
      <c r="Y656" t="s">
        <v>45</v>
      </c>
      <c r="Z656" t="s">
        <v>39</v>
      </c>
      <c r="AA656" t="s">
        <v>40</v>
      </c>
      <c r="AB656" t="s">
        <v>35</v>
      </c>
      <c r="AC656" t="s">
        <v>44</v>
      </c>
    </row>
    <row r="657" spans="1:29" x14ac:dyDescent="0.25">
      <c r="A657">
        <v>694</v>
      </c>
      <c r="B657">
        <v>6632</v>
      </c>
      <c r="C657">
        <v>5592</v>
      </c>
      <c r="D657">
        <v>12224</v>
      </c>
      <c r="E657" t="s">
        <v>46</v>
      </c>
      <c r="F657">
        <v>31</v>
      </c>
      <c r="G657" t="s">
        <v>61</v>
      </c>
      <c r="H657" t="s">
        <v>30</v>
      </c>
      <c r="I657">
        <v>0</v>
      </c>
      <c r="J657" t="s">
        <v>54</v>
      </c>
      <c r="K657">
        <v>725</v>
      </c>
      <c r="L657" t="s">
        <v>63</v>
      </c>
      <c r="M657">
        <v>2</v>
      </c>
      <c r="N657" t="s">
        <v>44</v>
      </c>
      <c r="O657">
        <v>0.13</v>
      </c>
      <c r="P657" t="s">
        <v>59</v>
      </c>
      <c r="Q657">
        <v>17700</v>
      </c>
      <c r="R657">
        <v>44331</v>
      </c>
      <c r="S657" t="s">
        <v>44</v>
      </c>
      <c r="T657">
        <v>10481</v>
      </c>
      <c r="U657" t="s">
        <v>57</v>
      </c>
      <c r="V657">
        <v>48</v>
      </c>
      <c r="W657">
        <v>4</v>
      </c>
      <c r="X657" t="s">
        <v>50</v>
      </c>
      <c r="Y657" t="s">
        <v>32</v>
      </c>
      <c r="Z657" t="s">
        <v>39</v>
      </c>
      <c r="AA657" t="s">
        <v>40</v>
      </c>
      <c r="AB657" t="s">
        <v>35</v>
      </c>
      <c r="AC657" t="s">
        <v>44</v>
      </c>
    </row>
    <row r="658" spans="1:29" x14ac:dyDescent="0.25">
      <c r="A658">
        <v>695</v>
      </c>
      <c r="B658">
        <v>8288</v>
      </c>
      <c r="C658">
        <v>1440</v>
      </c>
      <c r="D658">
        <v>9728</v>
      </c>
      <c r="E658" t="s">
        <v>46</v>
      </c>
      <c r="F658">
        <v>35</v>
      </c>
      <c r="G658" t="s">
        <v>65</v>
      </c>
      <c r="H658" t="s">
        <v>30</v>
      </c>
      <c r="I658">
        <v>0</v>
      </c>
      <c r="J658" t="s">
        <v>54</v>
      </c>
      <c r="K658">
        <v>603</v>
      </c>
      <c r="L658" t="s">
        <v>55</v>
      </c>
      <c r="M658">
        <v>0</v>
      </c>
      <c r="N658" t="s">
        <v>36</v>
      </c>
      <c r="O658">
        <v>0.11</v>
      </c>
      <c r="P658" t="s">
        <v>59</v>
      </c>
      <c r="Q658">
        <v>7130</v>
      </c>
      <c r="R658">
        <v>22185</v>
      </c>
      <c r="S658" t="s">
        <v>44</v>
      </c>
      <c r="T658">
        <v>9520</v>
      </c>
      <c r="U658" t="s">
        <v>57</v>
      </c>
      <c r="V658">
        <v>12</v>
      </c>
      <c r="W658">
        <v>1</v>
      </c>
      <c r="X658" t="s">
        <v>37</v>
      </c>
      <c r="Y658" t="s">
        <v>45</v>
      </c>
      <c r="Z658" t="s">
        <v>39</v>
      </c>
      <c r="AA658" t="s">
        <v>34</v>
      </c>
      <c r="AB658" t="s">
        <v>48</v>
      </c>
      <c r="AC658" t="s">
        <v>36</v>
      </c>
    </row>
    <row r="659" spans="1:29" x14ac:dyDescent="0.25">
      <c r="A659">
        <v>696</v>
      </c>
      <c r="B659">
        <v>0</v>
      </c>
      <c r="C659">
        <v>8927</v>
      </c>
      <c r="D659">
        <v>8927</v>
      </c>
      <c r="E659" t="s">
        <v>29</v>
      </c>
      <c r="F659">
        <v>36</v>
      </c>
      <c r="G659" t="s">
        <v>65</v>
      </c>
      <c r="H659" t="s">
        <v>30</v>
      </c>
      <c r="I659">
        <v>0</v>
      </c>
      <c r="J659" t="s">
        <v>54</v>
      </c>
      <c r="K659">
        <v>584</v>
      </c>
      <c r="L659" t="s">
        <v>55</v>
      </c>
      <c r="M659">
        <v>4</v>
      </c>
      <c r="N659" t="s">
        <v>44</v>
      </c>
      <c r="O659">
        <v>0.22</v>
      </c>
      <c r="P659" t="s">
        <v>59</v>
      </c>
      <c r="Q659">
        <v>3186</v>
      </c>
      <c r="R659">
        <v>0</v>
      </c>
      <c r="S659" t="s">
        <v>36</v>
      </c>
      <c r="T659">
        <v>0</v>
      </c>
      <c r="U659" t="s">
        <v>73</v>
      </c>
      <c r="V659">
        <v>48</v>
      </c>
      <c r="W659">
        <v>4</v>
      </c>
      <c r="X659" t="s">
        <v>31</v>
      </c>
      <c r="Y659" t="s">
        <v>38</v>
      </c>
      <c r="Z659" t="s">
        <v>33</v>
      </c>
      <c r="AA659" t="s">
        <v>40</v>
      </c>
      <c r="AB659" t="s">
        <v>35</v>
      </c>
      <c r="AC659" t="s">
        <v>36</v>
      </c>
    </row>
    <row r="660" spans="1:29" x14ac:dyDescent="0.25">
      <c r="A660">
        <v>697</v>
      </c>
      <c r="B660">
        <v>13475</v>
      </c>
      <c r="C660">
        <v>6059</v>
      </c>
      <c r="D660">
        <v>19534</v>
      </c>
      <c r="E660" t="s">
        <v>49</v>
      </c>
      <c r="F660">
        <v>37</v>
      </c>
      <c r="G660" t="s">
        <v>65</v>
      </c>
      <c r="H660" t="s">
        <v>30</v>
      </c>
      <c r="I660">
        <v>1</v>
      </c>
      <c r="J660" t="s">
        <v>68</v>
      </c>
      <c r="K660">
        <v>772</v>
      </c>
      <c r="L660" t="s">
        <v>71</v>
      </c>
      <c r="M660">
        <v>1</v>
      </c>
      <c r="N660" t="s">
        <v>44</v>
      </c>
      <c r="O660">
        <v>0.54</v>
      </c>
      <c r="P660" t="s">
        <v>56</v>
      </c>
      <c r="Q660">
        <v>5789</v>
      </c>
      <c r="R660">
        <v>33120</v>
      </c>
      <c r="S660" t="s">
        <v>44</v>
      </c>
      <c r="T660">
        <v>18570</v>
      </c>
      <c r="U660" t="s">
        <v>57</v>
      </c>
      <c r="V660">
        <v>48</v>
      </c>
      <c r="W660">
        <v>4</v>
      </c>
      <c r="X660" t="s">
        <v>50</v>
      </c>
      <c r="Y660" t="s">
        <v>32</v>
      </c>
      <c r="Z660" t="s">
        <v>39</v>
      </c>
      <c r="AA660" t="s">
        <v>34</v>
      </c>
      <c r="AB660" t="s">
        <v>48</v>
      </c>
      <c r="AC660" t="s">
        <v>36</v>
      </c>
    </row>
    <row r="661" spans="1:29" x14ac:dyDescent="0.25">
      <c r="A661">
        <v>698</v>
      </c>
      <c r="B661">
        <v>8168</v>
      </c>
      <c r="C661">
        <v>7010</v>
      </c>
      <c r="D661">
        <v>15178</v>
      </c>
      <c r="E661" t="s">
        <v>52</v>
      </c>
      <c r="F661">
        <v>46</v>
      </c>
      <c r="G661" t="s">
        <v>53</v>
      </c>
      <c r="H661" t="s">
        <v>30</v>
      </c>
      <c r="I661">
        <v>1</v>
      </c>
      <c r="J661" t="s">
        <v>68</v>
      </c>
      <c r="K661">
        <v>550</v>
      </c>
      <c r="L661" t="s">
        <v>66</v>
      </c>
      <c r="M661">
        <v>2</v>
      </c>
      <c r="N661" t="s">
        <v>44</v>
      </c>
      <c r="O661">
        <v>0.31</v>
      </c>
      <c r="P661" t="s">
        <v>67</v>
      </c>
      <c r="Q661">
        <v>16122</v>
      </c>
      <c r="R661">
        <v>48257</v>
      </c>
      <c r="S661" t="s">
        <v>44</v>
      </c>
      <c r="T661">
        <v>20798</v>
      </c>
      <c r="U661" t="s">
        <v>64</v>
      </c>
      <c r="V661">
        <v>48</v>
      </c>
      <c r="W661">
        <v>4</v>
      </c>
      <c r="X661" t="s">
        <v>42</v>
      </c>
      <c r="Y661" t="s">
        <v>32</v>
      </c>
      <c r="Z661" t="s">
        <v>33</v>
      </c>
      <c r="AA661" t="s">
        <v>40</v>
      </c>
      <c r="AB661" t="s">
        <v>35</v>
      </c>
      <c r="AC661" t="s">
        <v>36</v>
      </c>
    </row>
    <row r="662" spans="1:29" x14ac:dyDescent="0.25">
      <c r="A662">
        <v>699</v>
      </c>
      <c r="B662">
        <v>11795</v>
      </c>
      <c r="C662">
        <v>7117</v>
      </c>
      <c r="D662">
        <v>18912</v>
      </c>
      <c r="E662" t="s">
        <v>29</v>
      </c>
      <c r="F662">
        <v>22</v>
      </c>
      <c r="G662" t="s">
        <v>72</v>
      </c>
      <c r="H662" t="s">
        <v>41</v>
      </c>
      <c r="I662">
        <v>3</v>
      </c>
      <c r="J662" t="s">
        <v>58</v>
      </c>
      <c r="K662">
        <v>657</v>
      </c>
      <c r="L662" t="s">
        <v>55</v>
      </c>
      <c r="M662">
        <v>2</v>
      </c>
      <c r="N662" t="s">
        <v>44</v>
      </c>
      <c r="O662">
        <v>0.46</v>
      </c>
      <c r="P662" t="s">
        <v>70</v>
      </c>
      <c r="Q662">
        <v>17529</v>
      </c>
      <c r="R662">
        <v>1018</v>
      </c>
      <c r="S662" t="s">
        <v>44</v>
      </c>
      <c r="T662">
        <v>4536</v>
      </c>
      <c r="U662" t="s">
        <v>73</v>
      </c>
      <c r="V662">
        <v>12</v>
      </c>
      <c r="W662">
        <v>1</v>
      </c>
      <c r="X662" t="s">
        <v>42</v>
      </c>
      <c r="Y662" t="s">
        <v>45</v>
      </c>
      <c r="Z662" t="s">
        <v>39</v>
      </c>
      <c r="AA662" t="s">
        <v>40</v>
      </c>
      <c r="AB662" t="s">
        <v>51</v>
      </c>
      <c r="AC662" t="s">
        <v>36</v>
      </c>
    </row>
    <row r="663" spans="1:29" x14ac:dyDescent="0.25">
      <c r="A663">
        <v>700</v>
      </c>
      <c r="B663">
        <v>9561</v>
      </c>
      <c r="C663">
        <v>9153</v>
      </c>
      <c r="D663">
        <v>18714</v>
      </c>
      <c r="E663" t="s">
        <v>46</v>
      </c>
      <c r="F663">
        <v>40</v>
      </c>
      <c r="G663" t="s">
        <v>65</v>
      </c>
      <c r="H663" t="s">
        <v>30</v>
      </c>
      <c r="I663">
        <v>3</v>
      </c>
      <c r="J663" t="s">
        <v>58</v>
      </c>
      <c r="K663">
        <v>766</v>
      </c>
      <c r="L663" t="s">
        <v>71</v>
      </c>
      <c r="M663">
        <v>4</v>
      </c>
      <c r="N663" t="s">
        <v>44</v>
      </c>
      <c r="O663">
        <v>0.56000000000000005</v>
      </c>
      <c r="P663" t="s">
        <v>56</v>
      </c>
      <c r="Q663">
        <v>7942</v>
      </c>
      <c r="R663">
        <v>17563</v>
      </c>
      <c r="S663" t="s">
        <v>44</v>
      </c>
      <c r="T663">
        <v>2773</v>
      </c>
      <c r="U663" t="s">
        <v>73</v>
      </c>
      <c r="V663">
        <v>72</v>
      </c>
      <c r="W663">
        <v>6</v>
      </c>
      <c r="X663" t="s">
        <v>50</v>
      </c>
      <c r="Y663" t="s">
        <v>45</v>
      </c>
      <c r="Z663" t="s">
        <v>39</v>
      </c>
      <c r="AA663" t="s">
        <v>34</v>
      </c>
      <c r="AB663" t="s">
        <v>35</v>
      </c>
      <c r="AC663" t="s">
        <v>36</v>
      </c>
    </row>
    <row r="664" spans="1:29" x14ac:dyDescent="0.25">
      <c r="A664">
        <v>701</v>
      </c>
      <c r="B664">
        <v>10258</v>
      </c>
      <c r="C664">
        <v>2989</v>
      </c>
      <c r="D664">
        <v>13247</v>
      </c>
      <c r="E664" t="s">
        <v>48</v>
      </c>
      <c r="F664">
        <v>46</v>
      </c>
      <c r="G664" t="s">
        <v>53</v>
      </c>
      <c r="H664" t="s">
        <v>41</v>
      </c>
      <c r="I664">
        <v>1</v>
      </c>
      <c r="J664" t="s">
        <v>68</v>
      </c>
      <c r="K664">
        <v>589</v>
      </c>
      <c r="L664" t="s">
        <v>55</v>
      </c>
      <c r="M664">
        <v>3</v>
      </c>
      <c r="N664" t="s">
        <v>44</v>
      </c>
      <c r="O664">
        <v>0.3</v>
      </c>
      <c r="P664" t="s">
        <v>59</v>
      </c>
      <c r="Q664">
        <v>0</v>
      </c>
      <c r="R664">
        <v>5193</v>
      </c>
      <c r="S664" t="s">
        <v>44</v>
      </c>
      <c r="T664">
        <v>30894</v>
      </c>
      <c r="U664" t="s">
        <v>64</v>
      </c>
      <c r="V664">
        <v>48</v>
      </c>
      <c r="W664">
        <v>4</v>
      </c>
      <c r="X664" t="s">
        <v>42</v>
      </c>
      <c r="Y664" t="s">
        <v>32</v>
      </c>
      <c r="Z664" t="s">
        <v>39</v>
      </c>
      <c r="AA664" t="s">
        <v>34</v>
      </c>
      <c r="AB664" t="s">
        <v>43</v>
      </c>
      <c r="AC664" t="s">
        <v>36</v>
      </c>
    </row>
    <row r="665" spans="1:29" x14ac:dyDescent="0.25">
      <c r="A665">
        <v>702</v>
      </c>
      <c r="B665">
        <v>18616</v>
      </c>
      <c r="C665">
        <v>9218</v>
      </c>
      <c r="D665">
        <v>27834</v>
      </c>
      <c r="E665" t="s">
        <v>52</v>
      </c>
      <c r="F665">
        <v>43</v>
      </c>
      <c r="G665" t="s">
        <v>65</v>
      </c>
      <c r="H665" t="s">
        <v>30</v>
      </c>
      <c r="I665">
        <v>3</v>
      </c>
      <c r="J665" t="s">
        <v>58</v>
      </c>
      <c r="K665">
        <v>754</v>
      </c>
      <c r="L665" t="s">
        <v>71</v>
      </c>
      <c r="M665">
        <v>3</v>
      </c>
      <c r="N665" t="s">
        <v>44</v>
      </c>
      <c r="O665">
        <v>0.2</v>
      </c>
      <c r="P665" t="s">
        <v>59</v>
      </c>
      <c r="Q665">
        <v>16944</v>
      </c>
      <c r="R665">
        <v>15701</v>
      </c>
      <c r="S665" t="s">
        <v>44</v>
      </c>
      <c r="T665">
        <v>36326</v>
      </c>
      <c r="U665" t="s">
        <v>60</v>
      </c>
      <c r="V665">
        <v>72</v>
      </c>
      <c r="W665">
        <v>6</v>
      </c>
      <c r="X665" t="s">
        <v>50</v>
      </c>
      <c r="Y665" t="s">
        <v>32</v>
      </c>
      <c r="Z665" t="s">
        <v>39</v>
      </c>
      <c r="AA665" t="s">
        <v>40</v>
      </c>
      <c r="AB665" t="s">
        <v>51</v>
      </c>
      <c r="AC665" t="s">
        <v>36</v>
      </c>
    </row>
    <row r="666" spans="1:29" x14ac:dyDescent="0.25">
      <c r="A666">
        <v>703</v>
      </c>
      <c r="B666">
        <v>8371</v>
      </c>
      <c r="C666">
        <v>6228</v>
      </c>
      <c r="D666">
        <v>14599</v>
      </c>
      <c r="E666" t="s">
        <v>49</v>
      </c>
      <c r="F666">
        <v>38</v>
      </c>
      <c r="G666" t="s">
        <v>65</v>
      </c>
      <c r="H666" t="s">
        <v>30</v>
      </c>
      <c r="I666">
        <v>0</v>
      </c>
      <c r="J666" t="s">
        <v>54</v>
      </c>
      <c r="K666">
        <v>617</v>
      </c>
      <c r="L666" t="s">
        <v>55</v>
      </c>
      <c r="M666">
        <v>3</v>
      </c>
      <c r="N666" t="s">
        <v>44</v>
      </c>
      <c r="O666">
        <v>0.36</v>
      </c>
      <c r="P666" t="s">
        <v>67</v>
      </c>
      <c r="Q666">
        <v>18296</v>
      </c>
      <c r="R666">
        <v>3536</v>
      </c>
      <c r="S666" t="s">
        <v>44</v>
      </c>
      <c r="T666">
        <v>6079</v>
      </c>
      <c r="U666" t="s">
        <v>57</v>
      </c>
      <c r="V666">
        <v>84</v>
      </c>
      <c r="W666">
        <v>7</v>
      </c>
      <c r="X666" t="s">
        <v>50</v>
      </c>
      <c r="Y666" t="s">
        <v>45</v>
      </c>
      <c r="Z666" t="s">
        <v>39</v>
      </c>
      <c r="AA666" t="s">
        <v>34</v>
      </c>
      <c r="AB666" t="s">
        <v>35</v>
      </c>
      <c r="AC666" t="s">
        <v>36</v>
      </c>
    </row>
    <row r="667" spans="1:29" x14ac:dyDescent="0.25">
      <c r="A667">
        <v>704</v>
      </c>
      <c r="B667">
        <v>16369</v>
      </c>
      <c r="C667">
        <v>6471</v>
      </c>
      <c r="D667">
        <v>22840</v>
      </c>
      <c r="E667" t="s">
        <v>29</v>
      </c>
      <c r="F667">
        <v>52</v>
      </c>
      <c r="G667" t="s">
        <v>53</v>
      </c>
      <c r="H667" t="s">
        <v>41</v>
      </c>
      <c r="I667">
        <v>0</v>
      </c>
      <c r="J667" t="s">
        <v>54</v>
      </c>
      <c r="K667">
        <v>595</v>
      </c>
      <c r="L667" t="s">
        <v>55</v>
      </c>
      <c r="M667">
        <v>0</v>
      </c>
      <c r="N667" t="s">
        <v>36</v>
      </c>
      <c r="O667">
        <v>0.55000000000000004</v>
      </c>
      <c r="P667" t="s">
        <v>56</v>
      </c>
      <c r="Q667">
        <v>18248</v>
      </c>
      <c r="R667">
        <v>48217</v>
      </c>
      <c r="S667" t="s">
        <v>44</v>
      </c>
      <c r="T667">
        <v>26838</v>
      </c>
      <c r="U667" t="s">
        <v>64</v>
      </c>
      <c r="V667">
        <v>84</v>
      </c>
      <c r="W667">
        <v>7</v>
      </c>
      <c r="X667" t="s">
        <v>42</v>
      </c>
      <c r="Y667" t="s">
        <v>38</v>
      </c>
      <c r="Z667" t="s">
        <v>39</v>
      </c>
      <c r="AA667" t="s">
        <v>34</v>
      </c>
      <c r="AB667" t="s">
        <v>51</v>
      </c>
      <c r="AC667" t="s">
        <v>36</v>
      </c>
    </row>
    <row r="668" spans="1:29" x14ac:dyDescent="0.25">
      <c r="A668">
        <v>705</v>
      </c>
      <c r="B668">
        <v>0</v>
      </c>
      <c r="C668">
        <v>0</v>
      </c>
      <c r="D668">
        <v>0</v>
      </c>
      <c r="E668" t="s">
        <v>49</v>
      </c>
      <c r="F668">
        <v>40</v>
      </c>
      <c r="G668" t="s">
        <v>65</v>
      </c>
      <c r="H668" t="s">
        <v>41</v>
      </c>
      <c r="I668">
        <v>3</v>
      </c>
      <c r="J668" t="s">
        <v>58</v>
      </c>
      <c r="K668">
        <v>627</v>
      </c>
      <c r="L668" t="s">
        <v>55</v>
      </c>
      <c r="M668">
        <v>4</v>
      </c>
      <c r="N668" t="s">
        <v>44</v>
      </c>
      <c r="O668">
        <v>0.5</v>
      </c>
      <c r="P668" t="s">
        <v>70</v>
      </c>
      <c r="Q668">
        <v>296</v>
      </c>
      <c r="R668">
        <v>44610</v>
      </c>
      <c r="S668" t="s">
        <v>44</v>
      </c>
      <c r="T668">
        <v>22804</v>
      </c>
      <c r="U668" t="s">
        <v>64</v>
      </c>
      <c r="V668">
        <v>24</v>
      </c>
      <c r="W668">
        <v>2</v>
      </c>
      <c r="X668" t="s">
        <v>47</v>
      </c>
      <c r="Y668" t="s">
        <v>32</v>
      </c>
      <c r="Z668" t="s">
        <v>33</v>
      </c>
      <c r="AA668" t="s">
        <v>40</v>
      </c>
      <c r="AB668" t="s">
        <v>51</v>
      </c>
      <c r="AC668" t="s">
        <v>36</v>
      </c>
    </row>
    <row r="669" spans="1:29" x14ac:dyDescent="0.25">
      <c r="A669">
        <v>706</v>
      </c>
      <c r="B669">
        <v>9943</v>
      </c>
      <c r="C669">
        <v>1177</v>
      </c>
      <c r="D669">
        <v>11120</v>
      </c>
      <c r="E669" t="s">
        <v>49</v>
      </c>
      <c r="F669">
        <v>23</v>
      </c>
      <c r="G669" t="s">
        <v>72</v>
      </c>
      <c r="H669" t="s">
        <v>41</v>
      </c>
      <c r="I669">
        <v>1</v>
      </c>
      <c r="J669" t="s">
        <v>68</v>
      </c>
      <c r="K669">
        <v>690</v>
      </c>
      <c r="L669" t="s">
        <v>63</v>
      </c>
      <c r="M669">
        <v>4</v>
      </c>
      <c r="N669" t="s">
        <v>44</v>
      </c>
      <c r="O669">
        <v>0.13</v>
      </c>
      <c r="P669" t="s">
        <v>59</v>
      </c>
      <c r="Q669">
        <v>2409</v>
      </c>
      <c r="R669">
        <v>18886</v>
      </c>
      <c r="S669" t="s">
        <v>44</v>
      </c>
      <c r="T669">
        <v>20675</v>
      </c>
      <c r="U669" t="s">
        <v>64</v>
      </c>
      <c r="V669">
        <v>60</v>
      </c>
      <c r="W669">
        <v>5</v>
      </c>
      <c r="X669" t="s">
        <v>37</v>
      </c>
      <c r="Y669" t="s">
        <v>38</v>
      </c>
      <c r="Z669" t="s">
        <v>33</v>
      </c>
      <c r="AA669" t="s">
        <v>40</v>
      </c>
      <c r="AB669" t="s">
        <v>35</v>
      </c>
      <c r="AC669" t="s">
        <v>44</v>
      </c>
    </row>
    <row r="670" spans="1:29" x14ac:dyDescent="0.25">
      <c r="A670">
        <v>707</v>
      </c>
      <c r="B670">
        <v>14199</v>
      </c>
      <c r="C670">
        <v>4760</v>
      </c>
      <c r="D670">
        <v>18959</v>
      </c>
      <c r="E670" t="s">
        <v>29</v>
      </c>
      <c r="F670">
        <v>58</v>
      </c>
      <c r="G670" t="s">
        <v>69</v>
      </c>
      <c r="H670" t="s">
        <v>30</v>
      </c>
      <c r="I670">
        <v>3</v>
      </c>
      <c r="J670" t="s">
        <v>58</v>
      </c>
      <c r="K670">
        <v>704</v>
      </c>
      <c r="L670" t="s">
        <v>63</v>
      </c>
      <c r="M670">
        <v>3</v>
      </c>
      <c r="N670" t="s">
        <v>44</v>
      </c>
      <c r="O670">
        <v>0.45</v>
      </c>
      <c r="P670" t="s">
        <v>70</v>
      </c>
      <c r="Q670">
        <v>1461</v>
      </c>
      <c r="R670">
        <v>36587</v>
      </c>
      <c r="S670" t="s">
        <v>44</v>
      </c>
      <c r="T670">
        <v>26594</v>
      </c>
      <c r="U670" t="s">
        <v>64</v>
      </c>
      <c r="V670">
        <v>72</v>
      </c>
      <c r="W670">
        <v>6</v>
      </c>
      <c r="X670" t="s">
        <v>31</v>
      </c>
      <c r="Y670" t="s">
        <v>32</v>
      </c>
      <c r="Z670" t="s">
        <v>39</v>
      </c>
      <c r="AA670" t="s">
        <v>40</v>
      </c>
      <c r="AB670" t="s">
        <v>43</v>
      </c>
      <c r="AC670" t="s">
        <v>36</v>
      </c>
    </row>
    <row r="671" spans="1:29" x14ac:dyDescent="0.25">
      <c r="A671">
        <v>708</v>
      </c>
      <c r="B671">
        <v>17728</v>
      </c>
      <c r="C671">
        <v>11</v>
      </c>
      <c r="D671">
        <v>17739</v>
      </c>
      <c r="E671" t="s">
        <v>29</v>
      </c>
      <c r="F671">
        <v>23</v>
      </c>
      <c r="G671" t="s">
        <v>72</v>
      </c>
      <c r="H671" t="s">
        <v>41</v>
      </c>
      <c r="I671">
        <v>3</v>
      </c>
      <c r="J671" t="s">
        <v>58</v>
      </c>
      <c r="K671">
        <v>555</v>
      </c>
      <c r="L671" t="s">
        <v>66</v>
      </c>
      <c r="M671">
        <v>3</v>
      </c>
      <c r="N671" t="s">
        <v>44</v>
      </c>
      <c r="O671">
        <v>0.39</v>
      </c>
      <c r="P671" t="s">
        <v>67</v>
      </c>
      <c r="Q671">
        <v>2268</v>
      </c>
      <c r="R671">
        <v>29410</v>
      </c>
      <c r="S671" t="s">
        <v>44</v>
      </c>
      <c r="T671">
        <v>37292</v>
      </c>
      <c r="U671" t="s">
        <v>60</v>
      </c>
      <c r="V671">
        <v>84</v>
      </c>
      <c r="W671">
        <v>7</v>
      </c>
      <c r="X671" t="s">
        <v>37</v>
      </c>
      <c r="Y671" t="s">
        <v>32</v>
      </c>
      <c r="Z671" t="s">
        <v>39</v>
      </c>
      <c r="AA671" t="s">
        <v>40</v>
      </c>
      <c r="AB671" t="s">
        <v>43</v>
      </c>
      <c r="AC671" t="s">
        <v>36</v>
      </c>
    </row>
    <row r="672" spans="1:29" x14ac:dyDescent="0.25">
      <c r="A672">
        <v>709</v>
      </c>
      <c r="B672">
        <v>8738</v>
      </c>
      <c r="C672">
        <v>5252</v>
      </c>
      <c r="D672">
        <v>13990</v>
      </c>
      <c r="E672" t="s">
        <v>49</v>
      </c>
      <c r="F672">
        <v>50</v>
      </c>
      <c r="G672" t="s">
        <v>53</v>
      </c>
      <c r="H672" t="s">
        <v>30</v>
      </c>
      <c r="I672">
        <v>3</v>
      </c>
      <c r="J672" t="s">
        <v>58</v>
      </c>
      <c r="K672">
        <v>566</v>
      </c>
      <c r="L672" t="s">
        <v>66</v>
      </c>
      <c r="M672">
        <v>0</v>
      </c>
      <c r="N672" t="s">
        <v>36</v>
      </c>
      <c r="O672">
        <v>0.55000000000000004</v>
      </c>
      <c r="P672" t="s">
        <v>56</v>
      </c>
      <c r="Q672">
        <v>17378</v>
      </c>
      <c r="R672">
        <v>33744</v>
      </c>
      <c r="S672" t="s">
        <v>44</v>
      </c>
      <c r="T672">
        <v>9998</v>
      </c>
      <c r="U672" t="s">
        <v>57</v>
      </c>
      <c r="V672">
        <v>60</v>
      </c>
      <c r="W672">
        <v>5</v>
      </c>
      <c r="X672" t="s">
        <v>31</v>
      </c>
      <c r="Y672" t="s">
        <v>32</v>
      </c>
      <c r="Z672" t="s">
        <v>33</v>
      </c>
      <c r="AA672" t="s">
        <v>40</v>
      </c>
      <c r="AB672" t="s">
        <v>51</v>
      </c>
      <c r="AC672" t="s">
        <v>36</v>
      </c>
    </row>
    <row r="673" spans="1:29" x14ac:dyDescent="0.25">
      <c r="A673">
        <v>710</v>
      </c>
      <c r="B673">
        <v>17913</v>
      </c>
      <c r="C673">
        <v>4399</v>
      </c>
      <c r="D673">
        <v>22312</v>
      </c>
      <c r="E673" t="s">
        <v>52</v>
      </c>
      <c r="F673">
        <v>21</v>
      </c>
      <c r="G673" t="s">
        <v>72</v>
      </c>
      <c r="H673" t="s">
        <v>41</v>
      </c>
      <c r="I673">
        <v>2</v>
      </c>
      <c r="J673" t="s">
        <v>62</v>
      </c>
      <c r="K673">
        <v>550</v>
      </c>
      <c r="L673" t="s">
        <v>66</v>
      </c>
      <c r="M673">
        <v>0</v>
      </c>
      <c r="N673" t="s">
        <v>36</v>
      </c>
      <c r="O673">
        <v>0.35</v>
      </c>
      <c r="P673" t="s">
        <v>67</v>
      </c>
      <c r="Q673">
        <v>6554</v>
      </c>
      <c r="R673">
        <v>38665</v>
      </c>
      <c r="S673" t="s">
        <v>44</v>
      </c>
      <c r="T673">
        <v>14697</v>
      </c>
      <c r="U673" t="s">
        <v>57</v>
      </c>
      <c r="V673">
        <v>48</v>
      </c>
      <c r="W673">
        <v>4</v>
      </c>
      <c r="X673" t="s">
        <v>31</v>
      </c>
      <c r="Y673" t="s">
        <v>38</v>
      </c>
      <c r="Z673" t="s">
        <v>39</v>
      </c>
      <c r="AA673" t="s">
        <v>40</v>
      </c>
      <c r="AB673" t="s">
        <v>35</v>
      </c>
      <c r="AC673" t="s">
        <v>44</v>
      </c>
    </row>
    <row r="674" spans="1:29" x14ac:dyDescent="0.25">
      <c r="A674">
        <v>711</v>
      </c>
      <c r="B674">
        <v>4472</v>
      </c>
      <c r="C674">
        <v>8234</v>
      </c>
      <c r="D674">
        <v>12706</v>
      </c>
      <c r="E674" t="s">
        <v>49</v>
      </c>
      <c r="F674">
        <v>50</v>
      </c>
      <c r="G674" t="s">
        <v>53</v>
      </c>
      <c r="H674" t="s">
        <v>41</v>
      </c>
      <c r="I674">
        <v>0</v>
      </c>
      <c r="J674" t="s">
        <v>54</v>
      </c>
      <c r="K674">
        <v>781</v>
      </c>
      <c r="L674" t="s">
        <v>71</v>
      </c>
      <c r="M674">
        <v>2</v>
      </c>
      <c r="N674" t="s">
        <v>44</v>
      </c>
      <c r="O674">
        <v>0.37</v>
      </c>
      <c r="P674" t="s">
        <v>67</v>
      </c>
      <c r="Q674">
        <v>16391</v>
      </c>
      <c r="R674">
        <v>15957</v>
      </c>
      <c r="S674" t="s">
        <v>44</v>
      </c>
      <c r="T674">
        <v>14429</v>
      </c>
      <c r="U674" t="s">
        <v>57</v>
      </c>
      <c r="V674">
        <v>48</v>
      </c>
      <c r="W674">
        <v>4</v>
      </c>
      <c r="X674" t="s">
        <v>37</v>
      </c>
      <c r="Y674" t="s">
        <v>32</v>
      </c>
      <c r="Z674" t="s">
        <v>39</v>
      </c>
      <c r="AA674" t="s">
        <v>40</v>
      </c>
      <c r="AB674" t="s">
        <v>48</v>
      </c>
      <c r="AC674" t="s">
        <v>44</v>
      </c>
    </row>
    <row r="675" spans="1:29" x14ac:dyDescent="0.25">
      <c r="A675">
        <v>712</v>
      </c>
      <c r="B675">
        <v>17679</v>
      </c>
      <c r="C675">
        <v>9135</v>
      </c>
      <c r="D675">
        <v>26814</v>
      </c>
      <c r="E675" t="s">
        <v>29</v>
      </c>
      <c r="F675">
        <v>52</v>
      </c>
      <c r="G675" t="s">
        <v>53</v>
      </c>
      <c r="H675" t="s">
        <v>30</v>
      </c>
      <c r="I675">
        <v>1</v>
      </c>
      <c r="J675" t="s">
        <v>68</v>
      </c>
      <c r="K675">
        <v>790</v>
      </c>
      <c r="L675" t="s">
        <v>71</v>
      </c>
      <c r="M675">
        <v>2</v>
      </c>
      <c r="N675" t="s">
        <v>44</v>
      </c>
      <c r="O675">
        <v>0.54</v>
      </c>
      <c r="P675" t="s">
        <v>56</v>
      </c>
      <c r="Q675">
        <v>18899</v>
      </c>
      <c r="R675">
        <v>48127</v>
      </c>
      <c r="S675" t="s">
        <v>44</v>
      </c>
      <c r="T675">
        <v>8140</v>
      </c>
      <c r="U675" t="s">
        <v>57</v>
      </c>
      <c r="V675">
        <v>48</v>
      </c>
      <c r="W675">
        <v>4</v>
      </c>
      <c r="X675" t="s">
        <v>50</v>
      </c>
      <c r="Y675" t="s">
        <v>45</v>
      </c>
      <c r="Z675" t="s">
        <v>33</v>
      </c>
      <c r="AA675" t="s">
        <v>34</v>
      </c>
      <c r="AB675" t="s">
        <v>43</v>
      </c>
      <c r="AC675" t="s">
        <v>36</v>
      </c>
    </row>
    <row r="676" spans="1:29" x14ac:dyDescent="0.25">
      <c r="A676">
        <v>713</v>
      </c>
      <c r="B676">
        <v>3761</v>
      </c>
      <c r="C676">
        <v>5445</v>
      </c>
      <c r="D676">
        <v>9206</v>
      </c>
      <c r="E676" t="s">
        <v>49</v>
      </c>
      <c r="F676">
        <v>48</v>
      </c>
      <c r="G676" t="s">
        <v>53</v>
      </c>
      <c r="H676" t="s">
        <v>41</v>
      </c>
      <c r="I676">
        <v>2</v>
      </c>
      <c r="J676" t="s">
        <v>62</v>
      </c>
      <c r="K676">
        <v>648</v>
      </c>
      <c r="L676" t="s">
        <v>55</v>
      </c>
      <c r="M676">
        <v>4</v>
      </c>
      <c r="N676" t="s">
        <v>44</v>
      </c>
      <c r="O676">
        <v>0.35</v>
      </c>
      <c r="P676" t="s">
        <v>67</v>
      </c>
      <c r="Q676">
        <v>17801</v>
      </c>
      <c r="R676">
        <v>46008</v>
      </c>
      <c r="S676" t="s">
        <v>44</v>
      </c>
      <c r="T676">
        <v>15901</v>
      </c>
      <c r="U676" t="s">
        <v>57</v>
      </c>
      <c r="V676">
        <v>48</v>
      </c>
      <c r="W676">
        <v>4</v>
      </c>
      <c r="X676" t="s">
        <v>42</v>
      </c>
      <c r="Y676" t="s">
        <v>32</v>
      </c>
      <c r="Z676" t="s">
        <v>39</v>
      </c>
      <c r="AA676" t="s">
        <v>40</v>
      </c>
      <c r="AB676" t="s">
        <v>42</v>
      </c>
      <c r="AC676" t="s">
        <v>36</v>
      </c>
    </row>
    <row r="677" spans="1:29" x14ac:dyDescent="0.25">
      <c r="A677">
        <v>714</v>
      </c>
      <c r="B677">
        <v>12167</v>
      </c>
      <c r="C677">
        <v>6570</v>
      </c>
      <c r="D677">
        <v>18737</v>
      </c>
      <c r="E677" t="s">
        <v>49</v>
      </c>
      <c r="F677">
        <v>41</v>
      </c>
      <c r="G677" t="s">
        <v>65</v>
      </c>
      <c r="H677" t="s">
        <v>30</v>
      </c>
      <c r="I677">
        <v>1</v>
      </c>
      <c r="J677" t="s">
        <v>68</v>
      </c>
      <c r="K677">
        <v>630</v>
      </c>
      <c r="L677" t="s">
        <v>55</v>
      </c>
      <c r="M677">
        <v>4</v>
      </c>
      <c r="N677" t="s">
        <v>44</v>
      </c>
      <c r="O677">
        <v>0.34</v>
      </c>
      <c r="P677" t="s">
        <v>67</v>
      </c>
      <c r="Q677">
        <v>18700</v>
      </c>
      <c r="R677">
        <v>32875</v>
      </c>
      <c r="S677" t="s">
        <v>44</v>
      </c>
      <c r="T677">
        <v>24279</v>
      </c>
      <c r="U677" t="s">
        <v>64</v>
      </c>
      <c r="V677">
        <v>48</v>
      </c>
      <c r="W677">
        <v>4</v>
      </c>
      <c r="X677" t="s">
        <v>47</v>
      </c>
      <c r="Y677" t="s">
        <v>38</v>
      </c>
      <c r="Z677" t="s">
        <v>39</v>
      </c>
      <c r="AA677" t="s">
        <v>40</v>
      </c>
      <c r="AB677" t="s">
        <v>35</v>
      </c>
      <c r="AC677" t="s">
        <v>36</v>
      </c>
    </row>
    <row r="678" spans="1:29" x14ac:dyDescent="0.25">
      <c r="A678">
        <v>715</v>
      </c>
      <c r="B678">
        <v>12554</v>
      </c>
      <c r="C678">
        <v>9196</v>
      </c>
      <c r="D678">
        <v>21750</v>
      </c>
      <c r="E678" t="s">
        <v>48</v>
      </c>
      <c r="F678">
        <v>33</v>
      </c>
      <c r="G678" t="s">
        <v>61</v>
      </c>
      <c r="H678" t="s">
        <v>30</v>
      </c>
      <c r="I678">
        <v>1</v>
      </c>
      <c r="J678" t="s">
        <v>68</v>
      </c>
      <c r="K678">
        <v>782</v>
      </c>
      <c r="L678" t="s">
        <v>71</v>
      </c>
      <c r="M678">
        <v>1</v>
      </c>
      <c r="N678" t="s">
        <v>44</v>
      </c>
      <c r="O678">
        <v>0.14000000000000001</v>
      </c>
      <c r="P678" t="s">
        <v>59</v>
      </c>
      <c r="Q678">
        <v>7358</v>
      </c>
      <c r="R678">
        <v>48292</v>
      </c>
      <c r="S678" t="s">
        <v>44</v>
      </c>
      <c r="T678">
        <v>29525</v>
      </c>
      <c r="U678" t="s">
        <v>64</v>
      </c>
      <c r="V678">
        <v>48</v>
      </c>
      <c r="W678">
        <v>4</v>
      </c>
      <c r="X678" t="s">
        <v>47</v>
      </c>
      <c r="Y678" t="s">
        <v>38</v>
      </c>
      <c r="Z678" t="s">
        <v>39</v>
      </c>
      <c r="AA678" t="s">
        <v>34</v>
      </c>
      <c r="AB678" t="s">
        <v>43</v>
      </c>
      <c r="AC678" t="s">
        <v>36</v>
      </c>
    </row>
    <row r="679" spans="1:29" x14ac:dyDescent="0.25">
      <c r="A679">
        <v>716</v>
      </c>
      <c r="B679">
        <v>19260</v>
      </c>
      <c r="C679">
        <v>8212</v>
      </c>
      <c r="D679">
        <v>27472</v>
      </c>
      <c r="E679" t="s">
        <v>29</v>
      </c>
      <c r="F679">
        <v>47</v>
      </c>
      <c r="G679" t="s">
        <v>53</v>
      </c>
      <c r="H679" t="s">
        <v>30</v>
      </c>
      <c r="I679">
        <v>1</v>
      </c>
      <c r="J679" t="s">
        <v>68</v>
      </c>
      <c r="K679">
        <v>551</v>
      </c>
      <c r="L679" t="s">
        <v>66</v>
      </c>
      <c r="M679">
        <v>1</v>
      </c>
      <c r="N679" t="s">
        <v>44</v>
      </c>
      <c r="O679">
        <v>0.24</v>
      </c>
      <c r="P679" t="s">
        <v>59</v>
      </c>
      <c r="Q679">
        <v>17671</v>
      </c>
      <c r="R679">
        <v>1626</v>
      </c>
      <c r="S679" t="s">
        <v>44</v>
      </c>
      <c r="T679">
        <v>21491</v>
      </c>
      <c r="U679" t="s">
        <v>64</v>
      </c>
      <c r="V679">
        <v>24</v>
      </c>
      <c r="W679">
        <v>2</v>
      </c>
      <c r="X679" t="s">
        <v>47</v>
      </c>
      <c r="Y679" t="s">
        <v>45</v>
      </c>
      <c r="Z679" t="s">
        <v>39</v>
      </c>
      <c r="AA679" t="s">
        <v>40</v>
      </c>
      <c r="AB679" t="s">
        <v>42</v>
      </c>
      <c r="AC679" t="s">
        <v>36</v>
      </c>
    </row>
    <row r="680" spans="1:29" x14ac:dyDescent="0.25">
      <c r="A680">
        <v>717</v>
      </c>
      <c r="B680">
        <v>16277</v>
      </c>
      <c r="C680">
        <v>406</v>
      </c>
      <c r="D680">
        <v>16683</v>
      </c>
      <c r="E680" t="s">
        <v>46</v>
      </c>
      <c r="F680">
        <v>56</v>
      </c>
      <c r="G680" t="s">
        <v>69</v>
      </c>
      <c r="H680" t="s">
        <v>30</v>
      </c>
      <c r="I680">
        <v>2</v>
      </c>
      <c r="J680" t="s">
        <v>62</v>
      </c>
      <c r="K680">
        <v>798</v>
      </c>
      <c r="L680" t="s">
        <v>71</v>
      </c>
      <c r="M680">
        <v>0</v>
      </c>
      <c r="N680" t="s">
        <v>36</v>
      </c>
      <c r="O680">
        <v>0.26</v>
      </c>
      <c r="P680" t="s">
        <v>59</v>
      </c>
      <c r="Q680">
        <v>17502</v>
      </c>
      <c r="R680">
        <v>25279</v>
      </c>
      <c r="S680" t="s">
        <v>44</v>
      </c>
      <c r="T680">
        <v>4280</v>
      </c>
      <c r="U680" t="s">
        <v>73</v>
      </c>
      <c r="V680">
        <v>36</v>
      </c>
      <c r="W680">
        <v>3</v>
      </c>
      <c r="X680" t="s">
        <v>37</v>
      </c>
      <c r="Y680" t="s">
        <v>38</v>
      </c>
      <c r="Z680" t="s">
        <v>39</v>
      </c>
      <c r="AA680" t="s">
        <v>40</v>
      </c>
      <c r="AB680" t="s">
        <v>43</v>
      </c>
      <c r="AC680" t="s">
        <v>44</v>
      </c>
    </row>
    <row r="681" spans="1:29" x14ac:dyDescent="0.25">
      <c r="A681">
        <v>718</v>
      </c>
      <c r="B681">
        <v>5812</v>
      </c>
      <c r="C681">
        <v>9206</v>
      </c>
      <c r="D681">
        <v>15018</v>
      </c>
      <c r="E681" t="s">
        <v>46</v>
      </c>
      <c r="F681">
        <v>40</v>
      </c>
      <c r="G681" t="s">
        <v>65</v>
      </c>
      <c r="H681" t="s">
        <v>41</v>
      </c>
      <c r="I681">
        <v>0</v>
      </c>
      <c r="J681" t="s">
        <v>54</v>
      </c>
      <c r="K681">
        <v>626</v>
      </c>
      <c r="L681" t="s">
        <v>55</v>
      </c>
      <c r="M681">
        <v>2</v>
      </c>
      <c r="N681" t="s">
        <v>44</v>
      </c>
      <c r="O681">
        <v>0.56999999999999995</v>
      </c>
      <c r="P681" t="s">
        <v>56</v>
      </c>
      <c r="Q681">
        <v>7637</v>
      </c>
      <c r="R681">
        <v>6229</v>
      </c>
      <c r="S681" t="s">
        <v>44</v>
      </c>
      <c r="T681">
        <v>35980</v>
      </c>
      <c r="U681" t="s">
        <v>60</v>
      </c>
      <c r="V681">
        <v>12</v>
      </c>
      <c r="W681">
        <v>1</v>
      </c>
      <c r="X681" t="s">
        <v>37</v>
      </c>
      <c r="Y681" t="s">
        <v>45</v>
      </c>
      <c r="Z681" t="s">
        <v>39</v>
      </c>
      <c r="AA681" t="s">
        <v>40</v>
      </c>
      <c r="AB681" t="s">
        <v>48</v>
      </c>
      <c r="AC681" t="s">
        <v>36</v>
      </c>
    </row>
    <row r="682" spans="1:29" x14ac:dyDescent="0.25">
      <c r="A682">
        <v>719</v>
      </c>
      <c r="B682">
        <v>19844</v>
      </c>
      <c r="C682">
        <v>4431</v>
      </c>
      <c r="D682">
        <v>24275</v>
      </c>
      <c r="E682" t="s">
        <v>29</v>
      </c>
      <c r="F682">
        <v>42</v>
      </c>
      <c r="G682" t="s">
        <v>65</v>
      </c>
      <c r="H682" t="s">
        <v>41</v>
      </c>
      <c r="I682">
        <v>1</v>
      </c>
      <c r="J682" t="s">
        <v>68</v>
      </c>
      <c r="K682">
        <v>729</v>
      </c>
      <c r="L682" t="s">
        <v>63</v>
      </c>
      <c r="M682">
        <v>0</v>
      </c>
      <c r="N682" t="s">
        <v>36</v>
      </c>
      <c r="O682">
        <v>0.24</v>
      </c>
      <c r="P682" t="s">
        <v>59</v>
      </c>
      <c r="Q682">
        <v>660</v>
      </c>
      <c r="R682">
        <v>6877</v>
      </c>
      <c r="S682" t="s">
        <v>44</v>
      </c>
      <c r="T682">
        <v>30989</v>
      </c>
      <c r="U682" t="s">
        <v>64</v>
      </c>
      <c r="V682">
        <v>48</v>
      </c>
      <c r="W682">
        <v>4</v>
      </c>
      <c r="X682" t="s">
        <v>50</v>
      </c>
      <c r="Y682" t="s">
        <v>38</v>
      </c>
      <c r="Z682" t="s">
        <v>33</v>
      </c>
      <c r="AA682" t="s">
        <v>34</v>
      </c>
      <c r="AB682" t="s">
        <v>42</v>
      </c>
      <c r="AC682" t="s">
        <v>44</v>
      </c>
    </row>
    <row r="683" spans="1:29" x14ac:dyDescent="0.25">
      <c r="A683">
        <v>720</v>
      </c>
      <c r="B683">
        <v>3605</v>
      </c>
      <c r="C683">
        <v>5243</v>
      </c>
      <c r="D683">
        <v>8848</v>
      </c>
      <c r="E683" t="s">
        <v>29</v>
      </c>
      <c r="F683">
        <v>30</v>
      </c>
      <c r="G683" t="s">
        <v>61</v>
      </c>
      <c r="H683" t="s">
        <v>30</v>
      </c>
      <c r="I683">
        <v>0</v>
      </c>
      <c r="J683" t="s">
        <v>54</v>
      </c>
      <c r="K683">
        <v>615</v>
      </c>
      <c r="L683" t="s">
        <v>55</v>
      </c>
      <c r="M683">
        <v>0</v>
      </c>
      <c r="N683" t="s">
        <v>36</v>
      </c>
      <c r="O683">
        <v>0.33</v>
      </c>
      <c r="P683" t="s">
        <v>67</v>
      </c>
      <c r="Q683">
        <v>8907</v>
      </c>
      <c r="R683">
        <v>33642</v>
      </c>
      <c r="S683" t="s">
        <v>44</v>
      </c>
      <c r="T683">
        <v>9078</v>
      </c>
      <c r="U683" t="s">
        <v>57</v>
      </c>
      <c r="V683">
        <v>48</v>
      </c>
      <c r="W683">
        <v>4</v>
      </c>
      <c r="X683" t="s">
        <v>47</v>
      </c>
      <c r="Y683" t="s">
        <v>32</v>
      </c>
      <c r="Z683" t="s">
        <v>39</v>
      </c>
      <c r="AA683" t="s">
        <v>40</v>
      </c>
      <c r="AB683" t="s">
        <v>43</v>
      </c>
      <c r="AC683" t="s">
        <v>36</v>
      </c>
    </row>
    <row r="684" spans="1:29" x14ac:dyDescent="0.25">
      <c r="A684">
        <v>721</v>
      </c>
      <c r="B684">
        <v>7622</v>
      </c>
      <c r="C684">
        <v>6542</v>
      </c>
      <c r="D684">
        <v>14164</v>
      </c>
      <c r="E684" t="s">
        <v>29</v>
      </c>
      <c r="F684">
        <v>59</v>
      </c>
      <c r="G684" t="s">
        <v>69</v>
      </c>
      <c r="H684" t="s">
        <v>41</v>
      </c>
      <c r="I684">
        <v>0</v>
      </c>
      <c r="J684" t="s">
        <v>54</v>
      </c>
      <c r="K684">
        <v>601</v>
      </c>
      <c r="L684" t="s">
        <v>55</v>
      </c>
      <c r="M684">
        <v>2</v>
      </c>
      <c r="N684" t="s">
        <v>44</v>
      </c>
      <c r="O684">
        <v>0.44</v>
      </c>
      <c r="P684" t="s">
        <v>70</v>
      </c>
      <c r="Q684">
        <v>6922</v>
      </c>
      <c r="R684">
        <v>38311</v>
      </c>
      <c r="S684" t="s">
        <v>44</v>
      </c>
      <c r="T684">
        <v>27118</v>
      </c>
      <c r="U684" t="s">
        <v>64</v>
      </c>
      <c r="V684">
        <v>60</v>
      </c>
      <c r="W684">
        <v>5</v>
      </c>
      <c r="X684" t="s">
        <v>50</v>
      </c>
      <c r="Y684" t="s">
        <v>32</v>
      </c>
      <c r="Z684" t="s">
        <v>39</v>
      </c>
      <c r="AA684" t="s">
        <v>40</v>
      </c>
      <c r="AB684" t="s">
        <v>35</v>
      </c>
      <c r="AC684" t="s">
        <v>36</v>
      </c>
    </row>
    <row r="685" spans="1:29" x14ac:dyDescent="0.25">
      <c r="A685">
        <v>722</v>
      </c>
      <c r="B685">
        <v>8767</v>
      </c>
      <c r="C685">
        <v>6936</v>
      </c>
      <c r="D685">
        <v>15703</v>
      </c>
      <c r="E685" t="s">
        <v>49</v>
      </c>
      <c r="F685">
        <v>35</v>
      </c>
      <c r="G685" t="s">
        <v>65</v>
      </c>
      <c r="H685" t="s">
        <v>41</v>
      </c>
      <c r="I685">
        <v>3</v>
      </c>
      <c r="J685" t="s">
        <v>58</v>
      </c>
      <c r="K685">
        <v>641</v>
      </c>
      <c r="L685" t="s">
        <v>55</v>
      </c>
      <c r="M685">
        <v>1</v>
      </c>
      <c r="N685" t="s">
        <v>44</v>
      </c>
      <c r="O685">
        <v>0.18</v>
      </c>
      <c r="P685" t="s">
        <v>59</v>
      </c>
      <c r="Q685">
        <v>11953</v>
      </c>
      <c r="R685">
        <v>32356</v>
      </c>
      <c r="S685" t="s">
        <v>44</v>
      </c>
      <c r="T685">
        <v>24985</v>
      </c>
      <c r="U685" t="s">
        <v>64</v>
      </c>
      <c r="V685">
        <v>24</v>
      </c>
      <c r="W685">
        <v>2</v>
      </c>
      <c r="X685" t="s">
        <v>47</v>
      </c>
      <c r="Y685" t="s">
        <v>45</v>
      </c>
      <c r="Z685" t="s">
        <v>39</v>
      </c>
      <c r="AA685" t="s">
        <v>34</v>
      </c>
      <c r="AB685" t="s">
        <v>42</v>
      </c>
      <c r="AC685" t="s">
        <v>36</v>
      </c>
    </row>
    <row r="686" spans="1:29" x14ac:dyDescent="0.25">
      <c r="A686">
        <v>723</v>
      </c>
      <c r="B686">
        <v>13613</v>
      </c>
      <c r="C686">
        <v>8906</v>
      </c>
      <c r="D686">
        <v>22519</v>
      </c>
      <c r="E686" t="s">
        <v>46</v>
      </c>
      <c r="F686">
        <v>35</v>
      </c>
      <c r="G686" t="s">
        <v>65</v>
      </c>
      <c r="H686" t="s">
        <v>30</v>
      </c>
      <c r="I686">
        <v>2</v>
      </c>
      <c r="J686" t="s">
        <v>62</v>
      </c>
      <c r="K686">
        <v>720</v>
      </c>
      <c r="L686" t="s">
        <v>63</v>
      </c>
      <c r="M686">
        <v>2</v>
      </c>
      <c r="N686" t="s">
        <v>44</v>
      </c>
      <c r="O686">
        <v>0.34</v>
      </c>
      <c r="P686" t="s">
        <v>67</v>
      </c>
      <c r="Q686">
        <v>18913</v>
      </c>
      <c r="R686">
        <v>3809</v>
      </c>
      <c r="S686" t="s">
        <v>44</v>
      </c>
      <c r="T686">
        <v>17997</v>
      </c>
      <c r="U686" t="s">
        <v>57</v>
      </c>
      <c r="V686">
        <v>84</v>
      </c>
      <c r="W686">
        <v>7</v>
      </c>
      <c r="X686" t="s">
        <v>37</v>
      </c>
      <c r="Y686" t="s">
        <v>32</v>
      </c>
      <c r="Z686" t="s">
        <v>33</v>
      </c>
      <c r="AA686" t="s">
        <v>34</v>
      </c>
      <c r="AB686" t="s">
        <v>42</v>
      </c>
      <c r="AC686" t="s">
        <v>44</v>
      </c>
    </row>
    <row r="687" spans="1:29" x14ac:dyDescent="0.25">
      <c r="A687">
        <v>724</v>
      </c>
      <c r="B687">
        <v>12589</v>
      </c>
      <c r="C687">
        <v>4146</v>
      </c>
      <c r="D687">
        <v>16735</v>
      </c>
      <c r="E687" t="s">
        <v>29</v>
      </c>
      <c r="F687">
        <v>24</v>
      </c>
      <c r="G687" t="s">
        <v>72</v>
      </c>
      <c r="H687" t="s">
        <v>41</v>
      </c>
      <c r="I687">
        <v>2</v>
      </c>
      <c r="J687" t="s">
        <v>62</v>
      </c>
      <c r="K687">
        <v>767</v>
      </c>
      <c r="L687" t="s">
        <v>71</v>
      </c>
      <c r="M687">
        <v>3</v>
      </c>
      <c r="N687" t="s">
        <v>44</v>
      </c>
      <c r="O687">
        <v>0.47</v>
      </c>
      <c r="P687" t="s">
        <v>70</v>
      </c>
      <c r="Q687">
        <v>3970</v>
      </c>
      <c r="R687">
        <v>43371</v>
      </c>
      <c r="S687" t="s">
        <v>44</v>
      </c>
      <c r="T687">
        <v>15274</v>
      </c>
      <c r="U687" t="s">
        <v>57</v>
      </c>
      <c r="V687">
        <v>84</v>
      </c>
      <c r="W687">
        <v>7</v>
      </c>
      <c r="X687" t="s">
        <v>42</v>
      </c>
      <c r="Y687" t="s">
        <v>32</v>
      </c>
      <c r="Z687" t="s">
        <v>33</v>
      </c>
      <c r="AA687" t="s">
        <v>40</v>
      </c>
      <c r="AB687" t="s">
        <v>35</v>
      </c>
      <c r="AC687" t="s">
        <v>36</v>
      </c>
    </row>
    <row r="688" spans="1:29" x14ac:dyDescent="0.25">
      <c r="A688">
        <v>725</v>
      </c>
      <c r="B688">
        <v>15918</v>
      </c>
      <c r="C688">
        <v>140</v>
      </c>
      <c r="D688">
        <v>16058</v>
      </c>
      <c r="E688" t="s">
        <v>46</v>
      </c>
      <c r="F688">
        <v>52</v>
      </c>
      <c r="G688" t="s">
        <v>53</v>
      </c>
      <c r="H688" t="s">
        <v>30</v>
      </c>
      <c r="I688">
        <v>3</v>
      </c>
      <c r="J688" t="s">
        <v>58</v>
      </c>
      <c r="K688">
        <v>571</v>
      </c>
      <c r="L688" t="s">
        <v>66</v>
      </c>
      <c r="M688">
        <v>3</v>
      </c>
      <c r="N688" t="s">
        <v>44</v>
      </c>
      <c r="O688">
        <v>0.53</v>
      </c>
      <c r="P688" t="s">
        <v>56</v>
      </c>
      <c r="Q688">
        <v>3407</v>
      </c>
      <c r="R688">
        <v>34875</v>
      </c>
      <c r="S688" t="s">
        <v>44</v>
      </c>
      <c r="T688">
        <v>1868</v>
      </c>
      <c r="U688" t="s">
        <v>73</v>
      </c>
      <c r="V688">
        <v>60</v>
      </c>
      <c r="W688">
        <v>5</v>
      </c>
      <c r="X688" t="s">
        <v>42</v>
      </c>
      <c r="Y688" t="s">
        <v>45</v>
      </c>
      <c r="Z688" t="s">
        <v>33</v>
      </c>
      <c r="AA688" t="s">
        <v>40</v>
      </c>
      <c r="AB688" t="s">
        <v>35</v>
      </c>
      <c r="AC688" t="s">
        <v>36</v>
      </c>
    </row>
    <row r="689" spans="1:29" x14ac:dyDescent="0.25">
      <c r="A689">
        <v>726</v>
      </c>
      <c r="B689">
        <v>15046</v>
      </c>
      <c r="C689">
        <v>4882</v>
      </c>
      <c r="D689">
        <v>19928</v>
      </c>
      <c r="E689" t="s">
        <v>29</v>
      </c>
      <c r="F689">
        <v>43</v>
      </c>
      <c r="G689" t="s">
        <v>65</v>
      </c>
      <c r="H689" t="s">
        <v>30</v>
      </c>
      <c r="I689">
        <v>3</v>
      </c>
      <c r="J689" t="s">
        <v>58</v>
      </c>
      <c r="K689">
        <v>660</v>
      </c>
      <c r="L689" t="s">
        <v>55</v>
      </c>
      <c r="M689">
        <v>3</v>
      </c>
      <c r="N689" t="s">
        <v>44</v>
      </c>
      <c r="O689">
        <v>0.41</v>
      </c>
      <c r="P689" t="s">
        <v>70</v>
      </c>
      <c r="Q689">
        <v>0</v>
      </c>
      <c r="R689">
        <v>44513</v>
      </c>
      <c r="S689" t="s">
        <v>44</v>
      </c>
      <c r="T689">
        <v>27398</v>
      </c>
      <c r="U689" t="s">
        <v>64</v>
      </c>
      <c r="V689">
        <v>72</v>
      </c>
      <c r="W689">
        <v>6</v>
      </c>
      <c r="X689" t="s">
        <v>42</v>
      </c>
      <c r="Y689" t="s">
        <v>32</v>
      </c>
      <c r="Z689" t="s">
        <v>39</v>
      </c>
      <c r="AA689" t="s">
        <v>34</v>
      </c>
      <c r="AB689" t="s">
        <v>42</v>
      </c>
      <c r="AC689" t="s">
        <v>36</v>
      </c>
    </row>
    <row r="690" spans="1:29" x14ac:dyDescent="0.25">
      <c r="A690">
        <v>727</v>
      </c>
      <c r="B690">
        <v>4590</v>
      </c>
      <c r="C690">
        <v>6012</v>
      </c>
      <c r="D690">
        <v>10602</v>
      </c>
      <c r="E690" t="s">
        <v>29</v>
      </c>
      <c r="F690">
        <v>26</v>
      </c>
      <c r="G690" t="s">
        <v>61</v>
      </c>
      <c r="H690" t="s">
        <v>30</v>
      </c>
      <c r="I690">
        <v>0</v>
      </c>
      <c r="J690" t="s">
        <v>54</v>
      </c>
      <c r="K690">
        <v>656</v>
      </c>
      <c r="L690" t="s">
        <v>55</v>
      </c>
      <c r="M690">
        <v>4</v>
      </c>
      <c r="N690" t="s">
        <v>44</v>
      </c>
      <c r="O690">
        <v>0.43</v>
      </c>
      <c r="P690" t="s">
        <v>70</v>
      </c>
      <c r="Q690">
        <v>14547</v>
      </c>
      <c r="R690">
        <v>9465</v>
      </c>
      <c r="S690" t="s">
        <v>44</v>
      </c>
      <c r="T690">
        <v>17042</v>
      </c>
      <c r="U690" t="s">
        <v>57</v>
      </c>
      <c r="V690">
        <v>48</v>
      </c>
      <c r="W690">
        <v>4</v>
      </c>
      <c r="X690" t="s">
        <v>42</v>
      </c>
      <c r="Y690" t="s">
        <v>45</v>
      </c>
      <c r="Z690" t="s">
        <v>33</v>
      </c>
      <c r="AA690" t="s">
        <v>34</v>
      </c>
      <c r="AB690" t="s">
        <v>51</v>
      </c>
      <c r="AC690" t="s">
        <v>36</v>
      </c>
    </row>
    <row r="691" spans="1:29" x14ac:dyDescent="0.25">
      <c r="A691">
        <v>728</v>
      </c>
      <c r="B691">
        <v>19447</v>
      </c>
      <c r="C691">
        <v>963</v>
      </c>
      <c r="D691">
        <v>20410</v>
      </c>
      <c r="E691" t="s">
        <v>48</v>
      </c>
      <c r="F691">
        <v>44</v>
      </c>
      <c r="G691" t="s">
        <v>65</v>
      </c>
      <c r="H691" t="s">
        <v>30</v>
      </c>
      <c r="I691">
        <v>1</v>
      </c>
      <c r="J691" t="s">
        <v>68</v>
      </c>
      <c r="K691">
        <v>732</v>
      </c>
      <c r="L691" t="s">
        <v>63</v>
      </c>
      <c r="M691">
        <v>1</v>
      </c>
      <c r="N691" t="s">
        <v>44</v>
      </c>
      <c r="O691">
        <v>0.16</v>
      </c>
      <c r="P691" t="s">
        <v>59</v>
      </c>
      <c r="Q691">
        <v>4760</v>
      </c>
      <c r="R691">
        <v>559</v>
      </c>
      <c r="S691" t="s">
        <v>44</v>
      </c>
      <c r="T691">
        <v>32820</v>
      </c>
      <c r="U691" t="s">
        <v>64</v>
      </c>
      <c r="V691">
        <v>48</v>
      </c>
      <c r="W691">
        <v>4</v>
      </c>
      <c r="X691" t="s">
        <v>31</v>
      </c>
      <c r="Y691" t="s">
        <v>32</v>
      </c>
      <c r="Z691" t="s">
        <v>39</v>
      </c>
      <c r="AA691" t="s">
        <v>40</v>
      </c>
      <c r="AB691" t="s">
        <v>35</v>
      </c>
      <c r="AC691" t="s">
        <v>44</v>
      </c>
    </row>
    <row r="692" spans="1:29" x14ac:dyDescent="0.25">
      <c r="A692">
        <v>729</v>
      </c>
      <c r="B692">
        <v>6324</v>
      </c>
      <c r="C692">
        <v>7151</v>
      </c>
      <c r="D692">
        <v>13475</v>
      </c>
      <c r="E692" t="s">
        <v>48</v>
      </c>
      <c r="F692">
        <v>40</v>
      </c>
      <c r="G692" t="s">
        <v>65</v>
      </c>
      <c r="H692" t="s">
        <v>30</v>
      </c>
      <c r="I692">
        <v>2</v>
      </c>
      <c r="J692" t="s">
        <v>62</v>
      </c>
      <c r="K692">
        <v>616</v>
      </c>
      <c r="L692" t="s">
        <v>55</v>
      </c>
      <c r="M692">
        <v>1</v>
      </c>
      <c r="N692" t="s">
        <v>44</v>
      </c>
      <c r="O692">
        <v>0.56999999999999995</v>
      </c>
      <c r="P692" t="s">
        <v>56</v>
      </c>
      <c r="Q692">
        <v>18281</v>
      </c>
      <c r="R692">
        <v>8308</v>
      </c>
      <c r="S692" t="s">
        <v>44</v>
      </c>
      <c r="T692">
        <v>22246</v>
      </c>
      <c r="U692" t="s">
        <v>64</v>
      </c>
      <c r="V692">
        <v>60</v>
      </c>
      <c r="W692">
        <v>5</v>
      </c>
      <c r="X692" t="s">
        <v>47</v>
      </c>
      <c r="Y692" t="s">
        <v>38</v>
      </c>
      <c r="Z692" t="s">
        <v>39</v>
      </c>
      <c r="AA692" t="s">
        <v>40</v>
      </c>
      <c r="AB692" t="s">
        <v>35</v>
      </c>
      <c r="AC692" t="s">
        <v>36</v>
      </c>
    </row>
    <row r="693" spans="1:29" x14ac:dyDescent="0.25">
      <c r="A693">
        <v>730</v>
      </c>
      <c r="B693">
        <v>12787</v>
      </c>
      <c r="C693">
        <v>8564</v>
      </c>
      <c r="D693">
        <v>21351</v>
      </c>
      <c r="E693" t="s">
        <v>46</v>
      </c>
      <c r="F693">
        <v>57</v>
      </c>
      <c r="G693" t="s">
        <v>69</v>
      </c>
      <c r="H693" t="s">
        <v>41</v>
      </c>
      <c r="I693">
        <v>0</v>
      </c>
      <c r="J693" t="s">
        <v>54</v>
      </c>
      <c r="K693">
        <v>776</v>
      </c>
      <c r="L693" t="s">
        <v>71</v>
      </c>
      <c r="M693">
        <v>4</v>
      </c>
      <c r="N693" t="s">
        <v>44</v>
      </c>
      <c r="O693">
        <v>0.17</v>
      </c>
      <c r="P693" t="s">
        <v>59</v>
      </c>
      <c r="Q693">
        <v>13465</v>
      </c>
      <c r="R693">
        <v>21353</v>
      </c>
      <c r="S693" t="s">
        <v>44</v>
      </c>
      <c r="T693">
        <v>21561</v>
      </c>
      <c r="U693" t="s">
        <v>64</v>
      </c>
      <c r="V693">
        <v>48</v>
      </c>
      <c r="W693">
        <v>4</v>
      </c>
      <c r="X693" t="s">
        <v>42</v>
      </c>
      <c r="Y693" t="s">
        <v>38</v>
      </c>
      <c r="Z693" t="s">
        <v>39</v>
      </c>
      <c r="AA693" t="s">
        <v>34</v>
      </c>
      <c r="AB693" t="s">
        <v>43</v>
      </c>
      <c r="AC693" t="s">
        <v>44</v>
      </c>
    </row>
    <row r="694" spans="1:29" x14ac:dyDescent="0.25">
      <c r="A694">
        <v>731</v>
      </c>
      <c r="B694">
        <v>11111</v>
      </c>
      <c r="C694">
        <v>3610</v>
      </c>
      <c r="D694">
        <v>14721</v>
      </c>
      <c r="E694" t="s">
        <v>29</v>
      </c>
      <c r="F694">
        <v>40</v>
      </c>
      <c r="G694" t="s">
        <v>65</v>
      </c>
      <c r="H694" t="s">
        <v>30</v>
      </c>
      <c r="I694">
        <v>1</v>
      </c>
      <c r="J694" t="s">
        <v>68</v>
      </c>
      <c r="K694">
        <v>737</v>
      </c>
      <c r="L694" t="s">
        <v>63</v>
      </c>
      <c r="M694">
        <v>0</v>
      </c>
      <c r="N694" t="s">
        <v>36</v>
      </c>
      <c r="O694">
        <v>0.49</v>
      </c>
      <c r="P694" t="s">
        <v>70</v>
      </c>
      <c r="Q694">
        <v>4087</v>
      </c>
      <c r="R694">
        <v>15250</v>
      </c>
      <c r="S694" t="s">
        <v>44</v>
      </c>
      <c r="T694">
        <v>0</v>
      </c>
      <c r="U694" t="s">
        <v>73</v>
      </c>
      <c r="V694">
        <v>48</v>
      </c>
      <c r="W694">
        <v>4</v>
      </c>
      <c r="X694" t="s">
        <v>31</v>
      </c>
      <c r="Y694" t="s">
        <v>38</v>
      </c>
      <c r="Z694" t="s">
        <v>39</v>
      </c>
      <c r="AA694" t="s">
        <v>34</v>
      </c>
      <c r="AB694" t="s">
        <v>35</v>
      </c>
      <c r="AC694" t="s">
        <v>36</v>
      </c>
    </row>
    <row r="695" spans="1:29" x14ac:dyDescent="0.25">
      <c r="A695">
        <v>732</v>
      </c>
      <c r="B695">
        <v>7342</v>
      </c>
      <c r="C695">
        <v>9884</v>
      </c>
      <c r="D695">
        <v>17226</v>
      </c>
      <c r="E695" t="s">
        <v>49</v>
      </c>
      <c r="F695">
        <v>32</v>
      </c>
      <c r="G695" t="s">
        <v>61</v>
      </c>
      <c r="H695" t="s">
        <v>30</v>
      </c>
      <c r="I695">
        <v>3</v>
      </c>
      <c r="J695" t="s">
        <v>58</v>
      </c>
      <c r="K695">
        <v>735</v>
      </c>
      <c r="L695" t="s">
        <v>63</v>
      </c>
      <c r="M695">
        <v>3</v>
      </c>
      <c r="N695" t="s">
        <v>44</v>
      </c>
      <c r="O695">
        <v>0.23</v>
      </c>
      <c r="P695" t="s">
        <v>59</v>
      </c>
      <c r="Q695">
        <v>7607</v>
      </c>
      <c r="R695">
        <v>46023</v>
      </c>
      <c r="S695" t="s">
        <v>44</v>
      </c>
      <c r="T695">
        <v>35512</v>
      </c>
      <c r="U695" t="s">
        <v>60</v>
      </c>
      <c r="V695">
        <v>36</v>
      </c>
      <c r="W695">
        <v>3</v>
      </c>
      <c r="X695" t="s">
        <v>31</v>
      </c>
      <c r="Y695" t="s">
        <v>32</v>
      </c>
      <c r="Z695" t="s">
        <v>33</v>
      </c>
      <c r="AA695" t="s">
        <v>34</v>
      </c>
      <c r="AB695" t="s">
        <v>42</v>
      </c>
      <c r="AC695" t="s">
        <v>44</v>
      </c>
    </row>
    <row r="696" spans="1:29" x14ac:dyDescent="0.25">
      <c r="A696">
        <v>733</v>
      </c>
      <c r="B696">
        <v>18389</v>
      </c>
      <c r="C696">
        <v>6894</v>
      </c>
      <c r="D696">
        <v>25283</v>
      </c>
      <c r="E696" t="s">
        <v>29</v>
      </c>
      <c r="F696">
        <v>53</v>
      </c>
      <c r="G696" t="s">
        <v>53</v>
      </c>
      <c r="H696" t="s">
        <v>30</v>
      </c>
      <c r="I696">
        <v>1</v>
      </c>
      <c r="J696" t="s">
        <v>68</v>
      </c>
      <c r="K696">
        <v>689</v>
      </c>
      <c r="L696" t="s">
        <v>63</v>
      </c>
      <c r="M696">
        <v>0</v>
      </c>
      <c r="N696" t="s">
        <v>36</v>
      </c>
      <c r="O696">
        <v>0.35</v>
      </c>
      <c r="P696" t="s">
        <v>67</v>
      </c>
      <c r="Q696">
        <v>4019</v>
      </c>
      <c r="R696">
        <v>35814</v>
      </c>
      <c r="S696" t="s">
        <v>44</v>
      </c>
      <c r="T696">
        <v>36024</v>
      </c>
      <c r="U696" t="s">
        <v>60</v>
      </c>
      <c r="V696">
        <v>12</v>
      </c>
      <c r="W696">
        <v>1</v>
      </c>
      <c r="X696" t="s">
        <v>31</v>
      </c>
      <c r="Y696" t="s">
        <v>45</v>
      </c>
      <c r="Z696" t="s">
        <v>39</v>
      </c>
      <c r="AA696" t="s">
        <v>40</v>
      </c>
      <c r="AB696" t="s">
        <v>42</v>
      </c>
      <c r="AC696" t="s">
        <v>36</v>
      </c>
    </row>
    <row r="697" spans="1:29" x14ac:dyDescent="0.25">
      <c r="A697">
        <v>734</v>
      </c>
      <c r="B697">
        <v>10659</v>
      </c>
      <c r="C697">
        <v>7311</v>
      </c>
      <c r="D697">
        <v>17970</v>
      </c>
      <c r="E697" t="s">
        <v>52</v>
      </c>
      <c r="F697">
        <v>48</v>
      </c>
      <c r="G697" t="s">
        <v>53</v>
      </c>
      <c r="H697" t="s">
        <v>41</v>
      </c>
      <c r="I697">
        <v>0</v>
      </c>
      <c r="J697" t="s">
        <v>54</v>
      </c>
      <c r="K697">
        <v>765</v>
      </c>
      <c r="L697" t="s">
        <v>71</v>
      </c>
      <c r="M697">
        <v>0</v>
      </c>
      <c r="N697" t="s">
        <v>36</v>
      </c>
      <c r="O697">
        <v>0.46</v>
      </c>
      <c r="P697" t="s">
        <v>70</v>
      </c>
      <c r="Q697">
        <v>815</v>
      </c>
      <c r="R697">
        <v>46624</v>
      </c>
      <c r="S697" t="s">
        <v>44</v>
      </c>
      <c r="T697">
        <v>24996</v>
      </c>
      <c r="U697" t="s">
        <v>64</v>
      </c>
      <c r="V697">
        <v>12</v>
      </c>
      <c r="W697">
        <v>1</v>
      </c>
      <c r="X697" t="s">
        <v>50</v>
      </c>
      <c r="Y697" t="s">
        <v>38</v>
      </c>
      <c r="Z697" t="s">
        <v>39</v>
      </c>
      <c r="AA697" t="s">
        <v>40</v>
      </c>
      <c r="AB697" t="s">
        <v>35</v>
      </c>
      <c r="AC697" t="s">
        <v>36</v>
      </c>
    </row>
    <row r="698" spans="1:29" x14ac:dyDescent="0.25">
      <c r="A698">
        <v>735</v>
      </c>
      <c r="B698">
        <v>16043</v>
      </c>
      <c r="C698">
        <v>105</v>
      </c>
      <c r="D698">
        <v>16148</v>
      </c>
      <c r="E698" t="s">
        <v>29</v>
      </c>
      <c r="F698">
        <v>28</v>
      </c>
      <c r="G698" t="s">
        <v>61</v>
      </c>
      <c r="H698" t="s">
        <v>30</v>
      </c>
      <c r="I698">
        <v>3</v>
      </c>
      <c r="J698" t="s">
        <v>58</v>
      </c>
      <c r="K698">
        <v>618</v>
      </c>
      <c r="L698" t="s">
        <v>55</v>
      </c>
      <c r="M698">
        <v>0</v>
      </c>
      <c r="N698" t="s">
        <v>36</v>
      </c>
      <c r="O698">
        <v>0.48</v>
      </c>
      <c r="P698" t="s">
        <v>70</v>
      </c>
      <c r="Q698">
        <v>12563</v>
      </c>
      <c r="R698">
        <v>16427</v>
      </c>
      <c r="S698" t="s">
        <v>44</v>
      </c>
      <c r="T698">
        <v>29618</v>
      </c>
      <c r="U698" t="s">
        <v>64</v>
      </c>
      <c r="V698">
        <v>12</v>
      </c>
      <c r="W698">
        <v>1</v>
      </c>
      <c r="X698" t="s">
        <v>50</v>
      </c>
      <c r="Y698" t="s">
        <v>38</v>
      </c>
      <c r="Z698" t="s">
        <v>39</v>
      </c>
      <c r="AA698" t="s">
        <v>34</v>
      </c>
      <c r="AB698" t="s">
        <v>51</v>
      </c>
      <c r="AC698" t="s">
        <v>36</v>
      </c>
    </row>
    <row r="699" spans="1:29" x14ac:dyDescent="0.25">
      <c r="A699">
        <v>736</v>
      </c>
      <c r="B699">
        <v>10837</v>
      </c>
      <c r="C699">
        <v>5539</v>
      </c>
      <c r="D699">
        <v>16376</v>
      </c>
      <c r="E699" t="s">
        <v>46</v>
      </c>
      <c r="F699">
        <v>21</v>
      </c>
      <c r="G699" t="s">
        <v>72</v>
      </c>
      <c r="H699" t="s">
        <v>30</v>
      </c>
      <c r="I699">
        <v>1</v>
      </c>
      <c r="J699" t="s">
        <v>68</v>
      </c>
      <c r="K699">
        <v>633</v>
      </c>
      <c r="L699" t="s">
        <v>55</v>
      </c>
      <c r="M699">
        <v>2</v>
      </c>
      <c r="N699" t="s">
        <v>44</v>
      </c>
      <c r="O699">
        <v>0.35</v>
      </c>
      <c r="P699" t="s">
        <v>67</v>
      </c>
      <c r="Q699">
        <v>13292</v>
      </c>
      <c r="R699">
        <v>33276</v>
      </c>
      <c r="S699" t="s">
        <v>44</v>
      </c>
      <c r="T699">
        <v>12859</v>
      </c>
      <c r="U699" t="s">
        <v>57</v>
      </c>
      <c r="V699">
        <v>36</v>
      </c>
      <c r="W699">
        <v>3</v>
      </c>
      <c r="X699" t="s">
        <v>31</v>
      </c>
      <c r="Y699" t="s">
        <v>45</v>
      </c>
      <c r="Z699" t="s">
        <v>39</v>
      </c>
      <c r="AA699" t="s">
        <v>40</v>
      </c>
      <c r="AB699" t="s">
        <v>43</v>
      </c>
      <c r="AC699" t="s">
        <v>36</v>
      </c>
    </row>
    <row r="700" spans="1:29" x14ac:dyDescent="0.25">
      <c r="A700">
        <v>737</v>
      </c>
      <c r="B700">
        <v>2117</v>
      </c>
      <c r="C700">
        <v>9873</v>
      </c>
      <c r="D700">
        <v>11990</v>
      </c>
      <c r="E700" t="s">
        <v>46</v>
      </c>
      <c r="F700">
        <v>57</v>
      </c>
      <c r="G700" t="s">
        <v>69</v>
      </c>
      <c r="H700" t="s">
        <v>30</v>
      </c>
      <c r="I700">
        <v>3</v>
      </c>
      <c r="J700" t="s">
        <v>58</v>
      </c>
      <c r="K700">
        <v>652</v>
      </c>
      <c r="L700" t="s">
        <v>55</v>
      </c>
      <c r="M700">
        <v>1</v>
      </c>
      <c r="N700" t="s">
        <v>44</v>
      </c>
      <c r="O700">
        <v>0.32</v>
      </c>
      <c r="P700" t="s">
        <v>67</v>
      </c>
      <c r="Q700">
        <v>16158</v>
      </c>
      <c r="R700">
        <v>6107</v>
      </c>
      <c r="S700" t="s">
        <v>44</v>
      </c>
      <c r="T700">
        <v>24580</v>
      </c>
      <c r="U700" t="s">
        <v>64</v>
      </c>
      <c r="V700">
        <v>48</v>
      </c>
      <c r="W700">
        <v>4</v>
      </c>
      <c r="X700" t="s">
        <v>42</v>
      </c>
      <c r="Y700" t="s">
        <v>32</v>
      </c>
      <c r="Z700" t="s">
        <v>39</v>
      </c>
      <c r="AA700" t="s">
        <v>40</v>
      </c>
      <c r="AB700" t="s">
        <v>42</v>
      </c>
      <c r="AC700" t="s">
        <v>36</v>
      </c>
    </row>
    <row r="701" spans="1:29" x14ac:dyDescent="0.25">
      <c r="A701">
        <v>738</v>
      </c>
      <c r="B701">
        <v>15917</v>
      </c>
      <c r="C701">
        <v>6787</v>
      </c>
      <c r="D701">
        <v>22704</v>
      </c>
      <c r="E701" t="s">
        <v>29</v>
      </c>
      <c r="F701">
        <v>42</v>
      </c>
      <c r="G701" t="s">
        <v>65</v>
      </c>
      <c r="H701" t="s">
        <v>30</v>
      </c>
      <c r="I701">
        <v>0</v>
      </c>
      <c r="J701" t="s">
        <v>54</v>
      </c>
      <c r="K701">
        <v>588</v>
      </c>
      <c r="L701" t="s">
        <v>55</v>
      </c>
      <c r="M701">
        <v>4</v>
      </c>
      <c r="N701" t="s">
        <v>44</v>
      </c>
      <c r="O701">
        <v>0.41</v>
      </c>
      <c r="P701" t="s">
        <v>70</v>
      </c>
      <c r="Q701">
        <v>922</v>
      </c>
      <c r="R701">
        <v>13476</v>
      </c>
      <c r="S701" t="s">
        <v>44</v>
      </c>
      <c r="T701">
        <v>0</v>
      </c>
      <c r="U701" t="s">
        <v>73</v>
      </c>
      <c r="V701">
        <v>60</v>
      </c>
      <c r="W701">
        <v>5</v>
      </c>
      <c r="X701" t="s">
        <v>47</v>
      </c>
      <c r="Y701" t="s">
        <v>45</v>
      </c>
      <c r="Z701" t="s">
        <v>39</v>
      </c>
      <c r="AA701" t="s">
        <v>40</v>
      </c>
      <c r="AB701" t="s">
        <v>35</v>
      </c>
      <c r="AC701" t="s">
        <v>36</v>
      </c>
    </row>
    <row r="702" spans="1:29" x14ac:dyDescent="0.25">
      <c r="A702">
        <v>739</v>
      </c>
      <c r="B702">
        <v>16309</v>
      </c>
      <c r="C702">
        <v>2137</v>
      </c>
      <c r="D702">
        <v>18446</v>
      </c>
      <c r="E702" t="s">
        <v>46</v>
      </c>
      <c r="F702">
        <v>26</v>
      </c>
      <c r="G702" t="s">
        <v>61</v>
      </c>
      <c r="H702" t="s">
        <v>41</v>
      </c>
      <c r="I702">
        <v>0</v>
      </c>
      <c r="J702" t="s">
        <v>54</v>
      </c>
      <c r="K702">
        <v>562</v>
      </c>
      <c r="L702" t="s">
        <v>66</v>
      </c>
      <c r="M702">
        <v>1</v>
      </c>
      <c r="N702" t="s">
        <v>44</v>
      </c>
      <c r="O702">
        <v>0.48</v>
      </c>
      <c r="P702" t="s">
        <v>70</v>
      </c>
      <c r="Q702">
        <v>12929</v>
      </c>
      <c r="R702">
        <v>0</v>
      </c>
      <c r="S702" t="s">
        <v>36</v>
      </c>
      <c r="T702">
        <v>38857</v>
      </c>
      <c r="U702" t="s">
        <v>60</v>
      </c>
      <c r="V702">
        <v>84</v>
      </c>
      <c r="W702">
        <v>7</v>
      </c>
      <c r="X702" t="s">
        <v>37</v>
      </c>
      <c r="Y702" t="s">
        <v>45</v>
      </c>
      <c r="Z702" t="s">
        <v>39</v>
      </c>
      <c r="AA702" t="s">
        <v>40</v>
      </c>
      <c r="AB702" t="s">
        <v>43</v>
      </c>
      <c r="AC702" t="s">
        <v>36</v>
      </c>
    </row>
    <row r="703" spans="1:29" x14ac:dyDescent="0.25">
      <c r="A703">
        <v>741</v>
      </c>
      <c r="B703">
        <v>7560</v>
      </c>
      <c r="C703">
        <v>3530</v>
      </c>
      <c r="D703">
        <v>11090</v>
      </c>
      <c r="E703" t="s">
        <v>29</v>
      </c>
      <c r="F703">
        <v>52</v>
      </c>
      <c r="G703" t="s">
        <v>53</v>
      </c>
      <c r="H703" t="s">
        <v>30</v>
      </c>
      <c r="I703">
        <v>3</v>
      </c>
      <c r="J703" t="s">
        <v>58</v>
      </c>
      <c r="K703">
        <v>606</v>
      </c>
      <c r="L703" t="s">
        <v>55</v>
      </c>
      <c r="M703">
        <v>0</v>
      </c>
      <c r="N703" t="s">
        <v>36</v>
      </c>
      <c r="O703">
        <v>0.57999999999999996</v>
      </c>
      <c r="P703" t="s">
        <v>56</v>
      </c>
      <c r="Q703">
        <v>0</v>
      </c>
      <c r="R703">
        <v>21795</v>
      </c>
      <c r="S703" t="s">
        <v>44</v>
      </c>
      <c r="T703">
        <v>5876</v>
      </c>
      <c r="U703" t="s">
        <v>57</v>
      </c>
      <c r="V703">
        <v>48</v>
      </c>
      <c r="W703">
        <v>4</v>
      </c>
      <c r="X703" t="s">
        <v>42</v>
      </c>
      <c r="Y703" t="s">
        <v>45</v>
      </c>
      <c r="Z703" t="s">
        <v>33</v>
      </c>
      <c r="AA703" t="s">
        <v>34</v>
      </c>
      <c r="AB703" t="s">
        <v>35</v>
      </c>
      <c r="AC703" t="s">
        <v>36</v>
      </c>
    </row>
    <row r="704" spans="1:29" x14ac:dyDescent="0.25">
      <c r="A704">
        <v>743</v>
      </c>
      <c r="B704">
        <v>12954</v>
      </c>
      <c r="C704">
        <v>7052</v>
      </c>
      <c r="D704">
        <v>20006</v>
      </c>
      <c r="E704" t="s">
        <v>52</v>
      </c>
      <c r="F704">
        <v>35</v>
      </c>
      <c r="G704" t="s">
        <v>65</v>
      </c>
      <c r="H704" t="s">
        <v>41</v>
      </c>
      <c r="I704">
        <v>1</v>
      </c>
      <c r="J704" t="s">
        <v>68</v>
      </c>
      <c r="K704">
        <v>550</v>
      </c>
      <c r="L704" t="s">
        <v>66</v>
      </c>
      <c r="M704">
        <v>3</v>
      </c>
      <c r="N704" t="s">
        <v>44</v>
      </c>
      <c r="O704">
        <v>0.24</v>
      </c>
      <c r="P704" t="s">
        <v>59</v>
      </c>
      <c r="Q704">
        <v>2722</v>
      </c>
      <c r="R704">
        <v>14167</v>
      </c>
      <c r="S704" t="s">
        <v>44</v>
      </c>
      <c r="T704">
        <v>29006</v>
      </c>
      <c r="U704" t="s">
        <v>64</v>
      </c>
      <c r="V704">
        <v>72</v>
      </c>
      <c r="W704">
        <v>6</v>
      </c>
      <c r="X704" t="s">
        <v>42</v>
      </c>
      <c r="Y704" t="s">
        <v>45</v>
      </c>
      <c r="Z704" t="s">
        <v>33</v>
      </c>
      <c r="AA704" t="s">
        <v>34</v>
      </c>
      <c r="AB704" t="s">
        <v>35</v>
      </c>
      <c r="AC704" t="s">
        <v>44</v>
      </c>
    </row>
    <row r="705" spans="1:29" x14ac:dyDescent="0.25">
      <c r="A705">
        <v>744</v>
      </c>
      <c r="B705">
        <v>15703</v>
      </c>
      <c r="C705">
        <v>3654</v>
      </c>
      <c r="D705">
        <v>19357</v>
      </c>
      <c r="E705" t="s">
        <v>29</v>
      </c>
      <c r="F705">
        <v>25</v>
      </c>
      <c r="G705" t="s">
        <v>61</v>
      </c>
      <c r="H705" t="s">
        <v>30</v>
      </c>
      <c r="I705">
        <v>3</v>
      </c>
      <c r="J705" t="s">
        <v>58</v>
      </c>
      <c r="K705">
        <v>550</v>
      </c>
      <c r="L705" t="s">
        <v>66</v>
      </c>
      <c r="M705">
        <v>0</v>
      </c>
      <c r="N705" t="s">
        <v>36</v>
      </c>
      <c r="O705">
        <v>0.51</v>
      </c>
      <c r="P705" t="s">
        <v>56</v>
      </c>
      <c r="Q705">
        <v>5355</v>
      </c>
      <c r="R705">
        <v>17300</v>
      </c>
      <c r="S705" t="s">
        <v>44</v>
      </c>
      <c r="T705">
        <v>36775</v>
      </c>
      <c r="U705" t="s">
        <v>60</v>
      </c>
      <c r="V705">
        <v>36</v>
      </c>
      <c r="W705">
        <v>3</v>
      </c>
      <c r="X705" t="s">
        <v>37</v>
      </c>
      <c r="Y705" t="s">
        <v>32</v>
      </c>
      <c r="Z705" t="s">
        <v>33</v>
      </c>
      <c r="AA705" t="s">
        <v>34</v>
      </c>
      <c r="AB705" t="s">
        <v>35</v>
      </c>
      <c r="AC705" t="s">
        <v>36</v>
      </c>
    </row>
    <row r="706" spans="1:29" x14ac:dyDescent="0.25">
      <c r="A706">
        <v>745</v>
      </c>
      <c r="B706">
        <v>17385</v>
      </c>
      <c r="C706">
        <v>7102</v>
      </c>
      <c r="D706">
        <v>24487</v>
      </c>
      <c r="E706" t="s">
        <v>29</v>
      </c>
      <c r="F706">
        <v>26</v>
      </c>
      <c r="G706" t="s">
        <v>61</v>
      </c>
      <c r="H706" t="s">
        <v>41</v>
      </c>
      <c r="I706">
        <v>1</v>
      </c>
      <c r="J706" t="s">
        <v>68</v>
      </c>
      <c r="K706">
        <v>562</v>
      </c>
      <c r="L706" t="s">
        <v>66</v>
      </c>
      <c r="M706">
        <v>0</v>
      </c>
      <c r="N706" t="s">
        <v>36</v>
      </c>
      <c r="O706">
        <v>0.36</v>
      </c>
      <c r="P706" t="s">
        <v>67</v>
      </c>
      <c r="Q706">
        <v>13301</v>
      </c>
      <c r="R706">
        <v>17182</v>
      </c>
      <c r="S706" t="s">
        <v>44</v>
      </c>
      <c r="T706">
        <v>31810</v>
      </c>
      <c r="U706" t="s">
        <v>64</v>
      </c>
      <c r="V706">
        <v>48</v>
      </c>
      <c r="W706">
        <v>4</v>
      </c>
      <c r="X706" t="s">
        <v>42</v>
      </c>
      <c r="Y706" t="s">
        <v>45</v>
      </c>
      <c r="Z706" t="s">
        <v>39</v>
      </c>
      <c r="AA706" t="s">
        <v>40</v>
      </c>
      <c r="AB706" t="s">
        <v>35</v>
      </c>
      <c r="AC706" t="s">
        <v>36</v>
      </c>
    </row>
    <row r="707" spans="1:29" x14ac:dyDescent="0.25">
      <c r="A707">
        <v>746</v>
      </c>
      <c r="B707">
        <v>15746</v>
      </c>
      <c r="C707">
        <v>2359</v>
      </c>
      <c r="D707">
        <v>18105</v>
      </c>
      <c r="E707" t="s">
        <v>46</v>
      </c>
      <c r="F707">
        <v>45</v>
      </c>
      <c r="G707" t="s">
        <v>53</v>
      </c>
      <c r="H707" t="s">
        <v>41</v>
      </c>
      <c r="I707">
        <v>0</v>
      </c>
      <c r="J707" t="s">
        <v>54</v>
      </c>
      <c r="K707">
        <v>669</v>
      </c>
      <c r="L707" t="s">
        <v>55</v>
      </c>
      <c r="M707">
        <v>2</v>
      </c>
      <c r="N707" t="s">
        <v>44</v>
      </c>
      <c r="O707">
        <v>0.33</v>
      </c>
      <c r="P707" t="s">
        <v>67</v>
      </c>
      <c r="Q707">
        <v>2550</v>
      </c>
      <c r="R707">
        <v>0</v>
      </c>
      <c r="S707" t="s">
        <v>36</v>
      </c>
      <c r="T707">
        <v>15325</v>
      </c>
      <c r="U707" t="s">
        <v>57</v>
      </c>
      <c r="V707">
        <v>12</v>
      </c>
      <c r="W707">
        <v>1</v>
      </c>
      <c r="X707" t="s">
        <v>37</v>
      </c>
      <c r="Y707" t="s">
        <v>32</v>
      </c>
      <c r="Z707" t="s">
        <v>33</v>
      </c>
      <c r="AA707" t="s">
        <v>40</v>
      </c>
      <c r="AB707" t="s">
        <v>35</v>
      </c>
      <c r="AC707" t="s">
        <v>44</v>
      </c>
    </row>
    <row r="708" spans="1:29" x14ac:dyDescent="0.25">
      <c r="A708">
        <v>747</v>
      </c>
      <c r="B708">
        <v>8469</v>
      </c>
      <c r="C708">
        <v>8105</v>
      </c>
      <c r="D708">
        <v>16574</v>
      </c>
      <c r="E708" t="s">
        <v>46</v>
      </c>
      <c r="F708">
        <v>49</v>
      </c>
      <c r="G708" t="s">
        <v>53</v>
      </c>
      <c r="H708" t="s">
        <v>41</v>
      </c>
      <c r="I708">
        <v>3</v>
      </c>
      <c r="J708" t="s">
        <v>58</v>
      </c>
      <c r="K708">
        <v>751</v>
      </c>
      <c r="L708" t="s">
        <v>71</v>
      </c>
      <c r="M708">
        <v>0</v>
      </c>
      <c r="N708" t="s">
        <v>36</v>
      </c>
      <c r="O708">
        <v>0.26</v>
      </c>
      <c r="P708" t="s">
        <v>59</v>
      </c>
      <c r="Q708">
        <v>11141</v>
      </c>
      <c r="R708">
        <v>0</v>
      </c>
      <c r="S708" t="s">
        <v>36</v>
      </c>
      <c r="T708">
        <v>36892</v>
      </c>
      <c r="U708" t="s">
        <v>60</v>
      </c>
      <c r="V708">
        <v>48</v>
      </c>
      <c r="W708">
        <v>4</v>
      </c>
      <c r="X708" t="s">
        <v>42</v>
      </c>
      <c r="Y708" t="s">
        <v>45</v>
      </c>
      <c r="Z708" t="s">
        <v>39</v>
      </c>
      <c r="AA708" t="s">
        <v>40</v>
      </c>
      <c r="AB708" t="s">
        <v>48</v>
      </c>
      <c r="AC708" t="s">
        <v>44</v>
      </c>
    </row>
    <row r="709" spans="1:29" x14ac:dyDescent="0.25">
      <c r="A709">
        <v>748</v>
      </c>
      <c r="B709">
        <v>11333</v>
      </c>
      <c r="C709">
        <v>8636</v>
      </c>
      <c r="D709">
        <v>19969</v>
      </c>
      <c r="E709" t="s">
        <v>49</v>
      </c>
      <c r="F709">
        <v>27</v>
      </c>
      <c r="G709" t="s">
        <v>61</v>
      </c>
      <c r="H709" t="s">
        <v>30</v>
      </c>
      <c r="I709">
        <v>3</v>
      </c>
      <c r="J709" t="s">
        <v>58</v>
      </c>
      <c r="K709">
        <v>646</v>
      </c>
      <c r="L709" t="s">
        <v>55</v>
      </c>
      <c r="M709">
        <v>3</v>
      </c>
      <c r="N709" t="s">
        <v>44</v>
      </c>
      <c r="O709">
        <v>0.35</v>
      </c>
      <c r="P709" t="s">
        <v>67</v>
      </c>
      <c r="Q709">
        <v>18057</v>
      </c>
      <c r="R709">
        <v>19659</v>
      </c>
      <c r="S709" t="s">
        <v>44</v>
      </c>
      <c r="T709">
        <v>2753</v>
      </c>
      <c r="U709" t="s">
        <v>73</v>
      </c>
      <c r="V709">
        <v>84</v>
      </c>
      <c r="W709">
        <v>7</v>
      </c>
      <c r="X709" t="s">
        <v>37</v>
      </c>
      <c r="Y709" t="s">
        <v>45</v>
      </c>
      <c r="Z709" t="s">
        <v>33</v>
      </c>
      <c r="AA709" t="s">
        <v>40</v>
      </c>
      <c r="AB709" t="s">
        <v>42</v>
      </c>
      <c r="AC709" t="s">
        <v>36</v>
      </c>
    </row>
    <row r="710" spans="1:29" x14ac:dyDescent="0.25">
      <c r="A710">
        <v>749</v>
      </c>
      <c r="B710">
        <v>18608</v>
      </c>
      <c r="C710">
        <v>6441</v>
      </c>
      <c r="D710">
        <v>25049</v>
      </c>
      <c r="E710" t="s">
        <v>29</v>
      </c>
      <c r="F710">
        <v>33</v>
      </c>
      <c r="G710" t="s">
        <v>61</v>
      </c>
      <c r="H710" t="s">
        <v>30</v>
      </c>
      <c r="I710">
        <v>3</v>
      </c>
      <c r="J710" t="s">
        <v>58</v>
      </c>
      <c r="K710">
        <v>606</v>
      </c>
      <c r="L710" t="s">
        <v>55</v>
      </c>
      <c r="M710">
        <v>4</v>
      </c>
      <c r="N710" t="s">
        <v>44</v>
      </c>
      <c r="O710">
        <v>0.46</v>
      </c>
      <c r="P710" t="s">
        <v>70</v>
      </c>
      <c r="Q710">
        <v>11284</v>
      </c>
      <c r="R710">
        <v>31403</v>
      </c>
      <c r="S710" t="s">
        <v>44</v>
      </c>
      <c r="T710">
        <v>30531</v>
      </c>
      <c r="U710" t="s">
        <v>64</v>
      </c>
      <c r="V710">
        <v>48</v>
      </c>
      <c r="W710">
        <v>4</v>
      </c>
      <c r="X710" t="s">
        <v>37</v>
      </c>
      <c r="Y710" t="s">
        <v>45</v>
      </c>
      <c r="Z710" t="s">
        <v>39</v>
      </c>
      <c r="AA710" t="s">
        <v>34</v>
      </c>
      <c r="AB710" t="s">
        <v>35</v>
      </c>
      <c r="AC710" t="s">
        <v>36</v>
      </c>
    </row>
    <row r="711" spans="1:29" x14ac:dyDescent="0.25">
      <c r="A711">
        <v>750</v>
      </c>
      <c r="B711">
        <v>14819</v>
      </c>
      <c r="C711">
        <v>5047</v>
      </c>
      <c r="D711">
        <v>19866</v>
      </c>
      <c r="E711" t="s">
        <v>48</v>
      </c>
      <c r="F711">
        <v>58</v>
      </c>
      <c r="G711" t="s">
        <v>69</v>
      </c>
      <c r="H711" t="s">
        <v>41</v>
      </c>
      <c r="I711">
        <v>3</v>
      </c>
      <c r="J711" t="s">
        <v>58</v>
      </c>
      <c r="K711">
        <v>550</v>
      </c>
      <c r="L711" t="s">
        <v>66</v>
      </c>
      <c r="M711">
        <v>1</v>
      </c>
      <c r="N711" t="s">
        <v>44</v>
      </c>
      <c r="O711">
        <v>0.31</v>
      </c>
      <c r="P711" t="s">
        <v>67</v>
      </c>
      <c r="Q711">
        <v>18050</v>
      </c>
      <c r="R711">
        <v>48651</v>
      </c>
      <c r="S711" t="s">
        <v>44</v>
      </c>
      <c r="T711">
        <v>18996</v>
      </c>
      <c r="U711" t="s">
        <v>57</v>
      </c>
      <c r="V711">
        <v>24</v>
      </c>
      <c r="W711">
        <v>2</v>
      </c>
      <c r="X711" t="s">
        <v>42</v>
      </c>
      <c r="Y711" t="s">
        <v>45</v>
      </c>
      <c r="Z711" t="s">
        <v>33</v>
      </c>
      <c r="AA711" t="s">
        <v>40</v>
      </c>
      <c r="AB711" t="s">
        <v>51</v>
      </c>
      <c r="AC711" t="s">
        <v>36</v>
      </c>
    </row>
    <row r="712" spans="1:29" x14ac:dyDescent="0.25">
      <c r="A712">
        <v>751</v>
      </c>
      <c r="B712">
        <v>6208</v>
      </c>
      <c r="C712">
        <v>8227</v>
      </c>
      <c r="D712">
        <v>14435</v>
      </c>
      <c r="E712" t="s">
        <v>29</v>
      </c>
      <c r="F712">
        <v>38</v>
      </c>
      <c r="G712" t="s">
        <v>65</v>
      </c>
      <c r="H712" t="s">
        <v>30</v>
      </c>
      <c r="I712">
        <v>1</v>
      </c>
      <c r="J712" t="s">
        <v>68</v>
      </c>
      <c r="K712">
        <v>667</v>
      </c>
      <c r="L712" t="s">
        <v>55</v>
      </c>
      <c r="M712">
        <v>2</v>
      </c>
      <c r="N712" t="s">
        <v>44</v>
      </c>
      <c r="O712">
        <v>0.41</v>
      </c>
      <c r="P712" t="s">
        <v>70</v>
      </c>
      <c r="Q712">
        <v>1384</v>
      </c>
      <c r="R712">
        <v>33586</v>
      </c>
      <c r="S712" t="s">
        <v>44</v>
      </c>
      <c r="T712">
        <v>4275</v>
      </c>
      <c r="U712" t="s">
        <v>73</v>
      </c>
      <c r="V712">
        <v>72</v>
      </c>
      <c r="W712">
        <v>6</v>
      </c>
      <c r="X712" t="s">
        <v>31</v>
      </c>
      <c r="Y712" t="s">
        <v>45</v>
      </c>
      <c r="Z712" t="s">
        <v>39</v>
      </c>
      <c r="AA712" t="s">
        <v>40</v>
      </c>
      <c r="AB712" t="s">
        <v>35</v>
      </c>
      <c r="AC712" t="s">
        <v>36</v>
      </c>
    </row>
    <row r="713" spans="1:29" x14ac:dyDescent="0.25">
      <c r="A713">
        <v>752</v>
      </c>
      <c r="B713">
        <v>8283</v>
      </c>
      <c r="C713">
        <v>5203</v>
      </c>
      <c r="D713">
        <v>13486</v>
      </c>
      <c r="E713" t="s">
        <v>29</v>
      </c>
      <c r="F713">
        <v>22</v>
      </c>
      <c r="G713" t="s">
        <v>72</v>
      </c>
      <c r="H713" t="s">
        <v>41</v>
      </c>
      <c r="I713">
        <v>1</v>
      </c>
      <c r="J713" t="s">
        <v>68</v>
      </c>
      <c r="K713">
        <v>629</v>
      </c>
      <c r="L713" t="s">
        <v>55</v>
      </c>
      <c r="M713">
        <v>1</v>
      </c>
      <c r="N713" t="s">
        <v>44</v>
      </c>
      <c r="O713">
        <v>0.45</v>
      </c>
      <c r="P713" t="s">
        <v>70</v>
      </c>
      <c r="Q713">
        <v>8252</v>
      </c>
      <c r="R713">
        <v>10360</v>
      </c>
      <c r="S713" t="s">
        <v>44</v>
      </c>
      <c r="T713">
        <v>9747</v>
      </c>
      <c r="U713" t="s">
        <v>57</v>
      </c>
      <c r="V713">
        <v>12</v>
      </c>
      <c r="W713">
        <v>1</v>
      </c>
      <c r="X713" t="s">
        <v>42</v>
      </c>
      <c r="Y713" t="s">
        <v>32</v>
      </c>
      <c r="Z713" t="s">
        <v>39</v>
      </c>
      <c r="AA713" t="s">
        <v>40</v>
      </c>
      <c r="AB713" t="s">
        <v>43</v>
      </c>
      <c r="AC713" t="s">
        <v>36</v>
      </c>
    </row>
    <row r="714" spans="1:29" x14ac:dyDescent="0.25">
      <c r="A714">
        <v>753</v>
      </c>
      <c r="B714">
        <v>4048</v>
      </c>
      <c r="C714">
        <v>9667</v>
      </c>
      <c r="D714">
        <v>13715</v>
      </c>
      <c r="E714" t="s">
        <v>46</v>
      </c>
      <c r="F714">
        <v>28</v>
      </c>
      <c r="G714" t="s">
        <v>61</v>
      </c>
      <c r="H714" t="s">
        <v>30</v>
      </c>
      <c r="I714">
        <v>0</v>
      </c>
      <c r="J714" t="s">
        <v>54</v>
      </c>
      <c r="K714">
        <v>677</v>
      </c>
      <c r="L714" t="s">
        <v>63</v>
      </c>
      <c r="M714">
        <v>2</v>
      </c>
      <c r="N714" t="s">
        <v>44</v>
      </c>
      <c r="O714">
        <v>0.46</v>
      </c>
      <c r="P714" t="s">
        <v>70</v>
      </c>
      <c r="Q714">
        <v>7238</v>
      </c>
      <c r="R714">
        <v>21424</v>
      </c>
      <c r="S714" t="s">
        <v>44</v>
      </c>
      <c r="T714">
        <v>1824</v>
      </c>
      <c r="U714" t="s">
        <v>73</v>
      </c>
      <c r="V714">
        <v>24</v>
      </c>
      <c r="W714">
        <v>2</v>
      </c>
      <c r="X714" t="s">
        <v>47</v>
      </c>
      <c r="Y714" t="s">
        <v>32</v>
      </c>
      <c r="Z714" t="s">
        <v>39</v>
      </c>
      <c r="AA714" t="s">
        <v>40</v>
      </c>
      <c r="AB714" t="s">
        <v>35</v>
      </c>
      <c r="AC714" t="s">
        <v>36</v>
      </c>
    </row>
    <row r="715" spans="1:29" x14ac:dyDescent="0.25">
      <c r="A715">
        <v>754</v>
      </c>
      <c r="B715">
        <v>8233</v>
      </c>
      <c r="C715">
        <v>1798</v>
      </c>
      <c r="D715">
        <v>10031</v>
      </c>
      <c r="E715" t="s">
        <v>29</v>
      </c>
      <c r="F715">
        <v>31</v>
      </c>
      <c r="G715" t="s">
        <v>61</v>
      </c>
      <c r="H715" t="s">
        <v>41</v>
      </c>
      <c r="I715">
        <v>2</v>
      </c>
      <c r="J715" t="s">
        <v>62</v>
      </c>
      <c r="K715">
        <v>722</v>
      </c>
      <c r="L715" t="s">
        <v>63</v>
      </c>
      <c r="M715">
        <v>3</v>
      </c>
      <c r="N715" t="s">
        <v>44</v>
      </c>
      <c r="O715">
        <v>0.13</v>
      </c>
      <c r="P715" t="s">
        <v>59</v>
      </c>
      <c r="Q715">
        <v>6026</v>
      </c>
      <c r="R715">
        <v>32499</v>
      </c>
      <c r="S715" t="s">
        <v>44</v>
      </c>
      <c r="T715">
        <v>14880</v>
      </c>
      <c r="U715" t="s">
        <v>57</v>
      </c>
      <c r="V715">
        <v>36</v>
      </c>
      <c r="W715">
        <v>3</v>
      </c>
      <c r="X715" t="s">
        <v>42</v>
      </c>
      <c r="Y715" t="s">
        <v>32</v>
      </c>
      <c r="Z715" t="s">
        <v>39</v>
      </c>
      <c r="AA715" t="s">
        <v>34</v>
      </c>
      <c r="AB715" t="s">
        <v>35</v>
      </c>
      <c r="AC715" t="s">
        <v>44</v>
      </c>
    </row>
    <row r="716" spans="1:29" x14ac:dyDescent="0.25">
      <c r="A716">
        <v>755</v>
      </c>
      <c r="B716">
        <v>14941</v>
      </c>
      <c r="C716">
        <v>9600</v>
      </c>
      <c r="D716">
        <v>24541</v>
      </c>
      <c r="E716" t="s">
        <v>29</v>
      </c>
      <c r="F716">
        <v>53</v>
      </c>
      <c r="G716" t="s">
        <v>53</v>
      </c>
      <c r="H716" t="s">
        <v>30</v>
      </c>
      <c r="I716">
        <v>2</v>
      </c>
      <c r="J716" t="s">
        <v>62</v>
      </c>
      <c r="K716">
        <v>584</v>
      </c>
      <c r="L716" t="s">
        <v>55</v>
      </c>
      <c r="M716">
        <v>4</v>
      </c>
      <c r="N716" t="s">
        <v>44</v>
      </c>
      <c r="O716">
        <v>0.53</v>
      </c>
      <c r="P716" t="s">
        <v>56</v>
      </c>
      <c r="Q716">
        <v>10482</v>
      </c>
      <c r="R716">
        <v>44695</v>
      </c>
      <c r="S716" t="s">
        <v>44</v>
      </c>
      <c r="T716">
        <v>2081</v>
      </c>
      <c r="U716" t="s">
        <v>73</v>
      </c>
      <c r="V716">
        <v>12</v>
      </c>
      <c r="W716">
        <v>1</v>
      </c>
      <c r="X716" t="s">
        <v>50</v>
      </c>
      <c r="Y716" t="s">
        <v>32</v>
      </c>
      <c r="Z716" t="s">
        <v>33</v>
      </c>
      <c r="AA716" t="s">
        <v>40</v>
      </c>
      <c r="AB716" t="s">
        <v>51</v>
      </c>
      <c r="AC716" t="s">
        <v>36</v>
      </c>
    </row>
    <row r="717" spans="1:29" x14ac:dyDescent="0.25">
      <c r="A717">
        <v>756</v>
      </c>
      <c r="B717">
        <v>14607</v>
      </c>
      <c r="C717">
        <v>5291</v>
      </c>
      <c r="D717">
        <v>19898</v>
      </c>
      <c r="E717" t="s">
        <v>29</v>
      </c>
      <c r="F717">
        <v>58</v>
      </c>
      <c r="G717" t="s">
        <v>69</v>
      </c>
      <c r="H717" t="s">
        <v>30</v>
      </c>
      <c r="I717">
        <v>0</v>
      </c>
      <c r="J717" t="s">
        <v>54</v>
      </c>
      <c r="K717">
        <v>552</v>
      </c>
      <c r="L717" t="s">
        <v>66</v>
      </c>
      <c r="M717">
        <v>1</v>
      </c>
      <c r="N717" t="s">
        <v>44</v>
      </c>
      <c r="O717">
        <v>0.33</v>
      </c>
      <c r="P717" t="s">
        <v>67</v>
      </c>
      <c r="Q717">
        <v>13801</v>
      </c>
      <c r="R717">
        <v>48791</v>
      </c>
      <c r="S717" t="s">
        <v>44</v>
      </c>
      <c r="T717">
        <v>12517</v>
      </c>
      <c r="U717" t="s">
        <v>57</v>
      </c>
      <c r="V717">
        <v>12</v>
      </c>
      <c r="W717">
        <v>1</v>
      </c>
      <c r="X717" t="s">
        <v>37</v>
      </c>
      <c r="Y717" t="s">
        <v>32</v>
      </c>
      <c r="Z717" t="s">
        <v>39</v>
      </c>
      <c r="AA717" t="s">
        <v>40</v>
      </c>
      <c r="AB717" t="s">
        <v>35</v>
      </c>
      <c r="AC717" t="s">
        <v>36</v>
      </c>
    </row>
    <row r="718" spans="1:29" x14ac:dyDescent="0.25">
      <c r="A718">
        <v>757</v>
      </c>
      <c r="B718">
        <v>11765</v>
      </c>
      <c r="C718">
        <v>5495</v>
      </c>
      <c r="D718">
        <v>17260</v>
      </c>
      <c r="E718" t="s">
        <v>29</v>
      </c>
      <c r="F718">
        <v>47</v>
      </c>
      <c r="G718" t="s">
        <v>53</v>
      </c>
      <c r="H718" t="s">
        <v>30</v>
      </c>
      <c r="I718">
        <v>2</v>
      </c>
      <c r="J718" t="s">
        <v>62</v>
      </c>
      <c r="K718">
        <v>669</v>
      </c>
      <c r="L718" t="s">
        <v>55</v>
      </c>
      <c r="M718">
        <v>3</v>
      </c>
      <c r="N718" t="s">
        <v>44</v>
      </c>
      <c r="O718">
        <v>0.23</v>
      </c>
      <c r="P718" t="s">
        <v>59</v>
      </c>
      <c r="Q718">
        <v>16120</v>
      </c>
      <c r="R718">
        <v>3065</v>
      </c>
      <c r="S718" t="s">
        <v>44</v>
      </c>
      <c r="T718">
        <v>22683</v>
      </c>
      <c r="U718" t="s">
        <v>64</v>
      </c>
      <c r="V718">
        <v>60</v>
      </c>
      <c r="W718">
        <v>5</v>
      </c>
      <c r="X718" t="s">
        <v>47</v>
      </c>
      <c r="Y718" t="s">
        <v>32</v>
      </c>
      <c r="Z718" t="s">
        <v>39</v>
      </c>
      <c r="AA718" t="s">
        <v>40</v>
      </c>
      <c r="AB718" t="s">
        <v>51</v>
      </c>
      <c r="AC718" t="s">
        <v>44</v>
      </c>
    </row>
    <row r="719" spans="1:29" x14ac:dyDescent="0.25">
      <c r="A719">
        <v>758</v>
      </c>
      <c r="B719">
        <v>3828</v>
      </c>
      <c r="C719">
        <v>9900</v>
      </c>
      <c r="D719">
        <v>13728</v>
      </c>
      <c r="E719" t="s">
        <v>29</v>
      </c>
      <c r="F719">
        <v>40</v>
      </c>
      <c r="G719" t="s">
        <v>65</v>
      </c>
      <c r="H719" t="s">
        <v>41</v>
      </c>
      <c r="I719">
        <v>0</v>
      </c>
      <c r="J719" t="s">
        <v>54</v>
      </c>
      <c r="K719">
        <v>554</v>
      </c>
      <c r="L719" t="s">
        <v>66</v>
      </c>
      <c r="M719">
        <v>2</v>
      </c>
      <c r="N719" t="s">
        <v>44</v>
      </c>
      <c r="O719">
        <v>0.22</v>
      </c>
      <c r="P719" t="s">
        <v>59</v>
      </c>
      <c r="Q719">
        <v>15580</v>
      </c>
      <c r="R719">
        <v>3259</v>
      </c>
      <c r="S719" t="s">
        <v>44</v>
      </c>
      <c r="T719">
        <v>17876</v>
      </c>
      <c r="U719" t="s">
        <v>57</v>
      </c>
      <c r="V719">
        <v>72</v>
      </c>
      <c r="W719">
        <v>6</v>
      </c>
      <c r="X719" t="s">
        <v>50</v>
      </c>
      <c r="Y719" t="s">
        <v>38</v>
      </c>
      <c r="Z719" t="s">
        <v>33</v>
      </c>
      <c r="AA719" t="s">
        <v>34</v>
      </c>
      <c r="AB719" t="s">
        <v>43</v>
      </c>
      <c r="AC719" t="s">
        <v>36</v>
      </c>
    </row>
    <row r="720" spans="1:29" x14ac:dyDescent="0.25">
      <c r="A720">
        <v>759</v>
      </c>
      <c r="B720">
        <v>3917</v>
      </c>
      <c r="C720">
        <v>6284</v>
      </c>
      <c r="D720">
        <v>10201</v>
      </c>
      <c r="E720" t="s">
        <v>48</v>
      </c>
      <c r="F720">
        <v>40</v>
      </c>
      <c r="G720" t="s">
        <v>65</v>
      </c>
      <c r="H720" t="s">
        <v>41</v>
      </c>
      <c r="I720">
        <v>1</v>
      </c>
      <c r="J720" t="s">
        <v>68</v>
      </c>
      <c r="K720">
        <v>767</v>
      </c>
      <c r="L720" t="s">
        <v>71</v>
      </c>
      <c r="M720">
        <v>1</v>
      </c>
      <c r="N720" t="s">
        <v>44</v>
      </c>
      <c r="O720">
        <v>0.34</v>
      </c>
      <c r="P720" t="s">
        <v>67</v>
      </c>
      <c r="Q720">
        <v>8664</v>
      </c>
      <c r="R720">
        <v>12300</v>
      </c>
      <c r="S720" t="s">
        <v>44</v>
      </c>
      <c r="T720">
        <v>38532</v>
      </c>
      <c r="U720" t="s">
        <v>60</v>
      </c>
      <c r="V720">
        <v>72</v>
      </c>
      <c r="W720">
        <v>6</v>
      </c>
      <c r="X720" t="s">
        <v>50</v>
      </c>
      <c r="Y720" t="s">
        <v>32</v>
      </c>
      <c r="Z720" t="s">
        <v>39</v>
      </c>
      <c r="AA720" t="s">
        <v>40</v>
      </c>
      <c r="AB720" t="s">
        <v>35</v>
      </c>
      <c r="AC720" t="s">
        <v>36</v>
      </c>
    </row>
    <row r="721" spans="1:29" x14ac:dyDescent="0.25">
      <c r="A721">
        <v>760</v>
      </c>
      <c r="B721">
        <v>8988</v>
      </c>
      <c r="C721">
        <v>7285</v>
      </c>
      <c r="D721">
        <v>16273</v>
      </c>
      <c r="E721" t="s">
        <v>29</v>
      </c>
      <c r="F721">
        <v>51</v>
      </c>
      <c r="G721" t="s">
        <v>53</v>
      </c>
      <c r="H721" t="s">
        <v>30</v>
      </c>
      <c r="I721">
        <v>3</v>
      </c>
      <c r="J721" t="s">
        <v>58</v>
      </c>
      <c r="K721">
        <v>560</v>
      </c>
      <c r="L721" t="s">
        <v>66</v>
      </c>
      <c r="M721">
        <v>1</v>
      </c>
      <c r="N721" t="s">
        <v>44</v>
      </c>
      <c r="O721">
        <v>0.54</v>
      </c>
      <c r="P721" t="s">
        <v>56</v>
      </c>
      <c r="Q721">
        <v>17342</v>
      </c>
      <c r="R721">
        <v>33370</v>
      </c>
      <c r="S721" t="s">
        <v>44</v>
      </c>
      <c r="T721">
        <v>9266</v>
      </c>
      <c r="U721" t="s">
        <v>57</v>
      </c>
      <c r="V721">
        <v>84</v>
      </c>
      <c r="W721">
        <v>7</v>
      </c>
      <c r="X721" t="s">
        <v>42</v>
      </c>
      <c r="Y721" t="s">
        <v>32</v>
      </c>
      <c r="Z721" t="s">
        <v>39</v>
      </c>
      <c r="AA721" t="s">
        <v>40</v>
      </c>
      <c r="AB721" t="s">
        <v>42</v>
      </c>
      <c r="AC721" t="s">
        <v>36</v>
      </c>
    </row>
    <row r="722" spans="1:29" x14ac:dyDescent="0.25">
      <c r="A722">
        <v>761</v>
      </c>
      <c r="B722">
        <v>16594</v>
      </c>
      <c r="C722">
        <v>1300</v>
      </c>
      <c r="D722">
        <v>17894</v>
      </c>
      <c r="E722" t="s">
        <v>49</v>
      </c>
      <c r="F722">
        <v>47</v>
      </c>
      <c r="G722" t="s">
        <v>53</v>
      </c>
      <c r="H722" t="s">
        <v>30</v>
      </c>
      <c r="I722">
        <v>3</v>
      </c>
      <c r="J722" t="s">
        <v>58</v>
      </c>
      <c r="K722">
        <v>675</v>
      </c>
      <c r="L722" t="s">
        <v>63</v>
      </c>
      <c r="M722">
        <v>3</v>
      </c>
      <c r="N722" t="s">
        <v>44</v>
      </c>
      <c r="O722">
        <v>0.28999999999999998</v>
      </c>
      <c r="P722" t="s">
        <v>59</v>
      </c>
      <c r="Q722">
        <v>493</v>
      </c>
      <c r="R722">
        <v>4295</v>
      </c>
      <c r="S722" t="s">
        <v>44</v>
      </c>
      <c r="T722">
        <v>12183</v>
      </c>
      <c r="U722" t="s">
        <v>57</v>
      </c>
      <c r="V722">
        <v>36</v>
      </c>
      <c r="W722">
        <v>3</v>
      </c>
      <c r="X722" t="s">
        <v>31</v>
      </c>
      <c r="Y722" t="s">
        <v>32</v>
      </c>
      <c r="Z722" t="s">
        <v>39</v>
      </c>
      <c r="AA722" t="s">
        <v>40</v>
      </c>
      <c r="AB722" t="s">
        <v>43</v>
      </c>
      <c r="AC722" t="s">
        <v>44</v>
      </c>
    </row>
    <row r="723" spans="1:29" x14ac:dyDescent="0.25">
      <c r="A723">
        <v>762</v>
      </c>
      <c r="B723">
        <v>14977</v>
      </c>
      <c r="C723">
        <v>6869</v>
      </c>
      <c r="D723">
        <v>21846</v>
      </c>
      <c r="E723" t="s">
        <v>49</v>
      </c>
      <c r="F723">
        <v>52</v>
      </c>
      <c r="G723" t="s">
        <v>53</v>
      </c>
      <c r="H723" t="s">
        <v>41</v>
      </c>
      <c r="I723">
        <v>1</v>
      </c>
      <c r="J723" t="s">
        <v>68</v>
      </c>
      <c r="K723">
        <v>620</v>
      </c>
      <c r="L723" t="s">
        <v>55</v>
      </c>
      <c r="M723">
        <v>1</v>
      </c>
      <c r="N723" t="s">
        <v>44</v>
      </c>
      <c r="O723">
        <v>0.47</v>
      </c>
      <c r="P723" t="s">
        <v>70</v>
      </c>
      <c r="Q723">
        <v>16465</v>
      </c>
      <c r="R723">
        <v>27209</v>
      </c>
      <c r="S723" t="s">
        <v>44</v>
      </c>
      <c r="T723">
        <v>22066</v>
      </c>
      <c r="U723" t="s">
        <v>64</v>
      </c>
      <c r="V723">
        <v>60</v>
      </c>
      <c r="W723">
        <v>5</v>
      </c>
      <c r="X723" t="s">
        <v>42</v>
      </c>
      <c r="Y723" t="s">
        <v>45</v>
      </c>
      <c r="Z723" t="s">
        <v>39</v>
      </c>
      <c r="AA723" t="s">
        <v>40</v>
      </c>
      <c r="AB723" t="s">
        <v>35</v>
      </c>
      <c r="AC723" t="s">
        <v>36</v>
      </c>
    </row>
    <row r="724" spans="1:29" x14ac:dyDescent="0.25">
      <c r="A724">
        <v>763</v>
      </c>
      <c r="B724">
        <v>2009</v>
      </c>
      <c r="C724">
        <v>9435</v>
      </c>
      <c r="D724">
        <v>11444</v>
      </c>
      <c r="E724" t="s">
        <v>48</v>
      </c>
      <c r="F724">
        <v>30</v>
      </c>
      <c r="G724" t="s">
        <v>61</v>
      </c>
      <c r="H724" t="s">
        <v>30</v>
      </c>
      <c r="I724">
        <v>3</v>
      </c>
      <c r="J724" t="s">
        <v>58</v>
      </c>
      <c r="K724">
        <v>666</v>
      </c>
      <c r="L724" t="s">
        <v>55</v>
      </c>
      <c r="M724">
        <v>4</v>
      </c>
      <c r="N724" t="s">
        <v>44</v>
      </c>
      <c r="O724">
        <v>0.15</v>
      </c>
      <c r="P724" t="s">
        <v>59</v>
      </c>
      <c r="Q724">
        <v>6999</v>
      </c>
      <c r="R724">
        <v>0</v>
      </c>
      <c r="S724" t="s">
        <v>36</v>
      </c>
      <c r="T724">
        <v>13877</v>
      </c>
      <c r="U724" t="s">
        <v>57</v>
      </c>
      <c r="V724">
        <v>84</v>
      </c>
      <c r="W724">
        <v>7</v>
      </c>
      <c r="X724" t="s">
        <v>42</v>
      </c>
      <c r="Y724" t="s">
        <v>32</v>
      </c>
      <c r="Z724" t="s">
        <v>33</v>
      </c>
      <c r="AA724" t="s">
        <v>40</v>
      </c>
      <c r="AB724" t="s">
        <v>35</v>
      </c>
      <c r="AC724" t="s">
        <v>36</v>
      </c>
    </row>
    <row r="725" spans="1:29" x14ac:dyDescent="0.25">
      <c r="A725">
        <v>764</v>
      </c>
      <c r="B725">
        <v>18644</v>
      </c>
      <c r="C725">
        <v>3097</v>
      </c>
      <c r="D725">
        <v>21741</v>
      </c>
      <c r="E725" t="s">
        <v>29</v>
      </c>
      <c r="F725">
        <v>23</v>
      </c>
      <c r="G725" t="s">
        <v>72</v>
      </c>
      <c r="H725" t="s">
        <v>30</v>
      </c>
      <c r="I725">
        <v>3</v>
      </c>
      <c r="J725" t="s">
        <v>58</v>
      </c>
      <c r="K725">
        <v>733</v>
      </c>
      <c r="L725" t="s">
        <v>63</v>
      </c>
      <c r="M725">
        <v>4</v>
      </c>
      <c r="N725" t="s">
        <v>44</v>
      </c>
      <c r="O725">
        <v>0.34</v>
      </c>
      <c r="P725" t="s">
        <v>67</v>
      </c>
      <c r="Q725">
        <v>13833</v>
      </c>
      <c r="R725">
        <v>36295</v>
      </c>
      <c r="S725" t="s">
        <v>44</v>
      </c>
      <c r="T725">
        <v>10982</v>
      </c>
      <c r="U725" t="s">
        <v>57</v>
      </c>
      <c r="V725">
        <v>24</v>
      </c>
      <c r="W725">
        <v>2</v>
      </c>
      <c r="X725" t="s">
        <v>50</v>
      </c>
      <c r="Y725" t="s">
        <v>32</v>
      </c>
      <c r="Z725" t="s">
        <v>33</v>
      </c>
      <c r="AA725" t="s">
        <v>34</v>
      </c>
      <c r="AB725" t="s">
        <v>35</v>
      </c>
      <c r="AC725" t="s">
        <v>44</v>
      </c>
    </row>
    <row r="726" spans="1:29" x14ac:dyDescent="0.25">
      <c r="A726">
        <v>765</v>
      </c>
      <c r="B726">
        <v>11865</v>
      </c>
      <c r="C726">
        <v>4616</v>
      </c>
      <c r="D726">
        <v>16481</v>
      </c>
      <c r="E726" t="s">
        <v>49</v>
      </c>
      <c r="F726">
        <v>47</v>
      </c>
      <c r="G726" t="s">
        <v>53</v>
      </c>
      <c r="H726" t="s">
        <v>30</v>
      </c>
      <c r="I726">
        <v>2</v>
      </c>
      <c r="J726" t="s">
        <v>62</v>
      </c>
      <c r="K726">
        <v>687</v>
      </c>
      <c r="L726" t="s">
        <v>63</v>
      </c>
      <c r="M726">
        <v>3</v>
      </c>
      <c r="N726" t="s">
        <v>44</v>
      </c>
      <c r="O726">
        <v>0.6</v>
      </c>
      <c r="P726" t="s">
        <v>56</v>
      </c>
      <c r="Q726">
        <v>2970</v>
      </c>
      <c r="R726">
        <v>20927</v>
      </c>
      <c r="S726" t="s">
        <v>44</v>
      </c>
      <c r="T726">
        <v>9968</v>
      </c>
      <c r="U726" t="s">
        <v>57</v>
      </c>
      <c r="V726">
        <v>84</v>
      </c>
      <c r="W726">
        <v>7</v>
      </c>
      <c r="X726" t="s">
        <v>31</v>
      </c>
      <c r="Y726" t="s">
        <v>32</v>
      </c>
      <c r="Z726" t="s">
        <v>33</v>
      </c>
      <c r="AA726" t="s">
        <v>34</v>
      </c>
      <c r="AB726" t="s">
        <v>48</v>
      </c>
      <c r="AC726" t="s">
        <v>36</v>
      </c>
    </row>
    <row r="727" spans="1:29" x14ac:dyDescent="0.25">
      <c r="A727">
        <v>766</v>
      </c>
      <c r="B727">
        <v>4219</v>
      </c>
      <c r="C727">
        <v>9</v>
      </c>
      <c r="D727">
        <v>4228</v>
      </c>
      <c r="E727" t="s">
        <v>46</v>
      </c>
      <c r="F727">
        <v>55</v>
      </c>
      <c r="G727" t="s">
        <v>69</v>
      </c>
      <c r="H727" t="s">
        <v>30</v>
      </c>
      <c r="I727">
        <v>1</v>
      </c>
      <c r="J727" t="s">
        <v>68</v>
      </c>
      <c r="K727">
        <v>550</v>
      </c>
      <c r="L727" t="s">
        <v>66</v>
      </c>
      <c r="M727">
        <v>2</v>
      </c>
      <c r="N727" t="s">
        <v>44</v>
      </c>
      <c r="O727">
        <v>0.49</v>
      </c>
      <c r="P727" t="s">
        <v>70</v>
      </c>
      <c r="Q727">
        <v>0</v>
      </c>
      <c r="R727">
        <v>34579</v>
      </c>
      <c r="S727" t="s">
        <v>44</v>
      </c>
      <c r="T727">
        <v>27598</v>
      </c>
      <c r="U727" t="s">
        <v>64</v>
      </c>
      <c r="V727">
        <v>24</v>
      </c>
      <c r="W727">
        <v>2</v>
      </c>
      <c r="X727" t="s">
        <v>37</v>
      </c>
      <c r="Y727" t="s">
        <v>38</v>
      </c>
      <c r="Z727" t="s">
        <v>39</v>
      </c>
      <c r="AA727" t="s">
        <v>34</v>
      </c>
      <c r="AB727" t="s">
        <v>43</v>
      </c>
      <c r="AC727" t="s">
        <v>36</v>
      </c>
    </row>
    <row r="728" spans="1:29" x14ac:dyDescent="0.25">
      <c r="A728">
        <v>767</v>
      </c>
      <c r="B728">
        <v>9041</v>
      </c>
      <c r="C728">
        <v>5752</v>
      </c>
      <c r="D728">
        <v>14793</v>
      </c>
      <c r="E728" t="s">
        <v>46</v>
      </c>
      <c r="F728">
        <v>51</v>
      </c>
      <c r="G728" t="s">
        <v>53</v>
      </c>
      <c r="H728" t="s">
        <v>30</v>
      </c>
      <c r="I728">
        <v>2</v>
      </c>
      <c r="J728" t="s">
        <v>62</v>
      </c>
      <c r="K728">
        <v>665</v>
      </c>
      <c r="L728" t="s">
        <v>55</v>
      </c>
      <c r="M728">
        <v>3</v>
      </c>
      <c r="N728" t="s">
        <v>44</v>
      </c>
      <c r="O728">
        <v>0.21</v>
      </c>
      <c r="P728" t="s">
        <v>59</v>
      </c>
      <c r="Q728">
        <v>15551</v>
      </c>
      <c r="R728">
        <v>44871</v>
      </c>
      <c r="S728" t="s">
        <v>44</v>
      </c>
      <c r="T728">
        <v>15639</v>
      </c>
      <c r="U728" t="s">
        <v>57</v>
      </c>
      <c r="V728">
        <v>36</v>
      </c>
      <c r="W728">
        <v>3</v>
      </c>
      <c r="X728" t="s">
        <v>31</v>
      </c>
      <c r="Y728" t="s">
        <v>38</v>
      </c>
      <c r="Z728" t="s">
        <v>39</v>
      </c>
      <c r="AA728" t="s">
        <v>40</v>
      </c>
      <c r="AB728" t="s">
        <v>35</v>
      </c>
      <c r="AC728" t="s">
        <v>44</v>
      </c>
    </row>
    <row r="729" spans="1:29" x14ac:dyDescent="0.25">
      <c r="A729">
        <v>768</v>
      </c>
      <c r="B729">
        <v>7287</v>
      </c>
      <c r="C729">
        <v>9852</v>
      </c>
      <c r="D729">
        <v>17139</v>
      </c>
      <c r="E729" t="s">
        <v>46</v>
      </c>
      <c r="F729">
        <v>40</v>
      </c>
      <c r="G729" t="s">
        <v>65</v>
      </c>
      <c r="H729" t="s">
        <v>30</v>
      </c>
      <c r="I729">
        <v>2</v>
      </c>
      <c r="J729" t="s">
        <v>62</v>
      </c>
      <c r="K729">
        <v>711</v>
      </c>
      <c r="L729" t="s">
        <v>63</v>
      </c>
      <c r="M729">
        <v>4</v>
      </c>
      <c r="N729" t="s">
        <v>44</v>
      </c>
      <c r="O729">
        <v>0.35</v>
      </c>
      <c r="P729" t="s">
        <v>67</v>
      </c>
      <c r="Q729">
        <v>17145</v>
      </c>
      <c r="R729">
        <v>9032</v>
      </c>
      <c r="S729" t="s">
        <v>44</v>
      </c>
      <c r="T729">
        <v>5674</v>
      </c>
      <c r="U729" t="s">
        <v>57</v>
      </c>
      <c r="V729">
        <v>72</v>
      </c>
      <c r="W729">
        <v>6</v>
      </c>
      <c r="X729" t="s">
        <v>42</v>
      </c>
      <c r="Y729" t="s">
        <v>38</v>
      </c>
      <c r="Z729" t="s">
        <v>39</v>
      </c>
      <c r="AA729" t="s">
        <v>40</v>
      </c>
      <c r="AB729" t="s">
        <v>51</v>
      </c>
      <c r="AC729" t="s">
        <v>44</v>
      </c>
    </row>
    <row r="730" spans="1:29" x14ac:dyDescent="0.25">
      <c r="A730">
        <v>769</v>
      </c>
      <c r="B730">
        <v>3619</v>
      </c>
      <c r="C730">
        <v>6295</v>
      </c>
      <c r="D730">
        <v>9914</v>
      </c>
      <c r="E730" t="s">
        <v>49</v>
      </c>
      <c r="F730">
        <v>36</v>
      </c>
      <c r="G730" t="s">
        <v>65</v>
      </c>
      <c r="H730" t="s">
        <v>30</v>
      </c>
      <c r="I730">
        <v>3</v>
      </c>
      <c r="J730" t="s">
        <v>58</v>
      </c>
      <c r="K730">
        <v>616</v>
      </c>
      <c r="L730" t="s">
        <v>55</v>
      </c>
      <c r="M730">
        <v>0</v>
      </c>
      <c r="N730" t="s">
        <v>36</v>
      </c>
      <c r="O730">
        <v>0.35</v>
      </c>
      <c r="P730" t="s">
        <v>67</v>
      </c>
      <c r="Q730">
        <v>3185</v>
      </c>
      <c r="R730">
        <v>27718</v>
      </c>
      <c r="S730" t="s">
        <v>44</v>
      </c>
      <c r="T730">
        <v>5316</v>
      </c>
      <c r="U730" t="s">
        <v>57</v>
      </c>
      <c r="V730">
        <v>24</v>
      </c>
      <c r="W730">
        <v>2</v>
      </c>
      <c r="X730" t="s">
        <v>37</v>
      </c>
      <c r="Y730" t="s">
        <v>32</v>
      </c>
      <c r="Z730" t="s">
        <v>33</v>
      </c>
      <c r="AA730" t="s">
        <v>40</v>
      </c>
      <c r="AB730" t="s">
        <v>35</v>
      </c>
      <c r="AC730" t="s">
        <v>36</v>
      </c>
    </row>
    <row r="731" spans="1:29" x14ac:dyDescent="0.25">
      <c r="A731">
        <v>770</v>
      </c>
      <c r="B731">
        <v>10512</v>
      </c>
      <c r="C731">
        <v>4815</v>
      </c>
      <c r="D731">
        <v>15327</v>
      </c>
      <c r="E731" t="s">
        <v>29</v>
      </c>
      <c r="F731">
        <v>33</v>
      </c>
      <c r="G731" t="s">
        <v>61</v>
      </c>
      <c r="H731" t="s">
        <v>30</v>
      </c>
      <c r="I731">
        <v>3</v>
      </c>
      <c r="J731" t="s">
        <v>58</v>
      </c>
      <c r="K731">
        <v>749</v>
      </c>
      <c r="L731" t="s">
        <v>71</v>
      </c>
      <c r="M731">
        <v>0</v>
      </c>
      <c r="N731" t="s">
        <v>36</v>
      </c>
      <c r="O731">
        <v>0.3</v>
      </c>
      <c r="P731" t="s">
        <v>59</v>
      </c>
      <c r="Q731">
        <v>16409</v>
      </c>
      <c r="R731">
        <v>12877</v>
      </c>
      <c r="S731" t="s">
        <v>44</v>
      </c>
      <c r="T731">
        <v>0</v>
      </c>
      <c r="U731" t="s">
        <v>73</v>
      </c>
      <c r="V731">
        <v>36</v>
      </c>
      <c r="W731">
        <v>3</v>
      </c>
      <c r="X731" t="s">
        <v>42</v>
      </c>
      <c r="Y731" t="s">
        <v>45</v>
      </c>
      <c r="Z731" t="s">
        <v>39</v>
      </c>
      <c r="AA731" t="s">
        <v>40</v>
      </c>
      <c r="AB731" t="s">
        <v>35</v>
      </c>
      <c r="AC731" t="s">
        <v>44</v>
      </c>
    </row>
    <row r="732" spans="1:29" x14ac:dyDescent="0.25">
      <c r="A732">
        <v>771</v>
      </c>
      <c r="B732">
        <v>3342</v>
      </c>
      <c r="C732">
        <v>1072</v>
      </c>
      <c r="D732">
        <v>4414</v>
      </c>
      <c r="E732" t="s">
        <v>49</v>
      </c>
      <c r="F732">
        <v>55</v>
      </c>
      <c r="G732" t="s">
        <v>69</v>
      </c>
      <c r="H732" t="s">
        <v>30</v>
      </c>
      <c r="I732">
        <v>1</v>
      </c>
      <c r="J732" t="s">
        <v>68</v>
      </c>
      <c r="K732">
        <v>580</v>
      </c>
      <c r="L732" t="s">
        <v>66</v>
      </c>
      <c r="M732">
        <v>1</v>
      </c>
      <c r="N732" t="s">
        <v>44</v>
      </c>
      <c r="O732">
        <v>0.49</v>
      </c>
      <c r="P732" t="s">
        <v>70</v>
      </c>
      <c r="Q732">
        <v>1806</v>
      </c>
      <c r="R732">
        <v>40731</v>
      </c>
      <c r="S732" t="s">
        <v>44</v>
      </c>
      <c r="T732">
        <v>32094</v>
      </c>
      <c r="U732" t="s">
        <v>64</v>
      </c>
      <c r="V732">
        <v>84</v>
      </c>
      <c r="W732">
        <v>7</v>
      </c>
      <c r="X732" t="s">
        <v>31</v>
      </c>
      <c r="Y732" t="s">
        <v>45</v>
      </c>
      <c r="Z732" t="s">
        <v>39</v>
      </c>
      <c r="AA732" t="s">
        <v>40</v>
      </c>
      <c r="AB732" t="s">
        <v>35</v>
      </c>
      <c r="AC732" t="s">
        <v>36</v>
      </c>
    </row>
    <row r="733" spans="1:29" x14ac:dyDescent="0.25">
      <c r="A733">
        <v>772</v>
      </c>
      <c r="B733">
        <v>12568</v>
      </c>
      <c r="C733">
        <v>3225</v>
      </c>
      <c r="D733">
        <v>15793</v>
      </c>
      <c r="E733" t="s">
        <v>46</v>
      </c>
      <c r="F733">
        <v>31</v>
      </c>
      <c r="G733" t="s">
        <v>61</v>
      </c>
      <c r="H733" t="s">
        <v>30</v>
      </c>
      <c r="I733">
        <v>3</v>
      </c>
      <c r="J733" t="s">
        <v>58</v>
      </c>
      <c r="K733">
        <v>624</v>
      </c>
      <c r="L733" t="s">
        <v>55</v>
      </c>
      <c r="M733">
        <v>1</v>
      </c>
      <c r="N733" t="s">
        <v>44</v>
      </c>
      <c r="O733">
        <v>0.35</v>
      </c>
      <c r="P733" t="s">
        <v>67</v>
      </c>
      <c r="Q733">
        <v>0</v>
      </c>
      <c r="R733">
        <v>0</v>
      </c>
      <c r="S733" t="s">
        <v>36</v>
      </c>
      <c r="T733">
        <v>23187</v>
      </c>
      <c r="U733" t="s">
        <v>64</v>
      </c>
      <c r="V733">
        <v>24</v>
      </c>
      <c r="W733">
        <v>2</v>
      </c>
      <c r="X733" t="s">
        <v>37</v>
      </c>
      <c r="Y733" t="s">
        <v>32</v>
      </c>
      <c r="Z733" t="s">
        <v>39</v>
      </c>
      <c r="AA733" t="s">
        <v>40</v>
      </c>
      <c r="AB733" t="s">
        <v>43</v>
      </c>
      <c r="AC733" t="s">
        <v>36</v>
      </c>
    </row>
    <row r="734" spans="1:29" x14ac:dyDescent="0.25">
      <c r="A734">
        <v>774</v>
      </c>
      <c r="B734">
        <v>5490</v>
      </c>
      <c r="C734">
        <v>5699</v>
      </c>
      <c r="D734">
        <v>11189</v>
      </c>
      <c r="E734" t="s">
        <v>48</v>
      </c>
      <c r="F734">
        <v>31</v>
      </c>
      <c r="G734" t="s">
        <v>61</v>
      </c>
      <c r="H734" t="s">
        <v>41</v>
      </c>
      <c r="I734">
        <v>1</v>
      </c>
      <c r="J734" t="s">
        <v>68</v>
      </c>
      <c r="K734">
        <v>620</v>
      </c>
      <c r="L734" t="s">
        <v>55</v>
      </c>
      <c r="M734">
        <v>4</v>
      </c>
      <c r="N734" t="s">
        <v>44</v>
      </c>
      <c r="O734">
        <v>0.56000000000000005</v>
      </c>
      <c r="P734" t="s">
        <v>56</v>
      </c>
      <c r="Q734">
        <v>12894</v>
      </c>
      <c r="R734">
        <v>41684</v>
      </c>
      <c r="S734" t="s">
        <v>44</v>
      </c>
      <c r="T734">
        <v>24940</v>
      </c>
      <c r="U734" t="s">
        <v>64</v>
      </c>
      <c r="V734">
        <v>12</v>
      </c>
      <c r="W734">
        <v>1</v>
      </c>
      <c r="X734" t="s">
        <v>47</v>
      </c>
      <c r="Y734" t="s">
        <v>32</v>
      </c>
      <c r="Z734" t="s">
        <v>33</v>
      </c>
      <c r="AA734" t="s">
        <v>34</v>
      </c>
      <c r="AB734" t="s">
        <v>43</v>
      </c>
      <c r="AC734" t="s">
        <v>36</v>
      </c>
    </row>
    <row r="735" spans="1:29" x14ac:dyDescent="0.25">
      <c r="A735">
        <v>775</v>
      </c>
      <c r="B735">
        <v>0</v>
      </c>
      <c r="C735">
        <v>6807</v>
      </c>
      <c r="D735">
        <v>6807</v>
      </c>
      <c r="E735" t="s">
        <v>29</v>
      </c>
      <c r="F735">
        <v>50</v>
      </c>
      <c r="G735" t="s">
        <v>53</v>
      </c>
      <c r="H735" t="s">
        <v>30</v>
      </c>
      <c r="I735">
        <v>3</v>
      </c>
      <c r="J735" t="s">
        <v>58</v>
      </c>
      <c r="K735">
        <v>786</v>
      </c>
      <c r="L735" t="s">
        <v>71</v>
      </c>
      <c r="M735">
        <v>1</v>
      </c>
      <c r="N735" t="s">
        <v>44</v>
      </c>
      <c r="O735">
        <v>0.4</v>
      </c>
      <c r="P735" t="s">
        <v>67</v>
      </c>
      <c r="Q735">
        <v>5154</v>
      </c>
      <c r="R735">
        <v>6766</v>
      </c>
      <c r="S735" t="s">
        <v>44</v>
      </c>
      <c r="T735">
        <v>26685</v>
      </c>
      <c r="U735" t="s">
        <v>64</v>
      </c>
      <c r="V735">
        <v>84</v>
      </c>
      <c r="W735">
        <v>7</v>
      </c>
      <c r="X735" t="s">
        <v>50</v>
      </c>
      <c r="Y735" t="s">
        <v>45</v>
      </c>
      <c r="Z735" t="s">
        <v>39</v>
      </c>
      <c r="AA735" t="s">
        <v>34</v>
      </c>
      <c r="AB735" t="s">
        <v>51</v>
      </c>
      <c r="AC735" t="s">
        <v>36</v>
      </c>
    </row>
    <row r="736" spans="1:29" x14ac:dyDescent="0.25">
      <c r="A736">
        <v>776</v>
      </c>
      <c r="B736">
        <v>9984</v>
      </c>
      <c r="C736">
        <v>6674</v>
      </c>
      <c r="D736">
        <v>16658</v>
      </c>
      <c r="E736" t="s">
        <v>48</v>
      </c>
      <c r="F736">
        <v>55</v>
      </c>
      <c r="G736" t="s">
        <v>69</v>
      </c>
      <c r="H736" t="s">
        <v>30</v>
      </c>
      <c r="I736">
        <v>2</v>
      </c>
      <c r="J736" t="s">
        <v>62</v>
      </c>
      <c r="K736">
        <v>615</v>
      </c>
      <c r="L736" t="s">
        <v>55</v>
      </c>
      <c r="M736">
        <v>3</v>
      </c>
      <c r="N736" t="s">
        <v>44</v>
      </c>
      <c r="O736">
        <v>0.28999999999999998</v>
      </c>
      <c r="P736" t="s">
        <v>59</v>
      </c>
      <c r="Q736">
        <v>13767</v>
      </c>
      <c r="R736">
        <v>49954</v>
      </c>
      <c r="S736" t="s">
        <v>44</v>
      </c>
      <c r="T736">
        <v>16977</v>
      </c>
      <c r="U736" t="s">
        <v>57</v>
      </c>
      <c r="V736">
        <v>72</v>
      </c>
      <c r="W736">
        <v>6</v>
      </c>
      <c r="X736" t="s">
        <v>37</v>
      </c>
      <c r="Y736" t="s">
        <v>32</v>
      </c>
      <c r="Z736" t="s">
        <v>39</v>
      </c>
      <c r="AA736" t="s">
        <v>34</v>
      </c>
      <c r="AB736" t="s">
        <v>35</v>
      </c>
      <c r="AC736" t="s">
        <v>36</v>
      </c>
    </row>
    <row r="737" spans="1:29" x14ac:dyDescent="0.25">
      <c r="A737">
        <v>777</v>
      </c>
      <c r="B737">
        <v>19988</v>
      </c>
      <c r="C737">
        <v>3683</v>
      </c>
      <c r="D737">
        <v>23671</v>
      </c>
      <c r="E737" t="s">
        <v>29</v>
      </c>
      <c r="F737">
        <v>40</v>
      </c>
      <c r="G737" t="s">
        <v>65</v>
      </c>
      <c r="H737" t="s">
        <v>30</v>
      </c>
      <c r="I737">
        <v>1</v>
      </c>
      <c r="J737" t="s">
        <v>68</v>
      </c>
      <c r="K737">
        <v>619</v>
      </c>
      <c r="L737" t="s">
        <v>55</v>
      </c>
      <c r="M737">
        <v>3</v>
      </c>
      <c r="N737" t="s">
        <v>44</v>
      </c>
      <c r="O737">
        <v>0.35</v>
      </c>
      <c r="P737" t="s">
        <v>67</v>
      </c>
      <c r="Q737">
        <v>15226</v>
      </c>
      <c r="R737">
        <v>22829</v>
      </c>
      <c r="S737" t="s">
        <v>44</v>
      </c>
      <c r="T737">
        <v>36904</v>
      </c>
      <c r="U737" t="s">
        <v>60</v>
      </c>
      <c r="V737">
        <v>84</v>
      </c>
      <c r="W737">
        <v>7</v>
      </c>
      <c r="X737" t="s">
        <v>50</v>
      </c>
      <c r="Y737" t="s">
        <v>32</v>
      </c>
      <c r="Z737" t="s">
        <v>39</v>
      </c>
      <c r="AA737" t="s">
        <v>40</v>
      </c>
      <c r="AB737" t="s">
        <v>35</v>
      </c>
      <c r="AC737" t="s">
        <v>36</v>
      </c>
    </row>
    <row r="738" spans="1:29" x14ac:dyDescent="0.25">
      <c r="A738">
        <v>778</v>
      </c>
      <c r="B738">
        <v>14219</v>
      </c>
      <c r="C738">
        <v>7227</v>
      </c>
      <c r="D738">
        <v>21446</v>
      </c>
      <c r="E738" t="s">
        <v>29</v>
      </c>
      <c r="F738">
        <v>58</v>
      </c>
      <c r="G738" t="s">
        <v>69</v>
      </c>
      <c r="H738" t="s">
        <v>30</v>
      </c>
      <c r="I738">
        <v>3</v>
      </c>
      <c r="J738" t="s">
        <v>58</v>
      </c>
      <c r="K738">
        <v>590</v>
      </c>
      <c r="L738" t="s">
        <v>55</v>
      </c>
      <c r="M738">
        <v>4</v>
      </c>
      <c r="N738" t="s">
        <v>44</v>
      </c>
      <c r="O738">
        <v>0.4</v>
      </c>
      <c r="P738" t="s">
        <v>67</v>
      </c>
      <c r="Q738">
        <v>1525</v>
      </c>
      <c r="R738">
        <v>20221</v>
      </c>
      <c r="S738" t="s">
        <v>44</v>
      </c>
      <c r="T738">
        <v>26538</v>
      </c>
      <c r="U738" t="s">
        <v>64</v>
      </c>
      <c r="V738">
        <v>48</v>
      </c>
      <c r="W738">
        <v>4</v>
      </c>
      <c r="X738" t="s">
        <v>47</v>
      </c>
      <c r="Y738" t="s">
        <v>32</v>
      </c>
      <c r="Z738" t="s">
        <v>39</v>
      </c>
      <c r="AA738" t="s">
        <v>40</v>
      </c>
      <c r="AB738" t="s">
        <v>35</v>
      </c>
      <c r="AC738" t="s">
        <v>36</v>
      </c>
    </row>
    <row r="739" spans="1:29" x14ac:dyDescent="0.25">
      <c r="A739">
        <v>779</v>
      </c>
      <c r="B739">
        <v>2235</v>
      </c>
      <c r="C739">
        <v>3273</v>
      </c>
      <c r="D739">
        <v>5508</v>
      </c>
      <c r="E739" t="s">
        <v>29</v>
      </c>
      <c r="F739">
        <v>51</v>
      </c>
      <c r="G739" t="s">
        <v>53</v>
      </c>
      <c r="H739" t="s">
        <v>30</v>
      </c>
      <c r="I739">
        <v>0</v>
      </c>
      <c r="J739" t="s">
        <v>54</v>
      </c>
      <c r="K739">
        <v>740</v>
      </c>
      <c r="L739" t="s">
        <v>63</v>
      </c>
      <c r="M739">
        <v>1</v>
      </c>
      <c r="N739" t="s">
        <v>44</v>
      </c>
      <c r="O739">
        <v>0.38</v>
      </c>
      <c r="P739" t="s">
        <v>67</v>
      </c>
      <c r="Q739">
        <v>760</v>
      </c>
      <c r="R739">
        <v>25102</v>
      </c>
      <c r="S739" t="s">
        <v>44</v>
      </c>
      <c r="T739">
        <v>39033</v>
      </c>
      <c r="U739" t="s">
        <v>60</v>
      </c>
      <c r="V739">
        <v>36</v>
      </c>
      <c r="W739">
        <v>3</v>
      </c>
      <c r="X739" t="s">
        <v>37</v>
      </c>
      <c r="Y739" t="s">
        <v>45</v>
      </c>
      <c r="Z739" t="s">
        <v>39</v>
      </c>
      <c r="AA739" t="s">
        <v>40</v>
      </c>
      <c r="AB739" t="s">
        <v>43</v>
      </c>
      <c r="AC739" t="s">
        <v>36</v>
      </c>
    </row>
    <row r="740" spans="1:29" x14ac:dyDescent="0.25">
      <c r="A740">
        <v>780</v>
      </c>
      <c r="B740">
        <v>12161</v>
      </c>
      <c r="C740">
        <v>7000</v>
      </c>
      <c r="D740">
        <v>19161</v>
      </c>
      <c r="E740" t="s">
        <v>29</v>
      </c>
      <c r="F740">
        <v>34</v>
      </c>
      <c r="G740" t="s">
        <v>61</v>
      </c>
      <c r="H740" t="s">
        <v>30</v>
      </c>
      <c r="I740">
        <v>1</v>
      </c>
      <c r="J740" t="s">
        <v>68</v>
      </c>
      <c r="K740">
        <v>709</v>
      </c>
      <c r="L740" t="s">
        <v>63</v>
      </c>
      <c r="M740">
        <v>3</v>
      </c>
      <c r="N740" t="s">
        <v>44</v>
      </c>
      <c r="O740">
        <v>0.34</v>
      </c>
      <c r="P740" t="s">
        <v>67</v>
      </c>
      <c r="Q740">
        <v>16978</v>
      </c>
      <c r="R740">
        <v>34433</v>
      </c>
      <c r="S740" t="s">
        <v>44</v>
      </c>
      <c r="T740">
        <v>8965</v>
      </c>
      <c r="U740" t="s">
        <v>57</v>
      </c>
      <c r="V740">
        <v>36</v>
      </c>
      <c r="W740">
        <v>3</v>
      </c>
      <c r="X740" t="s">
        <v>50</v>
      </c>
      <c r="Y740" t="s">
        <v>38</v>
      </c>
      <c r="Z740" t="s">
        <v>39</v>
      </c>
      <c r="AA740" t="s">
        <v>40</v>
      </c>
      <c r="AB740" t="s">
        <v>48</v>
      </c>
      <c r="AC740" t="s">
        <v>44</v>
      </c>
    </row>
    <row r="741" spans="1:29" x14ac:dyDescent="0.25">
      <c r="A741">
        <v>781</v>
      </c>
      <c r="B741">
        <v>3908</v>
      </c>
      <c r="C741">
        <v>145</v>
      </c>
      <c r="D741">
        <v>4053</v>
      </c>
      <c r="E741" t="s">
        <v>46</v>
      </c>
      <c r="F741">
        <v>44</v>
      </c>
      <c r="G741" t="s">
        <v>65</v>
      </c>
      <c r="H741" t="s">
        <v>41</v>
      </c>
      <c r="I741">
        <v>1</v>
      </c>
      <c r="J741" t="s">
        <v>68</v>
      </c>
      <c r="K741">
        <v>569</v>
      </c>
      <c r="L741" t="s">
        <v>66</v>
      </c>
      <c r="M741">
        <v>1</v>
      </c>
      <c r="N741" t="s">
        <v>44</v>
      </c>
      <c r="O741">
        <v>0.35</v>
      </c>
      <c r="P741" t="s">
        <v>67</v>
      </c>
      <c r="Q741">
        <v>13880</v>
      </c>
      <c r="R741">
        <v>15932</v>
      </c>
      <c r="S741" t="s">
        <v>44</v>
      </c>
      <c r="T741">
        <v>10597</v>
      </c>
      <c r="U741" t="s">
        <v>57</v>
      </c>
      <c r="V741">
        <v>84</v>
      </c>
      <c r="W741">
        <v>7</v>
      </c>
      <c r="X741" t="s">
        <v>50</v>
      </c>
      <c r="Y741" t="s">
        <v>45</v>
      </c>
      <c r="Z741" t="s">
        <v>39</v>
      </c>
      <c r="AA741" t="s">
        <v>40</v>
      </c>
      <c r="AB741" t="s">
        <v>35</v>
      </c>
      <c r="AC741" t="s">
        <v>36</v>
      </c>
    </row>
    <row r="742" spans="1:29" x14ac:dyDescent="0.25">
      <c r="A742">
        <v>782</v>
      </c>
      <c r="B742">
        <v>10567</v>
      </c>
      <c r="C742">
        <v>5010</v>
      </c>
      <c r="D742">
        <v>15577</v>
      </c>
      <c r="E742" t="s">
        <v>29</v>
      </c>
      <c r="F742">
        <v>52</v>
      </c>
      <c r="G742" t="s">
        <v>53</v>
      </c>
      <c r="H742" t="s">
        <v>30</v>
      </c>
      <c r="I742">
        <v>0</v>
      </c>
      <c r="J742" t="s">
        <v>54</v>
      </c>
      <c r="K742">
        <v>734</v>
      </c>
      <c r="L742" t="s">
        <v>63</v>
      </c>
      <c r="M742">
        <v>1</v>
      </c>
      <c r="N742" t="s">
        <v>44</v>
      </c>
      <c r="O742">
        <v>0.19</v>
      </c>
      <c r="P742" t="s">
        <v>59</v>
      </c>
      <c r="Q742">
        <v>1055</v>
      </c>
      <c r="R742">
        <v>25714</v>
      </c>
      <c r="S742" t="s">
        <v>44</v>
      </c>
      <c r="T742">
        <v>28740</v>
      </c>
      <c r="U742" t="s">
        <v>64</v>
      </c>
      <c r="V742">
        <v>48</v>
      </c>
      <c r="W742">
        <v>4</v>
      </c>
      <c r="X742" t="s">
        <v>37</v>
      </c>
      <c r="Y742" t="s">
        <v>45</v>
      </c>
      <c r="Z742" t="s">
        <v>39</v>
      </c>
      <c r="AA742" t="s">
        <v>40</v>
      </c>
      <c r="AB742" t="s">
        <v>35</v>
      </c>
      <c r="AC742" t="s">
        <v>44</v>
      </c>
    </row>
    <row r="743" spans="1:29" x14ac:dyDescent="0.25">
      <c r="A743">
        <v>783</v>
      </c>
      <c r="B743">
        <v>5530</v>
      </c>
      <c r="C743">
        <v>3040</v>
      </c>
      <c r="D743">
        <v>8570</v>
      </c>
      <c r="E743" t="s">
        <v>29</v>
      </c>
      <c r="F743">
        <v>56</v>
      </c>
      <c r="G743" t="s">
        <v>69</v>
      </c>
      <c r="H743" t="s">
        <v>41</v>
      </c>
      <c r="I743">
        <v>3</v>
      </c>
      <c r="J743" t="s">
        <v>58</v>
      </c>
      <c r="K743">
        <v>775</v>
      </c>
      <c r="L743" t="s">
        <v>71</v>
      </c>
      <c r="M743">
        <v>3</v>
      </c>
      <c r="N743" t="s">
        <v>44</v>
      </c>
      <c r="O743">
        <v>0.51</v>
      </c>
      <c r="P743" t="s">
        <v>56</v>
      </c>
      <c r="Q743">
        <v>10046</v>
      </c>
      <c r="R743">
        <v>39743</v>
      </c>
      <c r="S743" t="s">
        <v>44</v>
      </c>
      <c r="T743">
        <v>7569</v>
      </c>
      <c r="U743" t="s">
        <v>57</v>
      </c>
      <c r="V743">
        <v>84</v>
      </c>
      <c r="W743">
        <v>7</v>
      </c>
      <c r="X743" t="s">
        <v>42</v>
      </c>
      <c r="Y743" t="s">
        <v>45</v>
      </c>
      <c r="Z743" t="s">
        <v>33</v>
      </c>
      <c r="AA743" t="s">
        <v>40</v>
      </c>
      <c r="AB743" t="s">
        <v>35</v>
      </c>
      <c r="AC743" t="s">
        <v>36</v>
      </c>
    </row>
    <row r="744" spans="1:29" x14ac:dyDescent="0.25">
      <c r="A744">
        <v>784</v>
      </c>
      <c r="B744">
        <v>7256</v>
      </c>
      <c r="C744">
        <v>9654</v>
      </c>
      <c r="D744">
        <v>16910</v>
      </c>
      <c r="E744" t="s">
        <v>48</v>
      </c>
      <c r="F744">
        <v>52</v>
      </c>
      <c r="G744" t="s">
        <v>53</v>
      </c>
      <c r="H744" t="s">
        <v>30</v>
      </c>
      <c r="I744">
        <v>3</v>
      </c>
      <c r="J744" t="s">
        <v>58</v>
      </c>
      <c r="K744">
        <v>727</v>
      </c>
      <c r="L744" t="s">
        <v>63</v>
      </c>
      <c r="M744">
        <v>0</v>
      </c>
      <c r="N744" t="s">
        <v>36</v>
      </c>
      <c r="O744">
        <v>0.37</v>
      </c>
      <c r="P744" t="s">
        <v>67</v>
      </c>
      <c r="Q744">
        <v>3083</v>
      </c>
      <c r="R744">
        <v>2552</v>
      </c>
      <c r="S744" t="s">
        <v>44</v>
      </c>
      <c r="T744">
        <v>38981</v>
      </c>
      <c r="U744" t="s">
        <v>60</v>
      </c>
      <c r="V744">
        <v>12</v>
      </c>
      <c r="W744">
        <v>1</v>
      </c>
      <c r="X744" t="s">
        <v>50</v>
      </c>
      <c r="Y744" t="s">
        <v>32</v>
      </c>
      <c r="Z744" t="s">
        <v>39</v>
      </c>
      <c r="AA744" t="s">
        <v>34</v>
      </c>
      <c r="AB744" t="s">
        <v>35</v>
      </c>
      <c r="AC744" t="s">
        <v>36</v>
      </c>
    </row>
    <row r="745" spans="1:29" x14ac:dyDescent="0.25">
      <c r="A745">
        <v>785</v>
      </c>
      <c r="B745">
        <v>0</v>
      </c>
      <c r="C745">
        <v>9776</v>
      </c>
      <c r="D745">
        <v>9776</v>
      </c>
      <c r="E745" t="s">
        <v>49</v>
      </c>
      <c r="F745">
        <v>35</v>
      </c>
      <c r="G745" t="s">
        <v>65</v>
      </c>
      <c r="H745" t="s">
        <v>30</v>
      </c>
      <c r="I745">
        <v>1</v>
      </c>
      <c r="J745" t="s">
        <v>68</v>
      </c>
      <c r="K745">
        <v>757</v>
      </c>
      <c r="L745" t="s">
        <v>71</v>
      </c>
      <c r="M745">
        <v>3</v>
      </c>
      <c r="N745" t="s">
        <v>44</v>
      </c>
      <c r="O745">
        <v>0.17</v>
      </c>
      <c r="P745" t="s">
        <v>59</v>
      </c>
      <c r="Q745">
        <v>15678</v>
      </c>
      <c r="R745">
        <v>45987</v>
      </c>
      <c r="S745" t="s">
        <v>44</v>
      </c>
      <c r="T745">
        <v>12881</v>
      </c>
      <c r="U745" t="s">
        <v>57</v>
      </c>
      <c r="V745">
        <v>12</v>
      </c>
      <c r="W745">
        <v>1</v>
      </c>
      <c r="X745" t="s">
        <v>37</v>
      </c>
      <c r="Y745" t="s">
        <v>32</v>
      </c>
      <c r="Z745" t="s">
        <v>33</v>
      </c>
      <c r="AA745" t="s">
        <v>34</v>
      </c>
      <c r="AB745" t="s">
        <v>42</v>
      </c>
      <c r="AC745" t="s">
        <v>44</v>
      </c>
    </row>
    <row r="746" spans="1:29" x14ac:dyDescent="0.25">
      <c r="A746">
        <v>786</v>
      </c>
      <c r="B746">
        <v>7415</v>
      </c>
      <c r="C746">
        <v>482</v>
      </c>
      <c r="D746">
        <v>7897</v>
      </c>
      <c r="E746" t="s">
        <v>49</v>
      </c>
      <c r="F746">
        <v>55</v>
      </c>
      <c r="G746" t="s">
        <v>69</v>
      </c>
      <c r="H746" t="s">
        <v>30</v>
      </c>
      <c r="I746">
        <v>1</v>
      </c>
      <c r="J746" t="s">
        <v>68</v>
      </c>
      <c r="K746">
        <v>702</v>
      </c>
      <c r="L746" t="s">
        <v>63</v>
      </c>
      <c r="M746">
        <v>4</v>
      </c>
      <c r="N746" t="s">
        <v>44</v>
      </c>
      <c r="O746">
        <v>0.48</v>
      </c>
      <c r="P746" t="s">
        <v>70</v>
      </c>
      <c r="Q746">
        <v>12108</v>
      </c>
      <c r="R746">
        <v>14274</v>
      </c>
      <c r="S746" t="s">
        <v>44</v>
      </c>
      <c r="T746">
        <v>37996</v>
      </c>
      <c r="U746" t="s">
        <v>60</v>
      </c>
      <c r="V746">
        <v>60</v>
      </c>
      <c r="W746">
        <v>5</v>
      </c>
      <c r="X746" t="s">
        <v>50</v>
      </c>
      <c r="Y746" t="s">
        <v>32</v>
      </c>
      <c r="Z746" t="s">
        <v>39</v>
      </c>
      <c r="AA746" t="s">
        <v>40</v>
      </c>
      <c r="AB746" t="s">
        <v>35</v>
      </c>
      <c r="AC746" t="s">
        <v>36</v>
      </c>
    </row>
    <row r="747" spans="1:29" x14ac:dyDescent="0.25">
      <c r="A747">
        <v>788</v>
      </c>
      <c r="B747">
        <v>13157</v>
      </c>
      <c r="C747">
        <v>1249</v>
      </c>
      <c r="D747">
        <v>14406</v>
      </c>
      <c r="E747" t="s">
        <v>49</v>
      </c>
      <c r="F747">
        <v>36</v>
      </c>
      <c r="G747" t="s">
        <v>65</v>
      </c>
      <c r="H747" t="s">
        <v>30</v>
      </c>
      <c r="I747">
        <v>3</v>
      </c>
      <c r="J747" t="s">
        <v>58</v>
      </c>
      <c r="K747">
        <v>748</v>
      </c>
      <c r="L747" t="s">
        <v>71</v>
      </c>
      <c r="M747">
        <v>3</v>
      </c>
      <c r="N747" t="s">
        <v>44</v>
      </c>
      <c r="O747">
        <v>0.56999999999999995</v>
      </c>
      <c r="P747" t="s">
        <v>56</v>
      </c>
      <c r="Q747">
        <v>5957</v>
      </c>
      <c r="R747">
        <v>29250</v>
      </c>
      <c r="S747" t="s">
        <v>44</v>
      </c>
      <c r="T747">
        <v>38177</v>
      </c>
      <c r="U747" t="s">
        <v>60</v>
      </c>
      <c r="V747">
        <v>60</v>
      </c>
      <c r="W747">
        <v>5</v>
      </c>
      <c r="X747" t="s">
        <v>42</v>
      </c>
      <c r="Y747" t="s">
        <v>45</v>
      </c>
      <c r="Z747" t="s">
        <v>33</v>
      </c>
      <c r="AA747" t="s">
        <v>40</v>
      </c>
      <c r="AB747" t="s">
        <v>43</v>
      </c>
      <c r="AC747" t="s">
        <v>36</v>
      </c>
    </row>
    <row r="748" spans="1:29" x14ac:dyDescent="0.25">
      <c r="A748">
        <v>789</v>
      </c>
      <c r="B748">
        <v>7951</v>
      </c>
      <c r="C748">
        <v>630</v>
      </c>
      <c r="D748">
        <v>8581</v>
      </c>
      <c r="E748" t="s">
        <v>29</v>
      </c>
      <c r="F748">
        <v>25</v>
      </c>
      <c r="G748" t="s">
        <v>61</v>
      </c>
      <c r="H748" t="s">
        <v>41</v>
      </c>
      <c r="I748">
        <v>2</v>
      </c>
      <c r="J748" t="s">
        <v>62</v>
      </c>
      <c r="K748">
        <v>588</v>
      </c>
      <c r="L748" t="s">
        <v>55</v>
      </c>
      <c r="M748">
        <v>1</v>
      </c>
      <c r="N748" t="s">
        <v>44</v>
      </c>
      <c r="O748">
        <v>0.28000000000000003</v>
      </c>
      <c r="P748" t="s">
        <v>59</v>
      </c>
      <c r="Q748">
        <v>5255</v>
      </c>
      <c r="R748">
        <v>2808</v>
      </c>
      <c r="S748" t="s">
        <v>44</v>
      </c>
      <c r="T748">
        <v>1590</v>
      </c>
      <c r="U748" t="s">
        <v>73</v>
      </c>
      <c r="V748">
        <v>12</v>
      </c>
      <c r="W748">
        <v>1</v>
      </c>
      <c r="X748" t="s">
        <v>42</v>
      </c>
      <c r="Y748" t="s">
        <v>32</v>
      </c>
      <c r="Z748" t="s">
        <v>39</v>
      </c>
      <c r="AA748" t="s">
        <v>34</v>
      </c>
      <c r="AB748" t="s">
        <v>35</v>
      </c>
      <c r="AC748" t="s">
        <v>36</v>
      </c>
    </row>
    <row r="749" spans="1:29" x14ac:dyDescent="0.25">
      <c r="A749">
        <v>790</v>
      </c>
      <c r="B749">
        <v>10007</v>
      </c>
      <c r="C749">
        <v>8853</v>
      </c>
      <c r="D749">
        <v>18860</v>
      </c>
      <c r="E749" t="s">
        <v>29</v>
      </c>
      <c r="F749">
        <v>41</v>
      </c>
      <c r="G749" t="s">
        <v>65</v>
      </c>
      <c r="H749" t="s">
        <v>30</v>
      </c>
      <c r="I749">
        <v>1</v>
      </c>
      <c r="J749" t="s">
        <v>68</v>
      </c>
      <c r="K749">
        <v>694</v>
      </c>
      <c r="L749" t="s">
        <v>63</v>
      </c>
      <c r="M749">
        <v>1</v>
      </c>
      <c r="N749" t="s">
        <v>44</v>
      </c>
      <c r="O749">
        <v>0.17</v>
      </c>
      <c r="P749" t="s">
        <v>59</v>
      </c>
      <c r="Q749">
        <v>0</v>
      </c>
      <c r="R749">
        <v>43858</v>
      </c>
      <c r="S749" t="s">
        <v>44</v>
      </c>
      <c r="T749">
        <v>27119</v>
      </c>
      <c r="U749" t="s">
        <v>64</v>
      </c>
      <c r="V749">
        <v>48</v>
      </c>
      <c r="W749">
        <v>4</v>
      </c>
      <c r="X749" t="s">
        <v>47</v>
      </c>
      <c r="Y749" t="s">
        <v>32</v>
      </c>
      <c r="Z749" t="s">
        <v>39</v>
      </c>
      <c r="AA749" t="s">
        <v>40</v>
      </c>
      <c r="AB749" t="s">
        <v>43</v>
      </c>
      <c r="AC749" t="s">
        <v>44</v>
      </c>
    </row>
    <row r="750" spans="1:29" x14ac:dyDescent="0.25">
      <c r="A750">
        <v>791</v>
      </c>
      <c r="B750">
        <v>0</v>
      </c>
      <c r="C750">
        <v>2852</v>
      </c>
      <c r="D750">
        <v>2852</v>
      </c>
      <c r="E750" t="s">
        <v>49</v>
      </c>
      <c r="F750">
        <v>30</v>
      </c>
      <c r="G750" t="s">
        <v>61</v>
      </c>
      <c r="H750" t="s">
        <v>41</v>
      </c>
      <c r="I750">
        <v>1</v>
      </c>
      <c r="J750" t="s">
        <v>68</v>
      </c>
      <c r="K750">
        <v>594</v>
      </c>
      <c r="L750" t="s">
        <v>55</v>
      </c>
      <c r="M750">
        <v>3</v>
      </c>
      <c r="N750" t="s">
        <v>44</v>
      </c>
      <c r="O750">
        <v>0.36</v>
      </c>
      <c r="P750" t="s">
        <v>67</v>
      </c>
      <c r="Q750">
        <v>16344</v>
      </c>
      <c r="R750">
        <v>45028</v>
      </c>
      <c r="S750" t="s">
        <v>44</v>
      </c>
      <c r="T750">
        <v>28915</v>
      </c>
      <c r="U750" t="s">
        <v>64</v>
      </c>
      <c r="V750">
        <v>24</v>
      </c>
      <c r="W750">
        <v>2</v>
      </c>
      <c r="X750" t="s">
        <v>42</v>
      </c>
      <c r="Y750" t="s">
        <v>32</v>
      </c>
      <c r="Z750" t="s">
        <v>39</v>
      </c>
      <c r="AA750" t="s">
        <v>34</v>
      </c>
      <c r="AB750" t="s">
        <v>35</v>
      </c>
      <c r="AC750" t="s">
        <v>36</v>
      </c>
    </row>
    <row r="751" spans="1:29" x14ac:dyDescent="0.25">
      <c r="A751">
        <v>792</v>
      </c>
      <c r="B751">
        <v>17524</v>
      </c>
      <c r="C751">
        <v>987</v>
      </c>
      <c r="D751">
        <v>18511</v>
      </c>
      <c r="E751" t="s">
        <v>29</v>
      </c>
      <c r="F751">
        <v>39</v>
      </c>
      <c r="G751" t="s">
        <v>65</v>
      </c>
      <c r="H751" t="s">
        <v>41</v>
      </c>
      <c r="I751">
        <v>0</v>
      </c>
      <c r="J751" t="s">
        <v>54</v>
      </c>
      <c r="K751">
        <v>688</v>
      </c>
      <c r="L751" t="s">
        <v>63</v>
      </c>
      <c r="M751">
        <v>2</v>
      </c>
      <c r="N751" t="s">
        <v>44</v>
      </c>
      <c r="O751">
        <v>0.16</v>
      </c>
      <c r="P751" t="s">
        <v>59</v>
      </c>
      <c r="Q751">
        <v>9691</v>
      </c>
      <c r="R751">
        <v>15295</v>
      </c>
      <c r="S751" t="s">
        <v>44</v>
      </c>
      <c r="T751">
        <v>3708</v>
      </c>
      <c r="U751" t="s">
        <v>73</v>
      </c>
      <c r="V751">
        <v>48</v>
      </c>
      <c r="W751">
        <v>4</v>
      </c>
      <c r="X751" t="s">
        <v>42</v>
      </c>
      <c r="Y751" t="s">
        <v>38</v>
      </c>
      <c r="Z751" t="s">
        <v>39</v>
      </c>
      <c r="AA751" t="s">
        <v>40</v>
      </c>
      <c r="AB751" t="s">
        <v>48</v>
      </c>
      <c r="AC751" t="s">
        <v>36</v>
      </c>
    </row>
    <row r="752" spans="1:29" x14ac:dyDescent="0.25">
      <c r="A752">
        <v>793</v>
      </c>
      <c r="B752">
        <v>2077</v>
      </c>
      <c r="C752">
        <v>7622</v>
      </c>
      <c r="D752">
        <v>9699</v>
      </c>
      <c r="E752" t="s">
        <v>46</v>
      </c>
      <c r="F752">
        <v>45</v>
      </c>
      <c r="G752" t="s">
        <v>53</v>
      </c>
      <c r="H752" t="s">
        <v>30</v>
      </c>
      <c r="I752">
        <v>0</v>
      </c>
      <c r="J752" t="s">
        <v>54</v>
      </c>
      <c r="K752">
        <v>619</v>
      </c>
      <c r="L752" t="s">
        <v>55</v>
      </c>
      <c r="M752">
        <v>3</v>
      </c>
      <c r="N752" t="s">
        <v>44</v>
      </c>
      <c r="O752">
        <v>0.56999999999999995</v>
      </c>
      <c r="P752" t="s">
        <v>56</v>
      </c>
      <c r="Q752">
        <v>18214</v>
      </c>
      <c r="R752">
        <v>47605</v>
      </c>
      <c r="S752" t="s">
        <v>44</v>
      </c>
      <c r="T752">
        <v>39749</v>
      </c>
      <c r="U752" t="s">
        <v>60</v>
      </c>
      <c r="V752">
        <v>60</v>
      </c>
      <c r="W752">
        <v>5</v>
      </c>
      <c r="X752" t="s">
        <v>47</v>
      </c>
      <c r="Y752" t="s">
        <v>45</v>
      </c>
      <c r="Z752" t="s">
        <v>39</v>
      </c>
      <c r="AA752" t="s">
        <v>40</v>
      </c>
      <c r="AB752" t="s">
        <v>35</v>
      </c>
      <c r="AC752" t="s">
        <v>36</v>
      </c>
    </row>
    <row r="753" spans="1:29" x14ac:dyDescent="0.25">
      <c r="A753">
        <v>794</v>
      </c>
      <c r="B753">
        <v>9577</v>
      </c>
      <c r="C753">
        <v>7327</v>
      </c>
      <c r="D753">
        <v>16904</v>
      </c>
      <c r="E753" t="s">
        <v>29</v>
      </c>
      <c r="F753">
        <v>24</v>
      </c>
      <c r="G753" t="s">
        <v>72</v>
      </c>
      <c r="H753" t="s">
        <v>30</v>
      </c>
      <c r="I753">
        <v>0</v>
      </c>
      <c r="J753" t="s">
        <v>54</v>
      </c>
      <c r="K753">
        <v>674</v>
      </c>
      <c r="L753" t="s">
        <v>63</v>
      </c>
      <c r="M753">
        <v>2</v>
      </c>
      <c r="N753" t="s">
        <v>44</v>
      </c>
      <c r="O753">
        <v>0.19</v>
      </c>
      <c r="P753" t="s">
        <v>59</v>
      </c>
      <c r="Q753">
        <v>3395</v>
      </c>
      <c r="R753">
        <v>14669</v>
      </c>
      <c r="S753" t="s">
        <v>44</v>
      </c>
      <c r="T753">
        <v>23106</v>
      </c>
      <c r="U753" t="s">
        <v>64</v>
      </c>
      <c r="V753">
        <v>36</v>
      </c>
      <c r="W753">
        <v>3</v>
      </c>
      <c r="X753" t="s">
        <v>50</v>
      </c>
      <c r="Y753" t="s">
        <v>38</v>
      </c>
      <c r="Z753" t="s">
        <v>39</v>
      </c>
      <c r="AA753" t="s">
        <v>40</v>
      </c>
      <c r="AB753" t="s">
        <v>48</v>
      </c>
      <c r="AC753" t="s">
        <v>44</v>
      </c>
    </row>
    <row r="754" spans="1:29" x14ac:dyDescent="0.25">
      <c r="A754">
        <v>795</v>
      </c>
      <c r="B754">
        <v>18984</v>
      </c>
      <c r="C754">
        <v>9738</v>
      </c>
      <c r="D754">
        <v>28722</v>
      </c>
      <c r="E754" t="s">
        <v>29</v>
      </c>
      <c r="F754">
        <v>49</v>
      </c>
      <c r="G754" t="s">
        <v>53</v>
      </c>
      <c r="H754" t="s">
        <v>30</v>
      </c>
      <c r="I754">
        <v>2</v>
      </c>
      <c r="J754" t="s">
        <v>62</v>
      </c>
      <c r="K754">
        <v>700</v>
      </c>
      <c r="L754" t="s">
        <v>63</v>
      </c>
      <c r="M754">
        <v>2</v>
      </c>
      <c r="N754" t="s">
        <v>44</v>
      </c>
      <c r="O754">
        <v>0.23</v>
      </c>
      <c r="P754" t="s">
        <v>59</v>
      </c>
      <c r="Q754">
        <v>1203</v>
      </c>
      <c r="R754">
        <v>10523</v>
      </c>
      <c r="S754" t="s">
        <v>44</v>
      </c>
      <c r="T754">
        <v>18131</v>
      </c>
      <c r="U754" t="s">
        <v>57</v>
      </c>
      <c r="V754">
        <v>48</v>
      </c>
      <c r="W754">
        <v>4</v>
      </c>
      <c r="X754" t="s">
        <v>50</v>
      </c>
      <c r="Y754" t="s">
        <v>45</v>
      </c>
      <c r="Z754" t="s">
        <v>33</v>
      </c>
      <c r="AA754" t="s">
        <v>40</v>
      </c>
      <c r="AB754" t="s">
        <v>35</v>
      </c>
      <c r="AC754" t="s">
        <v>44</v>
      </c>
    </row>
    <row r="755" spans="1:29" x14ac:dyDescent="0.25">
      <c r="A755">
        <v>796</v>
      </c>
      <c r="B755">
        <v>16060</v>
      </c>
      <c r="C755">
        <v>8841</v>
      </c>
      <c r="D755">
        <v>24901</v>
      </c>
      <c r="E755" t="s">
        <v>46</v>
      </c>
      <c r="F755">
        <v>39</v>
      </c>
      <c r="G755" t="s">
        <v>65</v>
      </c>
      <c r="H755" t="s">
        <v>30</v>
      </c>
      <c r="I755">
        <v>3</v>
      </c>
      <c r="J755" t="s">
        <v>58</v>
      </c>
      <c r="K755">
        <v>640</v>
      </c>
      <c r="L755" t="s">
        <v>55</v>
      </c>
      <c r="M755">
        <v>4</v>
      </c>
      <c r="N755" t="s">
        <v>44</v>
      </c>
      <c r="O755">
        <v>0.35</v>
      </c>
      <c r="P755" t="s">
        <v>67</v>
      </c>
      <c r="Q755">
        <v>19194</v>
      </c>
      <c r="R755">
        <v>45530</v>
      </c>
      <c r="S755" t="s">
        <v>44</v>
      </c>
      <c r="T755">
        <v>7553</v>
      </c>
      <c r="U755" t="s">
        <v>57</v>
      </c>
      <c r="V755">
        <v>60</v>
      </c>
      <c r="W755">
        <v>5</v>
      </c>
      <c r="X755" t="s">
        <v>42</v>
      </c>
      <c r="Y755" t="s">
        <v>32</v>
      </c>
      <c r="Z755" t="s">
        <v>39</v>
      </c>
      <c r="AA755" t="s">
        <v>40</v>
      </c>
      <c r="AB755" t="s">
        <v>35</v>
      </c>
      <c r="AC755" t="s">
        <v>36</v>
      </c>
    </row>
    <row r="756" spans="1:29" x14ac:dyDescent="0.25">
      <c r="A756">
        <v>797</v>
      </c>
      <c r="B756">
        <v>19449</v>
      </c>
      <c r="C756">
        <v>9160</v>
      </c>
      <c r="D756">
        <v>28609</v>
      </c>
      <c r="E756" t="s">
        <v>46</v>
      </c>
      <c r="F756">
        <v>22</v>
      </c>
      <c r="G756" t="s">
        <v>72</v>
      </c>
      <c r="H756" t="s">
        <v>30</v>
      </c>
      <c r="I756">
        <v>3</v>
      </c>
      <c r="J756" t="s">
        <v>58</v>
      </c>
      <c r="K756">
        <v>787</v>
      </c>
      <c r="L756" t="s">
        <v>71</v>
      </c>
      <c r="M756">
        <v>1</v>
      </c>
      <c r="N756" t="s">
        <v>44</v>
      </c>
      <c r="O756">
        <v>0.28999999999999998</v>
      </c>
      <c r="P756" t="s">
        <v>59</v>
      </c>
      <c r="Q756">
        <v>19476</v>
      </c>
      <c r="R756">
        <v>13769</v>
      </c>
      <c r="S756" t="s">
        <v>44</v>
      </c>
      <c r="T756">
        <v>18881</v>
      </c>
      <c r="U756" t="s">
        <v>57</v>
      </c>
      <c r="V756">
        <v>60</v>
      </c>
      <c r="W756">
        <v>5</v>
      </c>
      <c r="X756" t="s">
        <v>47</v>
      </c>
      <c r="Y756" t="s">
        <v>32</v>
      </c>
      <c r="Z756" t="s">
        <v>33</v>
      </c>
      <c r="AA756" t="s">
        <v>34</v>
      </c>
      <c r="AB756" t="s">
        <v>35</v>
      </c>
      <c r="AC756" t="s">
        <v>44</v>
      </c>
    </row>
    <row r="757" spans="1:29" x14ac:dyDescent="0.25">
      <c r="A757">
        <v>798</v>
      </c>
      <c r="B757">
        <v>0</v>
      </c>
      <c r="C757">
        <v>1100</v>
      </c>
      <c r="D757">
        <v>1100</v>
      </c>
      <c r="E757" t="s">
        <v>46</v>
      </c>
      <c r="F757">
        <v>30</v>
      </c>
      <c r="G757" t="s">
        <v>61</v>
      </c>
      <c r="H757" t="s">
        <v>30</v>
      </c>
      <c r="I757">
        <v>2</v>
      </c>
      <c r="J757" t="s">
        <v>62</v>
      </c>
      <c r="K757">
        <v>619</v>
      </c>
      <c r="L757" t="s">
        <v>55</v>
      </c>
      <c r="M757">
        <v>0</v>
      </c>
      <c r="N757" t="s">
        <v>36</v>
      </c>
      <c r="O757">
        <v>0.5</v>
      </c>
      <c r="P757" t="s">
        <v>70</v>
      </c>
      <c r="Q757">
        <v>3044</v>
      </c>
      <c r="R757">
        <v>46499</v>
      </c>
      <c r="S757" t="s">
        <v>44</v>
      </c>
      <c r="T757">
        <v>2379</v>
      </c>
      <c r="U757" t="s">
        <v>73</v>
      </c>
      <c r="V757">
        <v>60</v>
      </c>
      <c r="W757">
        <v>5</v>
      </c>
      <c r="X757" t="s">
        <v>50</v>
      </c>
      <c r="Y757" t="s">
        <v>32</v>
      </c>
      <c r="Z757" t="s">
        <v>39</v>
      </c>
      <c r="AA757" t="s">
        <v>40</v>
      </c>
      <c r="AB757" t="s">
        <v>42</v>
      </c>
      <c r="AC757" t="s">
        <v>36</v>
      </c>
    </row>
    <row r="758" spans="1:29" x14ac:dyDescent="0.25">
      <c r="A758">
        <v>799</v>
      </c>
      <c r="B758">
        <v>11510</v>
      </c>
      <c r="C758">
        <v>6652</v>
      </c>
      <c r="D758">
        <v>18162</v>
      </c>
      <c r="E758" t="s">
        <v>46</v>
      </c>
      <c r="F758">
        <v>45</v>
      </c>
      <c r="G758" t="s">
        <v>53</v>
      </c>
      <c r="H758" t="s">
        <v>30</v>
      </c>
      <c r="I758">
        <v>1</v>
      </c>
      <c r="J758" t="s">
        <v>68</v>
      </c>
      <c r="K758">
        <v>715</v>
      </c>
      <c r="L758" t="s">
        <v>63</v>
      </c>
      <c r="M758">
        <v>2</v>
      </c>
      <c r="N758" t="s">
        <v>44</v>
      </c>
      <c r="O758">
        <v>0.33</v>
      </c>
      <c r="P758" t="s">
        <v>67</v>
      </c>
      <c r="Q758">
        <v>7272</v>
      </c>
      <c r="R758">
        <v>44645</v>
      </c>
      <c r="S758" t="s">
        <v>44</v>
      </c>
      <c r="T758">
        <v>26255</v>
      </c>
      <c r="U758" t="s">
        <v>64</v>
      </c>
      <c r="V758">
        <v>36</v>
      </c>
      <c r="W758">
        <v>3</v>
      </c>
      <c r="X758" t="s">
        <v>31</v>
      </c>
      <c r="Y758" t="s">
        <v>45</v>
      </c>
      <c r="Z758" t="s">
        <v>39</v>
      </c>
      <c r="AA758" t="s">
        <v>40</v>
      </c>
      <c r="AB758" t="s">
        <v>35</v>
      </c>
      <c r="AC758" t="s">
        <v>44</v>
      </c>
    </row>
    <row r="759" spans="1:29" x14ac:dyDescent="0.25">
      <c r="A759">
        <v>800</v>
      </c>
      <c r="B759">
        <v>8943</v>
      </c>
      <c r="C759">
        <v>8632</v>
      </c>
      <c r="D759">
        <v>17575</v>
      </c>
      <c r="E759" t="s">
        <v>29</v>
      </c>
      <c r="F759">
        <v>40</v>
      </c>
      <c r="G759" t="s">
        <v>65</v>
      </c>
      <c r="H759" t="s">
        <v>30</v>
      </c>
      <c r="I759">
        <v>3</v>
      </c>
      <c r="J759" t="s">
        <v>58</v>
      </c>
      <c r="K759">
        <v>679</v>
      </c>
      <c r="L759" t="s">
        <v>63</v>
      </c>
      <c r="M759">
        <v>1</v>
      </c>
      <c r="N759" t="s">
        <v>44</v>
      </c>
      <c r="O759">
        <v>0.19</v>
      </c>
      <c r="P759" t="s">
        <v>59</v>
      </c>
      <c r="Q759">
        <v>3514</v>
      </c>
      <c r="R759">
        <v>25207</v>
      </c>
      <c r="S759" t="s">
        <v>44</v>
      </c>
      <c r="T759">
        <v>4770</v>
      </c>
      <c r="U759" t="s">
        <v>73</v>
      </c>
      <c r="V759">
        <v>36</v>
      </c>
      <c r="W759">
        <v>3</v>
      </c>
      <c r="X759" t="s">
        <v>37</v>
      </c>
      <c r="Y759" t="s">
        <v>32</v>
      </c>
      <c r="Z759" t="s">
        <v>33</v>
      </c>
      <c r="AA759" t="s">
        <v>34</v>
      </c>
      <c r="AB759" t="s">
        <v>43</v>
      </c>
      <c r="AC759" t="s">
        <v>44</v>
      </c>
    </row>
    <row r="760" spans="1:29" x14ac:dyDescent="0.25">
      <c r="A760">
        <v>801</v>
      </c>
      <c r="B760">
        <v>13954</v>
      </c>
      <c r="C760">
        <v>7421</v>
      </c>
      <c r="D760">
        <v>21375</v>
      </c>
      <c r="E760" t="s">
        <v>29</v>
      </c>
      <c r="F760">
        <v>39</v>
      </c>
      <c r="G760" t="s">
        <v>65</v>
      </c>
      <c r="H760" t="s">
        <v>41</v>
      </c>
      <c r="I760">
        <v>2</v>
      </c>
      <c r="J760" t="s">
        <v>62</v>
      </c>
      <c r="K760">
        <v>763</v>
      </c>
      <c r="L760" t="s">
        <v>71</v>
      </c>
      <c r="M760">
        <v>0</v>
      </c>
      <c r="N760" t="s">
        <v>36</v>
      </c>
      <c r="O760">
        <v>0.23</v>
      </c>
      <c r="P760" t="s">
        <v>59</v>
      </c>
      <c r="Q760">
        <v>9990</v>
      </c>
      <c r="R760">
        <v>35224</v>
      </c>
      <c r="S760" t="s">
        <v>44</v>
      </c>
      <c r="T760">
        <v>20726</v>
      </c>
      <c r="U760" t="s">
        <v>64</v>
      </c>
      <c r="V760">
        <v>84</v>
      </c>
      <c r="W760">
        <v>7</v>
      </c>
      <c r="X760" t="s">
        <v>37</v>
      </c>
      <c r="Y760" t="s">
        <v>45</v>
      </c>
      <c r="Z760" t="s">
        <v>39</v>
      </c>
      <c r="AA760" t="s">
        <v>40</v>
      </c>
      <c r="AB760" t="s">
        <v>42</v>
      </c>
      <c r="AC760" t="s">
        <v>36</v>
      </c>
    </row>
    <row r="761" spans="1:29" x14ac:dyDescent="0.25">
      <c r="A761">
        <v>802</v>
      </c>
      <c r="B761">
        <v>9804</v>
      </c>
      <c r="C761">
        <v>5016</v>
      </c>
      <c r="D761">
        <v>14820</v>
      </c>
      <c r="E761" t="s">
        <v>49</v>
      </c>
      <c r="F761">
        <v>40</v>
      </c>
      <c r="G761" t="s">
        <v>65</v>
      </c>
      <c r="H761" t="s">
        <v>41</v>
      </c>
      <c r="I761">
        <v>0</v>
      </c>
      <c r="J761" t="s">
        <v>54</v>
      </c>
      <c r="K761">
        <v>633</v>
      </c>
      <c r="L761" t="s">
        <v>55</v>
      </c>
      <c r="M761">
        <v>2</v>
      </c>
      <c r="N761" t="s">
        <v>44</v>
      </c>
      <c r="O761">
        <v>0.35</v>
      </c>
      <c r="P761" t="s">
        <v>67</v>
      </c>
      <c r="Q761">
        <v>6192</v>
      </c>
      <c r="R761">
        <v>25557</v>
      </c>
      <c r="S761" t="s">
        <v>44</v>
      </c>
      <c r="T761">
        <v>10088</v>
      </c>
      <c r="U761" t="s">
        <v>57</v>
      </c>
      <c r="V761">
        <v>36</v>
      </c>
      <c r="W761">
        <v>3</v>
      </c>
      <c r="X761" t="s">
        <v>37</v>
      </c>
      <c r="Y761" t="s">
        <v>45</v>
      </c>
      <c r="Z761" t="s">
        <v>39</v>
      </c>
      <c r="AA761" t="s">
        <v>40</v>
      </c>
      <c r="AB761" t="s">
        <v>43</v>
      </c>
      <c r="AC761" t="s">
        <v>36</v>
      </c>
    </row>
    <row r="762" spans="1:29" x14ac:dyDescent="0.25">
      <c r="A762">
        <v>803</v>
      </c>
      <c r="B762">
        <v>8565</v>
      </c>
      <c r="C762">
        <v>769</v>
      </c>
      <c r="D762">
        <v>9334</v>
      </c>
      <c r="E762" t="s">
        <v>46</v>
      </c>
      <c r="F762">
        <v>44</v>
      </c>
      <c r="G762" t="s">
        <v>65</v>
      </c>
      <c r="H762" t="s">
        <v>41</v>
      </c>
      <c r="I762">
        <v>2</v>
      </c>
      <c r="J762" t="s">
        <v>62</v>
      </c>
      <c r="K762">
        <v>638</v>
      </c>
      <c r="L762" t="s">
        <v>55</v>
      </c>
      <c r="M762">
        <v>1</v>
      </c>
      <c r="N762" t="s">
        <v>44</v>
      </c>
      <c r="O762">
        <v>0.17</v>
      </c>
      <c r="P762" t="s">
        <v>59</v>
      </c>
      <c r="Q762">
        <v>10767</v>
      </c>
      <c r="R762">
        <v>38191</v>
      </c>
      <c r="S762" t="s">
        <v>44</v>
      </c>
      <c r="T762">
        <v>35314</v>
      </c>
      <c r="U762" t="s">
        <v>60</v>
      </c>
      <c r="V762">
        <v>24</v>
      </c>
      <c r="W762">
        <v>2</v>
      </c>
      <c r="X762" t="s">
        <v>42</v>
      </c>
      <c r="Y762" t="s">
        <v>32</v>
      </c>
      <c r="Z762" t="s">
        <v>33</v>
      </c>
      <c r="AA762" t="s">
        <v>40</v>
      </c>
      <c r="AB762" t="s">
        <v>43</v>
      </c>
      <c r="AC762" t="s">
        <v>36</v>
      </c>
    </row>
    <row r="763" spans="1:29" x14ac:dyDescent="0.25">
      <c r="A763">
        <v>804</v>
      </c>
      <c r="B763">
        <v>7984</v>
      </c>
      <c r="C763">
        <v>1343</v>
      </c>
      <c r="D763">
        <v>9327</v>
      </c>
      <c r="E763" t="s">
        <v>29</v>
      </c>
      <c r="F763">
        <v>31</v>
      </c>
      <c r="G763" t="s">
        <v>61</v>
      </c>
      <c r="H763" t="s">
        <v>30</v>
      </c>
      <c r="I763">
        <v>0</v>
      </c>
      <c r="J763" t="s">
        <v>54</v>
      </c>
      <c r="K763">
        <v>628</v>
      </c>
      <c r="L763" t="s">
        <v>55</v>
      </c>
      <c r="M763">
        <v>0</v>
      </c>
      <c r="N763" t="s">
        <v>36</v>
      </c>
      <c r="O763">
        <v>0.41</v>
      </c>
      <c r="P763" t="s">
        <v>70</v>
      </c>
      <c r="Q763">
        <v>16528</v>
      </c>
      <c r="R763">
        <v>14246</v>
      </c>
      <c r="S763" t="s">
        <v>44</v>
      </c>
      <c r="T763">
        <v>39976</v>
      </c>
      <c r="U763" t="s">
        <v>60</v>
      </c>
      <c r="V763">
        <v>36</v>
      </c>
      <c r="W763">
        <v>3</v>
      </c>
      <c r="X763" t="s">
        <v>37</v>
      </c>
      <c r="Y763" t="s">
        <v>32</v>
      </c>
      <c r="Z763" t="s">
        <v>33</v>
      </c>
      <c r="AA763" t="s">
        <v>34</v>
      </c>
      <c r="AB763" t="s">
        <v>35</v>
      </c>
      <c r="AC763" t="s">
        <v>36</v>
      </c>
    </row>
    <row r="764" spans="1:29" x14ac:dyDescent="0.25">
      <c r="A764">
        <v>805</v>
      </c>
      <c r="B764">
        <v>6670</v>
      </c>
      <c r="C764">
        <v>4358</v>
      </c>
      <c r="D764">
        <v>11028</v>
      </c>
      <c r="E764" t="s">
        <v>49</v>
      </c>
      <c r="F764">
        <v>54</v>
      </c>
      <c r="G764" t="s">
        <v>53</v>
      </c>
      <c r="H764" t="s">
        <v>30</v>
      </c>
      <c r="I764">
        <v>3</v>
      </c>
      <c r="J764" t="s">
        <v>58</v>
      </c>
      <c r="K764">
        <v>662</v>
      </c>
      <c r="L764" t="s">
        <v>55</v>
      </c>
      <c r="M764">
        <v>4</v>
      </c>
      <c r="N764" t="s">
        <v>44</v>
      </c>
      <c r="O764">
        <v>0.38</v>
      </c>
      <c r="P764" t="s">
        <v>67</v>
      </c>
      <c r="Q764">
        <v>7507</v>
      </c>
      <c r="R764">
        <v>12846</v>
      </c>
      <c r="S764" t="s">
        <v>44</v>
      </c>
      <c r="T764">
        <v>17350</v>
      </c>
      <c r="U764" t="s">
        <v>57</v>
      </c>
      <c r="V764">
        <v>36</v>
      </c>
      <c r="W764">
        <v>3</v>
      </c>
      <c r="X764" t="s">
        <v>37</v>
      </c>
      <c r="Y764" t="s">
        <v>32</v>
      </c>
      <c r="Z764" t="s">
        <v>39</v>
      </c>
      <c r="AA764" t="s">
        <v>34</v>
      </c>
      <c r="AB764" t="s">
        <v>35</v>
      </c>
      <c r="AC764" t="s">
        <v>44</v>
      </c>
    </row>
    <row r="765" spans="1:29" x14ac:dyDescent="0.25">
      <c r="A765">
        <v>806</v>
      </c>
      <c r="B765">
        <v>11184</v>
      </c>
      <c r="C765">
        <v>9769</v>
      </c>
      <c r="D765">
        <v>20953</v>
      </c>
      <c r="E765" t="s">
        <v>29</v>
      </c>
      <c r="F765">
        <v>48</v>
      </c>
      <c r="G765" t="s">
        <v>53</v>
      </c>
      <c r="H765" t="s">
        <v>30</v>
      </c>
      <c r="I765">
        <v>2</v>
      </c>
      <c r="J765" t="s">
        <v>62</v>
      </c>
      <c r="K765">
        <v>550</v>
      </c>
      <c r="L765" t="s">
        <v>66</v>
      </c>
      <c r="M765">
        <v>1</v>
      </c>
      <c r="N765" t="s">
        <v>44</v>
      </c>
      <c r="O765">
        <v>0.46</v>
      </c>
      <c r="P765" t="s">
        <v>70</v>
      </c>
      <c r="Q765">
        <v>4857</v>
      </c>
      <c r="R765">
        <v>37085</v>
      </c>
      <c r="S765" t="s">
        <v>44</v>
      </c>
      <c r="T765">
        <v>35063</v>
      </c>
      <c r="U765" t="s">
        <v>60</v>
      </c>
      <c r="V765">
        <v>36</v>
      </c>
      <c r="W765">
        <v>3</v>
      </c>
      <c r="X765" t="s">
        <v>31</v>
      </c>
      <c r="Y765" t="s">
        <v>45</v>
      </c>
      <c r="Z765" t="s">
        <v>39</v>
      </c>
      <c r="AA765" t="s">
        <v>40</v>
      </c>
      <c r="AB765" t="s">
        <v>43</v>
      </c>
      <c r="AC765" t="s">
        <v>36</v>
      </c>
    </row>
    <row r="766" spans="1:29" x14ac:dyDescent="0.25">
      <c r="A766">
        <v>807</v>
      </c>
      <c r="B766">
        <v>4192</v>
      </c>
      <c r="C766">
        <v>6780</v>
      </c>
      <c r="D766">
        <v>10972</v>
      </c>
      <c r="E766" t="s">
        <v>29</v>
      </c>
      <c r="F766">
        <v>25</v>
      </c>
      <c r="G766" t="s">
        <v>61</v>
      </c>
      <c r="H766" t="s">
        <v>30</v>
      </c>
      <c r="I766">
        <v>2</v>
      </c>
      <c r="J766" t="s">
        <v>62</v>
      </c>
      <c r="K766">
        <v>621</v>
      </c>
      <c r="L766" t="s">
        <v>55</v>
      </c>
      <c r="M766">
        <v>0</v>
      </c>
      <c r="N766" t="s">
        <v>36</v>
      </c>
      <c r="O766">
        <v>0.56999999999999995</v>
      </c>
      <c r="P766" t="s">
        <v>56</v>
      </c>
      <c r="Q766">
        <v>12118</v>
      </c>
      <c r="R766">
        <v>45403</v>
      </c>
      <c r="S766" t="s">
        <v>44</v>
      </c>
      <c r="T766">
        <v>16861</v>
      </c>
      <c r="U766" t="s">
        <v>57</v>
      </c>
      <c r="V766">
        <v>48</v>
      </c>
      <c r="W766">
        <v>4</v>
      </c>
      <c r="X766" t="s">
        <v>50</v>
      </c>
      <c r="Y766" t="s">
        <v>32</v>
      </c>
      <c r="Z766" t="s">
        <v>39</v>
      </c>
      <c r="AA766" t="s">
        <v>34</v>
      </c>
      <c r="AB766" t="s">
        <v>35</v>
      </c>
      <c r="AC766" t="s">
        <v>36</v>
      </c>
    </row>
    <row r="767" spans="1:29" x14ac:dyDescent="0.25">
      <c r="A767">
        <v>808</v>
      </c>
      <c r="B767">
        <v>0</v>
      </c>
      <c r="C767">
        <v>6602</v>
      </c>
      <c r="D767">
        <v>6602</v>
      </c>
      <c r="E767" t="s">
        <v>29</v>
      </c>
      <c r="F767">
        <v>25</v>
      </c>
      <c r="G767" t="s">
        <v>61</v>
      </c>
      <c r="H767" t="s">
        <v>30</v>
      </c>
      <c r="I767">
        <v>0</v>
      </c>
      <c r="J767" t="s">
        <v>54</v>
      </c>
      <c r="K767">
        <v>714</v>
      </c>
      <c r="L767" t="s">
        <v>63</v>
      </c>
      <c r="M767">
        <v>0</v>
      </c>
      <c r="N767" t="s">
        <v>36</v>
      </c>
      <c r="O767">
        <v>0.56000000000000005</v>
      </c>
      <c r="P767" t="s">
        <v>56</v>
      </c>
      <c r="Q767">
        <v>17761</v>
      </c>
      <c r="R767">
        <v>13470</v>
      </c>
      <c r="S767" t="s">
        <v>44</v>
      </c>
      <c r="T767">
        <v>14973</v>
      </c>
      <c r="U767" t="s">
        <v>57</v>
      </c>
      <c r="V767">
        <v>36</v>
      </c>
      <c r="W767">
        <v>3</v>
      </c>
      <c r="X767" t="s">
        <v>31</v>
      </c>
      <c r="Y767" t="s">
        <v>32</v>
      </c>
      <c r="Z767" t="s">
        <v>39</v>
      </c>
      <c r="AA767" t="s">
        <v>34</v>
      </c>
      <c r="AB767" t="s">
        <v>35</v>
      </c>
      <c r="AC767" t="s">
        <v>36</v>
      </c>
    </row>
    <row r="768" spans="1:29" x14ac:dyDescent="0.25">
      <c r="A768">
        <v>809</v>
      </c>
      <c r="B768">
        <v>13246</v>
      </c>
      <c r="C768">
        <v>2349</v>
      </c>
      <c r="D768">
        <v>15595</v>
      </c>
      <c r="E768" t="s">
        <v>49</v>
      </c>
      <c r="F768">
        <v>41</v>
      </c>
      <c r="G768" t="s">
        <v>65</v>
      </c>
      <c r="H768" t="s">
        <v>41</v>
      </c>
      <c r="I768">
        <v>2</v>
      </c>
      <c r="J768" t="s">
        <v>62</v>
      </c>
      <c r="K768">
        <v>598</v>
      </c>
      <c r="L768" t="s">
        <v>55</v>
      </c>
      <c r="M768">
        <v>3</v>
      </c>
      <c r="N768" t="s">
        <v>44</v>
      </c>
      <c r="O768">
        <v>0.56999999999999995</v>
      </c>
      <c r="P768" t="s">
        <v>56</v>
      </c>
      <c r="Q768">
        <v>3146</v>
      </c>
      <c r="R768">
        <v>13176</v>
      </c>
      <c r="S768" t="s">
        <v>44</v>
      </c>
      <c r="T768">
        <v>18769</v>
      </c>
      <c r="U768" t="s">
        <v>57</v>
      </c>
      <c r="V768">
        <v>24</v>
      </c>
      <c r="W768">
        <v>2</v>
      </c>
      <c r="X768" t="s">
        <v>42</v>
      </c>
      <c r="Y768" t="s">
        <v>38</v>
      </c>
      <c r="Z768" t="s">
        <v>39</v>
      </c>
      <c r="AA768" t="s">
        <v>40</v>
      </c>
      <c r="AB768" t="s">
        <v>35</v>
      </c>
      <c r="AC768" t="s">
        <v>36</v>
      </c>
    </row>
    <row r="769" spans="1:29" x14ac:dyDescent="0.25">
      <c r="A769">
        <v>810</v>
      </c>
      <c r="B769">
        <v>14790</v>
      </c>
      <c r="C769">
        <v>5699</v>
      </c>
      <c r="D769">
        <v>20489</v>
      </c>
      <c r="E769" t="s">
        <v>46</v>
      </c>
      <c r="F769">
        <v>32</v>
      </c>
      <c r="G769" t="s">
        <v>61</v>
      </c>
      <c r="H769" t="s">
        <v>41</v>
      </c>
      <c r="I769">
        <v>2</v>
      </c>
      <c r="J769" t="s">
        <v>62</v>
      </c>
      <c r="K769">
        <v>601</v>
      </c>
      <c r="L769" t="s">
        <v>55</v>
      </c>
      <c r="M769">
        <v>0</v>
      </c>
      <c r="N769" t="s">
        <v>36</v>
      </c>
      <c r="O769">
        <v>0.22</v>
      </c>
      <c r="P769" t="s">
        <v>59</v>
      </c>
      <c r="Q769">
        <v>0</v>
      </c>
      <c r="R769">
        <v>41881</v>
      </c>
      <c r="S769" t="s">
        <v>44</v>
      </c>
      <c r="T769">
        <v>18326</v>
      </c>
      <c r="U769" t="s">
        <v>57</v>
      </c>
      <c r="V769">
        <v>60</v>
      </c>
      <c r="W769">
        <v>5</v>
      </c>
      <c r="X769" t="s">
        <v>37</v>
      </c>
      <c r="Y769" t="s">
        <v>45</v>
      </c>
      <c r="Z769" t="s">
        <v>39</v>
      </c>
      <c r="AA769" t="s">
        <v>34</v>
      </c>
      <c r="AB769" t="s">
        <v>35</v>
      </c>
      <c r="AC769" t="s">
        <v>36</v>
      </c>
    </row>
    <row r="770" spans="1:29" x14ac:dyDescent="0.25">
      <c r="A770">
        <v>811</v>
      </c>
      <c r="B770">
        <v>5687</v>
      </c>
      <c r="C770">
        <v>1241</v>
      </c>
      <c r="D770">
        <v>6928</v>
      </c>
      <c r="E770" t="s">
        <v>29</v>
      </c>
      <c r="F770">
        <v>24</v>
      </c>
      <c r="G770" t="s">
        <v>72</v>
      </c>
      <c r="H770" t="s">
        <v>30</v>
      </c>
      <c r="I770">
        <v>3</v>
      </c>
      <c r="J770" t="s">
        <v>58</v>
      </c>
      <c r="K770">
        <v>582</v>
      </c>
      <c r="L770" t="s">
        <v>55</v>
      </c>
      <c r="M770">
        <v>2</v>
      </c>
      <c r="N770" t="s">
        <v>44</v>
      </c>
      <c r="O770">
        <v>0.17</v>
      </c>
      <c r="P770" t="s">
        <v>59</v>
      </c>
      <c r="Q770">
        <v>0</v>
      </c>
      <c r="R770">
        <v>13546</v>
      </c>
      <c r="S770" t="s">
        <v>44</v>
      </c>
      <c r="T770">
        <v>37048</v>
      </c>
      <c r="U770" t="s">
        <v>60</v>
      </c>
      <c r="V770">
        <v>48</v>
      </c>
      <c r="W770">
        <v>4</v>
      </c>
      <c r="X770" t="s">
        <v>50</v>
      </c>
      <c r="Y770" t="s">
        <v>45</v>
      </c>
      <c r="Z770" t="s">
        <v>39</v>
      </c>
      <c r="AA770" t="s">
        <v>40</v>
      </c>
      <c r="AB770" t="s">
        <v>43</v>
      </c>
      <c r="AC770" t="s">
        <v>36</v>
      </c>
    </row>
    <row r="771" spans="1:29" x14ac:dyDescent="0.25">
      <c r="A771">
        <v>812</v>
      </c>
      <c r="B771">
        <v>6018</v>
      </c>
      <c r="C771">
        <v>1125</v>
      </c>
      <c r="D771">
        <v>7143</v>
      </c>
      <c r="E771" t="s">
        <v>49</v>
      </c>
      <c r="F771">
        <v>40</v>
      </c>
      <c r="G771" t="s">
        <v>65</v>
      </c>
      <c r="H771" t="s">
        <v>30</v>
      </c>
      <c r="I771">
        <v>2</v>
      </c>
      <c r="J771" t="s">
        <v>62</v>
      </c>
      <c r="K771">
        <v>571</v>
      </c>
      <c r="L771" t="s">
        <v>66</v>
      </c>
      <c r="M771">
        <v>2</v>
      </c>
      <c r="N771" t="s">
        <v>44</v>
      </c>
      <c r="O771">
        <v>0.25</v>
      </c>
      <c r="P771" t="s">
        <v>59</v>
      </c>
      <c r="Q771">
        <v>4414</v>
      </c>
      <c r="R771">
        <v>6805</v>
      </c>
      <c r="S771" t="s">
        <v>44</v>
      </c>
      <c r="T771">
        <v>3786</v>
      </c>
      <c r="U771" t="s">
        <v>73</v>
      </c>
      <c r="V771">
        <v>12</v>
      </c>
      <c r="W771">
        <v>1</v>
      </c>
      <c r="X771" t="s">
        <v>37</v>
      </c>
      <c r="Y771" t="s">
        <v>45</v>
      </c>
      <c r="Z771" t="s">
        <v>33</v>
      </c>
      <c r="AA771" t="s">
        <v>34</v>
      </c>
      <c r="AB771" t="s">
        <v>43</v>
      </c>
      <c r="AC771" t="s">
        <v>36</v>
      </c>
    </row>
    <row r="772" spans="1:29" x14ac:dyDescent="0.25">
      <c r="A772">
        <v>813</v>
      </c>
      <c r="B772">
        <v>13302</v>
      </c>
      <c r="C772">
        <v>9382</v>
      </c>
      <c r="D772">
        <v>22684</v>
      </c>
      <c r="E772" t="s">
        <v>52</v>
      </c>
      <c r="F772">
        <v>58</v>
      </c>
      <c r="G772" t="s">
        <v>69</v>
      </c>
      <c r="H772" t="s">
        <v>30</v>
      </c>
      <c r="I772">
        <v>1</v>
      </c>
      <c r="J772" t="s">
        <v>68</v>
      </c>
      <c r="K772">
        <v>663</v>
      </c>
      <c r="L772" t="s">
        <v>55</v>
      </c>
      <c r="M772">
        <v>1</v>
      </c>
      <c r="N772" t="s">
        <v>44</v>
      </c>
      <c r="O772">
        <v>0.55000000000000004</v>
      </c>
      <c r="P772" t="s">
        <v>56</v>
      </c>
      <c r="Q772">
        <v>17494</v>
      </c>
      <c r="R772">
        <v>16788</v>
      </c>
      <c r="S772" t="s">
        <v>44</v>
      </c>
      <c r="T772">
        <v>36001</v>
      </c>
      <c r="U772" t="s">
        <v>60</v>
      </c>
      <c r="V772">
        <v>36</v>
      </c>
      <c r="W772">
        <v>3</v>
      </c>
      <c r="X772" t="s">
        <v>37</v>
      </c>
      <c r="Y772" t="s">
        <v>38</v>
      </c>
      <c r="Z772" t="s">
        <v>33</v>
      </c>
      <c r="AA772" t="s">
        <v>40</v>
      </c>
      <c r="AB772" t="s">
        <v>48</v>
      </c>
      <c r="AC772" t="s">
        <v>36</v>
      </c>
    </row>
    <row r="773" spans="1:29" x14ac:dyDescent="0.25">
      <c r="A773">
        <v>814</v>
      </c>
      <c r="B773">
        <v>3970</v>
      </c>
      <c r="C773">
        <v>6764</v>
      </c>
      <c r="D773">
        <v>10734</v>
      </c>
      <c r="E773" t="s">
        <v>29</v>
      </c>
      <c r="F773">
        <v>45</v>
      </c>
      <c r="G773" t="s">
        <v>53</v>
      </c>
      <c r="H773" t="s">
        <v>30</v>
      </c>
      <c r="I773">
        <v>0</v>
      </c>
      <c r="J773" t="s">
        <v>54</v>
      </c>
      <c r="K773">
        <v>788</v>
      </c>
      <c r="L773" t="s">
        <v>71</v>
      </c>
      <c r="M773">
        <v>3</v>
      </c>
      <c r="N773" t="s">
        <v>44</v>
      </c>
      <c r="O773">
        <v>0.59</v>
      </c>
      <c r="P773" t="s">
        <v>56</v>
      </c>
      <c r="Q773">
        <v>3937</v>
      </c>
      <c r="R773">
        <v>29348</v>
      </c>
      <c r="S773" t="s">
        <v>44</v>
      </c>
      <c r="T773">
        <v>2620</v>
      </c>
      <c r="U773" t="s">
        <v>73</v>
      </c>
      <c r="V773">
        <v>84</v>
      </c>
      <c r="W773">
        <v>7</v>
      </c>
      <c r="X773" t="s">
        <v>42</v>
      </c>
      <c r="Y773" t="s">
        <v>45</v>
      </c>
      <c r="Z773" t="s">
        <v>39</v>
      </c>
      <c r="AA773" t="s">
        <v>34</v>
      </c>
      <c r="AB773" t="s">
        <v>35</v>
      </c>
      <c r="AC773" t="s">
        <v>36</v>
      </c>
    </row>
    <row r="774" spans="1:29" x14ac:dyDescent="0.25">
      <c r="A774">
        <v>815</v>
      </c>
      <c r="B774">
        <v>10389</v>
      </c>
      <c r="C774">
        <v>5101</v>
      </c>
      <c r="D774">
        <v>15490</v>
      </c>
      <c r="E774" t="s">
        <v>29</v>
      </c>
      <c r="F774">
        <v>34</v>
      </c>
      <c r="G774" t="s">
        <v>61</v>
      </c>
      <c r="H774" t="s">
        <v>30</v>
      </c>
      <c r="I774">
        <v>2</v>
      </c>
      <c r="J774" t="s">
        <v>62</v>
      </c>
      <c r="K774">
        <v>550</v>
      </c>
      <c r="L774" t="s">
        <v>66</v>
      </c>
      <c r="M774">
        <v>2</v>
      </c>
      <c r="N774" t="s">
        <v>44</v>
      </c>
      <c r="O774">
        <v>0.53</v>
      </c>
      <c r="P774" t="s">
        <v>56</v>
      </c>
      <c r="Q774">
        <v>3963</v>
      </c>
      <c r="R774">
        <v>8080</v>
      </c>
      <c r="S774" t="s">
        <v>44</v>
      </c>
      <c r="T774">
        <v>37303</v>
      </c>
      <c r="U774" t="s">
        <v>60</v>
      </c>
      <c r="V774">
        <v>84</v>
      </c>
      <c r="W774">
        <v>7</v>
      </c>
      <c r="X774" t="s">
        <v>37</v>
      </c>
      <c r="Y774" t="s">
        <v>32</v>
      </c>
      <c r="Z774" t="s">
        <v>39</v>
      </c>
      <c r="AA774" t="s">
        <v>40</v>
      </c>
      <c r="AB774" t="s">
        <v>48</v>
      </c>
      <c r="AC774" t="s">
        <v>36</v>
      </c>
    </row>
    <row r="775" spans="1:29" x14ac:dyDescent="0.25">
      <c r="A775">
        <v>816</v>
      </c>
      <c r="B775">
        <v>19586</v>
      </c>
      <c r="C775">
        <v>7843</v>
      </c>
      <c r="D775">
        <v>27429</v>
      </c>
      <c r="E775" t="s">
        <v>29</v>
      </c>
      <c r="F775">
        <v>31</v>
      </c>
      <c r="G775" t="s">
        <v>61</v>
      </c>
      <c r="H775" t="s">
        <v>30</v>
      </c>
      <c r="I775">
        <v>0</v>
      </c>
      <c r="J775" t="s">
        <v>54</v>
      </c>
      <c r="K775">
        <v>780</v>
      </c>
      <c r="L775" t="s">
        <v>71</v>
      </c>
      <c r="M775">
        <v>2</v>
      </c>
      <c r="N775" t="s">
        <v>44</v>
      </c>
      <c r="O775">
        <v>0.16</v>
      </c>
      <c r="P775" t="s">
        <v>59</v>
      </c>
      <c r="Q775">
        <v>5897</v>
      </c>
      <c r="R775">
        <v>35886</v>
      </c>
      <c r="S775" t="s">
        <v>44</v>
      </c>
      <c r="T775">
        <v>20589</v>
      </c>
      <c r="U775" t="s">
        <v>64</v>
      </c>
      <c r="V775">
        <v>60</v>
      </c>
      <c r="W775">
        <v>5</v>
      </c>
      <c r="X775" t="s">
        <v>47</v>
      </c>
      <c r="Y775" t="s">
        <v>32</v>
      </c>
      <c r="Z775" t="s">
        <v>39</v>
      </c>
      <c r="AA775" t="s">
        <v>34</v>
      </c>
      <c r="AB775" t="s">
        <v>42</v>
      </c>
      <c r="AC775" t="s">
        <v>44</v>
      </c>
    </row>
    <row r="776" spans="1:29" x14ac:dyDescent="0.25">
      <c r="A776">
        <v>817</v>
      </c>
      <c r="B776">
        <v>17374</v>
      </c>
      <c r="C776">
        <v>72</v>
      </c>
      <c r="D776">
        <v>17446</v>
      </c>
      <c r="E776" t="s">
        <v>29</v>
      </c>
      <c r="F776">
        <v>52</v>
      </c>
      <c r="G776" t="s">
        <v>53</v>
      </c>
      <c r="H776" t="s">
        <v>30</v>
      </c>
      <c r="I776">
        <v>0</v>
      </c>
      <c r="J776" t="s">
        <v>54</v>
      </c>
      <c r="K776">
        <v>567</v>
      </c>
      <c r="L776" t="s">
        <v>66</v>
      </c>
      <c r="M776">
        <v>3</v>
      </c>
      <c r="N776" t="s">
        <v>44</v>
      </c>
      <c r="O776">
        <v>0.56999999999999995</v>
      </c>
      <c r="P776" t="s">
        <v>56</v>
      </c>
      <c r="Q776">
        <v>0</v>
      </c>
      <c r="R776">
        <v>23764</v>
      </c>
      <c r="S776" t="s">
        <v>44</v>
      </c>
      <c r="T776">
        <v>3882</v>
      </c>
      <c r="U776" t="s">
        <v>73</v>
      </c>
      <c r="V776">
        <v>60</v>
      </c>
      <c r="W776">
        <v>5</v>
      </c>
      <c r="X776" t="s">
        <v>50</v>
      </c>
      <c r="Y776" t="s">
        <v>45</v>
      </c>
      <c r="Z776" t="s">
        <v>39</v>
      </c>
      <c r="AA776" t="s">
        <v>40</v>
      </c>
      <c r="AB776" t="s">
        <v>48</v>
      </c>
      <c r="AC776" t="s">
        <v>36</v>
      </c>
    </row>
    <row r="777" spans="1:29" x14ac:dyDescent="0.25">
      <c r="A777">
        <v>819</v>
      </c>
      <c r="B777">
        <v>7408</v>
      </c>
      <c r="C777">
        <v>0</v>
      </c>
      <c r="D777">
        <v>7408</v>
      </c>
      <c r="E777" t="s">
        <v>52</v>
      </c>
      <c r="F777">
        <v>38</v>
      </c>
      <c r="G777" t="s">
        <v>65</v>
      </c>
      <c r="H777" t="s">
        <v>30</v>
      </c>
      <c r="I777">
        <v>2</v>
      </c>
      <c r="J777" t="s">
        <v>62</v>
      </c>
      <c r="K777">
        <v>667</v>
      </c>
      <c r="L777" t="s">
        <v>55</v>
      </c>
      <c r="M777">
        <v>2</v>
      </c>
      <c r="N777" t="s">
        <v>44</v>
      </c>
      <c r="O777">
        <v>0.1</v>
      </c>
      <c r="P777" t="s">
        <v>59</v>
      </c>
      <c r="Q777">
        <v>17500</v>
      </c>
      <c r="R777">
        <v>33333</v>
      </c>
      <c r="S777" t="s">
        <v>44</v>
      </c>
      <c r="T777">
        <v>10745</v>
      </c>
      <c r="U777" t="s">
        <v>57</v>
      </c>
      <c r="V777">
        <v>84</v>
      </c>
      <c r="W777">
        <v>7</v>
      </c>
      <c r="X777" t="s">
        <v>42</v>
      </c>
      <c r="Y777" t="s">
        <v>45</v>
      </c>
      <c r="Z777" t="s">
        <v>39</v>
      </c>
      <c r="AA777" t="s">
        <v>40</v>
      </c>
      <c r="AB777" t="s">
        <v>42</v>
      </c>
      <c r="AC777" t="s">
        <v>44</v>
      </c>
    </row>
    <row r="778" spans="1:29" x14ac:dyDescent="0.25">
      <c r="A778">
        <v>820</v>
      </c>
      <c r="B778">
        <v>11446</v>
      </c>
      <c r="C778">
        <v>2472</v>
      </c>
      <c r="D778">
        <v>13918</v>
      </c>
      <c r="E778" t="s">
        <v>46</v>
      </c>
      <c r="F778">
        <v>47</v>
      </c>
      <c r="G778" t="s">
        <v>53</v>
      </c>
      <c r="H778" t="s">
        <v>41</v>
      </c>
      <c r="I778">
        <v>2</v>
      </c>
      <c r="J778" t="s">
        <v>62</v>
      </c>
      <c r="K778">
        <v>666</v>
      </c>
      <c r="L778" t="s">
        <v>55</v>
      </c>
      <c r="M778">
        <v>0</v>
      </c>
      <c r="N778" t="s">
        <v>36</v>
      </c>
      <c r="O778">
        <v>0.32</v>
      </c>
      <c r="P778" t="s">
        <v>67</v>
      </c>
      <c r="Q778">
        <v>16056</v>
      </c>
      <c r="R778">
        <v>15701</v>
      </c>
      <c r="S778" t="s">
        <v>44</v>
      </c>
      <c r="T778">
        <v>37665</v>
      </c>
      <c r="U778" t="s">
        <v>60</v>
      </c>
      <c r="V778">
        <v>12</v>
      </c>
      <c r="W778">
        <v>1</v>
      </c>
      <c r="X778" t="s">
        <v>42</v>
      </c>
      <c r="Y778" t="s">
        <v>38</v>
      </c>
      <c r="Z778" t="s">
        <v>39</v>
      </c>
      <c r="AA778" t="s">
        <v>34</v>
      </c>
      <c r="AB778" t="s">
        <v>35</v>
      </c>
      <c r="AC778" t="s">
        <v>44</v>
      </c>
    </row>
    <row r="779" spans="1:29" x14ac:dyDescent="0.25">
      <c r="A779">
        <v>821</v>
      </c>
      <c r="B779">
        <v>2922</v>
      </c>
      <c r="C779">
        <v>707</v>
      </c>
      <c r="D779">
        <v>3629</v>
      </c>
      <c r="E779" t="s">
        <v>29</v>
      </c>
      <c r="F779">
        <v>38</v>
      </c>
      <c r="G779" t="s">
        <v>65</v>
      </c>
      <c r="H779" t="s">
        <v>30</v>
      </c>
      <c r="I779">
        <v>0</v>
      </c>
      <c r="J779" t="s">
        <v>54</v>
      </c>
      <c r="K779">
        <v>586</v>
      </c>
      <c r="L779" t="s">
        <v>55</v>
      </c>
      <c r="M779">
        <v>1</v>
      </c>
      <c r="N779" t="s">
        <v>44</v>
      </c>
      <c r="O779">
        <v>0.12</v>
      </c>
      <c r="P779" t="s">
        <v>59</v>
      </c>
      <c r="Q779">
        <v>1750</v>
      </c>
      <c r="R779">
        <v>14859</v>
      </c>
      <c r="S779" t="s">
        <v>44</v>
      </c>
      <c r="T779">
        <v>16861</v>
      </c>
      <c r="U779" t="s">
        <v>57</v>
      </c>
      <c r="V779">
        <v>72</v>
      </c>
      <c r="W779">
        <v>6</v>
      </c>
      <c r="X779" t="s">
        <v>37</v>
      </c>
      <c r="Y779" t="s">
        <v>32</v>
      </c>
      <c r="Z779" t="s">
        <v>33</v>
      </c>
      <c r="AA779" t="s">
        <v>34</v>
      </c>
      <c r="AB779" t="s">
        <v>35</v>
      </c>
      <c r="AC779" t="s">
        <v>36</v>
      </c>
    </row>
    <row r="780" spans="1:29" x14ac:dyDescent="0.25">
      <c r="A780">
        <v>822</v>
      </c>
      <c r="B780">
        <v>2419</v>
      </c>
      <c r="C780">
        <v>1804</v>
      </c>
      <c r="D780">
        <v>4223</v>
      </c>
      <c r="E780" t="s">
        <v>29</v>
      </c>
      <c r="F780">
        <v>43</v>
      </c>
      <c r="G780" t="s">
        <v>65</v>
      </c>
      <c r="H780" t="s">
        <v>30</v>
      </c>
      <c r="I780">
        <v>1</v>
      </c>
      <c r="J780" t="s">
        <v>68</v>
      </c>
      <c r="K780">
        <v>771</v>
      </c>
      <c r="L780" t="s">
        <v>71</v>
      </c>
      <c r="M780">
        <v>2</v>
      </c>
      <c r="N780" t="s">
        <v>44</v>
      </c>
      <c r="O780">
        <v>0.37</v>
      </c>
      <c r="P780" t="s">
        <v>67</v>
      </c>
      <c r="Q780">
        <v>4027</v>
      </c>
      <c r="R780">
        <v>21183</v>
      </c>
      <c r="S780" t="s">
        <v>44</v>
      </c>
      <c r="T780">
        <v>27171</v>
      </c>
      <c r="U780" t="s">
        <v>64</v>
      </c>
      <c r="V780">
        <v>48</v>
      </c>
      <c r="W780">
        <v>4</v>
      </c>
      <c r="X780" t="s">
        <v>37</v>
      </c>
      <c r="Y780" t="s">
        <v>32</v>
      </c>
      <c r="Z780" t="s">
        <v>33</v>
      </c>
      <c r="AA780" t="s">
        <v>40</v>
      </c>
      <c r="AB780" t="s">
        <v>35</v>
      </c>
      <c r="AC780" t="s">
        <v>36</v>
      </c>
    </row>
    <row r="781" spans="1:29" x14ac:dyDescent="0.25">
      <c r="A781">
        <v>824</v>
      </c>
      <c r="B781">
        <v>3120</v>
      </c>
      <c r="C781">
        <v>3713</v>
      </c>
      <c r="D781">
        <v>6833</v>
      </c>
      <c r="E781" t="s">
        <v>29</v>
      </c>
      <c r="F781">
        <v>41</v>
      </c>
      <c r="G781" t="s">
        <v>65</v>
      </c>
      <c r="H781" t="s">
        <v>30</v>
      </c>
      <c r="I781">
        <v>1</v>
      </c>
      <c r="J781" t="s">
        <v>68</v>
      </c>
      <c r="K781">
        <v>772</v>
      </c>
      <c r="L781" t="s">
        <v>71</v>
      </c>
      <c r="M781">
        <v>4</v>
      </c>
      <c r="N781" t="s">
        <v>44</v>
      </c>
      <c r="O781">
        <v>0.34</v>
      </c>
      <c r="P781" t="s">
        <v>67</v>
      </c>
      <c r="Q781">
        <v>5745</v>
      </c>
      <c r="R781">
        <v>31749</v>
      </c>
      <c r="S781" t="s">
        <v>44</v>
      </c>
      <c r="T781">
        <v>3837</v>
      </c>
      <c r="U781" t="s">
        <v>73</v>
      </c>
      <c r="V781">
        <v>24</v>
      </c>
      <c r="W781">
        <v>2</v>
      </c>
      <c r="X781" t="s">
        <v>42</v>
      </c>
      <c r="Y781" t="s">
        <v>32</v>
      </c>
      <c r="Z781" t="s">
        <v>39</v>
      </c>
      <c r="AA781" t="s">
        <v>40</v>
      </c>
      <c r="AB781" t="s">
        <v>48</v>
      </c>
      <c r="AC781" t="s">
        <v>44</v>
      </c>
    </row>
    <row r="782" spans="1:29" x14ac:dyDescent="0.25">
      <c r="A782">
        <v>825</v>
      </c>
      <c r="B782">
        <v>13260</v>
      </c>
      <c r="C782">
        <v>5051</v>
      </c>
      <c r="D782">
        <v>18311</v>
      </c>
      <c r="E782" t="s">
        <v>49</v>
      </c>
      <c r="F782">
        <v>25</v>
      </c>
      <c r="G782" t="s">
        <v>61</v>
      </c>
      <c r="H782" t="s">
        <v>30</v>
      </c>
      <c r="I782">
        <v>0</v>
      </c>
      <c r="J782" t="s">
        <v>54</v>
      </c>
      <c r="K782">
        <v>613</v>
      </c>
      <c r="L782" t="s">
        <v>55</v>
      </c>
      <c r="M782">
        <v>0</v>
      </c>
      <c r="N782" t="s">
        <v>36</v>
      </c>
      <c r="O782">
        <v>0.41</v>
      </c>
      <c r="P782" t="s">
        <v>70</v>
      </c>
      <c r="Q782">
        <v>9679</v>
      </c>
      <c r="R782">
        <v>31887</v>
      </c>
      <c r="S782" t="s">
        <v>44</v>
      </c>
      <c r="T782">
        <v>9599</v>
      </c>
      <c r="U782" t="s">
        <v>57</v>
      </c>
      <c r="V782">
        <v>72</v>
      </c>
      <c r="W782">
        <v>6</v>
      </c>
      <c r="X782" t="s">
        <v>42</v>
      </c>
      <c r="Y782" t="s">
        <v>45</v>
      </c>
      <c r="Z782" t="s">
        <v>39</v>
      </c>
      <c r="AA782" t="s">
        <v>34</v>
      </c>
      <c r="AB782" t="s">
        <v>42</v>
      </c>
      <c r="AC782" t="s">
        <v>36</v>
      </c>
    </row>
    <row r="783" spans="1:29" x14ac:dyDescent="0.25">
      <c r="A783">
        <v>826</v>
      </c>
      <c r="B783">
        <v>19334</v>
      </c>
      <c r="C783">
        <v>2475</v>
      </c>
      <c r="D783">
        <v>21809</v>
      </c>
      <c r="E783" t="s">
        <v>29</v>
      </c>
      <c r="F783">
        <v>43</v>
      </c>
      <c r="G783" t="s">
        <v>65</v>
      </c>
      <c r="H783" t="s">
        <v>30</v>
      </c>
      <c r="I783">
        <v>3</v>
      </c>
      <c r="J783" t="s">
        <v>58</v>
      </c>
      <c r="K783">
        <v>687</v>
      </c>
      <c r="L783" t="s">
        <v>63</v>
      </c>
      <c r="M783">
        <v>1</v>
      </c>
      <c r="N783" t="s">
        <v>44</v>
      </c>
      <c r="O783">
        <v>0.53</v>
      </c>
      <c r="P783" t="s">
        <v>56</v>
      </c>
      <c r="Q783">
        <v>5938</v>
      </c>
      <c r="R783">
        <v>42244</v>
      </c>
      <c r="S783" t="s">
        <v>44</v>
      </c>
      <c r="T783">
        <v>16911</v>
      </c>
      <c r="U783" t="s">
        <v>57</v>
      </c>
      <c r="V783">
        <v>60</v>
      </c>
      <c r="W783">
        <v>5</v>
      </c>
      <c r="X783" t="s">
        <v>42</v>
      </c>
      <c r="Y783" t="s">
        <v>32</v>
      </c>
      <c r="Z783" t="s">
        <v>39</v>
      </c>
      <c r="AA783" t="s">
        <v>34</v>
      </c>
      <c r="AB783" t="s">
        <v>51</v>
      </c>
      <c r="AC783" t="s">
        <v>36</v>
      </c>
    </row>
    <row r="784" spans="1:29" x14ac:dyDescent="0.25">
      <c r="A784">
        <v>827</v>
      </c>
      <c r="B784">
        <v>4336</v>
      </c>
      <c r="C784">
        <v>3610</v>
      </c>
      <c r="D784">
        <v>7946</v>
      </c>
      <c r="E784" t="s">
        <v>49</v>
      </c>
      <c r="F784">
        <v>45</v>
      </c>
      <c r="G784" t="s">
        <v>53</v>
      </c>
      <c r="H784" t="s">
        <v>41</v>
      </c>
      <c r="I784">
        <v>0</v>
      </c>
      <c r="J784" t="s">
        <v>54</v>
      </c>
      <c r="K784">
        <v>628</v>
      </c>
      <c r="L784" t="s">
        <v>55</v>
      </c>
      <c r="M784">
        <v>2</v>
      </c>
      <c r="N784" t="s">
        <v>44</v>
      </c>
      <c r="O784">
        <v>0.43</v>
      </c>
      <c r="P784" t="s">
        <v>70</v>
      </c>
      <c r="Q784">
        <v>12150</v>
      </c>
      <c r="R784">
        <v>8776</v>
      </c>
      <c r="S784" t="s">
        <v>44</v>
      </c>
      <c r="T784">
        <v>21553</v>
      </c>
      <c r="U784" t="s">
        <v>64</v>
      </c>
      <c r="V784">
        <v>72</v>
      </c>
      <c r="W784">
        <v>6</v>
      </c>
      <c r="X784" t="s">
        <v>37</v>
      </c>
      <c r="Y784" t="s">
        <v>32</v>
      </c>
      <c r="Z784" t="s">
        <v>33</v>
      </c>
      <c r="AA784" t="s">
        <v>40</v>
      </c>
      <c r="AB784" t="s">
        <v>48</v>
      </c>
      <c r="AC784" t="s">
        <v>36</v>
      </c>
    </row>
    <row r="785" spans="1:29" x14ac:dyDescent="0.25">
      <c r="A785">
        <v>828</v>
      </c>
      <c r="B785">
        <v>7373</v>
      </c>
      <c r="C785">
        <v>4255</v>
      </c>
      <c r="D785">
        <v>11628</v>
      </c>
      <c r="E785" t="s">
        <v>49</v>
      </c>
      <c r="F785">
        <v>30</v>
      </c>
      <c r="G785" t="s">
        <v>61</v>
      </c>
      <c r="H785" t="s">
        <v>30</v>
      </c>
      <c r="I785">
        <v>0</v>
      </c>
      <c r="J785" t="s">
        <v>54</v>
      </c>
      <c r="K785">
        <v>719</v>
      </c>
      <c r="L785" t="s">
        <v>63</v>
      </c>
      <c r="M785">
        <v>1</v>
      </c>
      <c r="N785" t="s">
        <v>44</v>
      </c>
      <c r="O785">
        <v>0.32</v>
      </c>
      <c r="P785" t="s">
        <v>67</v>
      </c>
      <c r="Q785">
        <v>13406</v>
      </c>
      <c r="R785">
        <v>15021</v>
      </c>
      <c r="S785" t="s">
        <v>44</v>
      </c>
      <c r="T785">
        <v>24813</v>
      </c>
      <c r="U785" t="s">
        <v>64</v>
      </c>
      <c r="V785">
        <v>84</v>
      </c>
      <c r="W785">
        <v>7</v>
      </c>
      <c r="X785" t="s">
        <v>42</v>
      </c>
      <c r="Y785" t="s">
        <v>32</v>
      </c>
      <c r="Z785" t="s">
        <v>39</v>
      </c>
      <c r="AA785" t="s">
        <v>34</v>
      </c>
      <c r="AB785" t="s">
        <v>43</v>
      </c>
      <c r="AC785" t="s">
        <v>44</v>
      </c>
    </row>
    <row r="786" spans="1:29" x14ac:dyDescent="0.25">
      <c r="A786">
        <v>829</v>
      </c>
      <c r="B786">
        <v>4243</v>
      </c>
      <c r="C786">
        <v>7397</v>
      </c>
      <c r="D786">
        <v>11640</v>
      </c>
      <c r="E786" t="s">
        <v>29</v>
      </c>
      <c r="F786">
        <v>42</v>
      </c>
      <c r="G786" t="s">
        <v>65</v>
      </c>
      <c r="H786" t="s">
        <v>30</v>
      </c>
      <c r="I786">
        <v>2</v>
      </c>
      <c r="J786" t="s">
        <v>62</v>
      </c>
      <c r="K786">
        <v>672</v>
      </c>
      <c r="L786" t="s">
        <v>63</v>
      </c>
      <c r="M786">
        <v>3</v>
      </c>
      <c r="N786" t="s">
        <v>44</v>
      </c>
      <c r="O786">
        <v>0.51</v>
      </c>
      <c r="P786" t="s">
        <v>56</v>
      </c>
      <c r="Q786">
        <v>0</v>
      </c>
      <c r="R786">
        <v>4327</v>
      </c>
      <c r="S786" t="s">
        <v>44</v>
      </c>
      <c r="T786">
        <v>39255</v>
      </c>
      <c r="U786" t="s">
        <v>60</v>
      </c>
      <c r="V786">
        <v>60</v>
      </c>
      <c r="W786">
        <v>5</v>
      </c>
      <c r="X786" t="s">
        <v>47</v>
      </c>
      <c r="Y786" t="s">
        <v>32</v>
      </c>
      <c r="Z786" t="s">
        <v>39</v>
      </c>
      <c r="AA786" t="s">
        <v>40</v>
      </c>
      <c r="AB786" t="s">
        <v>42</v>
      </c>
      <c r="AC786" t="s">
        <v>36</v>
      </c>
    </row>
    <row r="787" spans="1:29" x14ac:dyDescent="0.25">
      <c r="A787">
        <v>830</v>
      </c>
      <c r="B787">
        <v>6612</v>
      </c>
      <c r="C787">
        <v>0</v>
      </c>
      <c r="D787">
        <v>6612</v>
      </c>
      <c r="E787" t="s">
        <v>49</v>
      </c>
      <c r="F787">
        <v>39</v>
      </c>
      <c r="G787" t="s">
        <v>65</v>
      </c>
      <c r="H787" t="s">
        <v>41</v>
      </c>
      <c r="I787">
        <v>1</v>
      </c>
      <c r="J787" t="s">
        <v>68</v>
      </c>
      <c r="K787">
        <v>725</v>
      </c>
      <c r="L787" t="s">
        <v>63</v>
      </c>
      <c r="M787">
        <v>2</v>
      </c>
      <c r="N787" t="s">
        <v>44</v>
      </c>
      <c r="O787">
        <v>0.55000000000000004</v>
      </c>
      <c r="P787" t="s">
        <v>56</v>
      </c>
      <c r="Q787">
        <v>17743</v>
      </c>
      <c r="R787">
        <v>48043</v>
      </c>
      <c r="S787" t="s">
        <v>44</v>
      </c>
      <c r="T787">
        <v>30520</v>
      </c>
      <c r="U787" t="s">
        <v>64</v>
      </c>
      <c r="V787">
        <v>72</v>
      </c>
      <c r="W787">
        <v>6</v>
      </c>
      <c r="X787" t="s">
        <v>31</v>
      </c>
      <c r="Y787" t="s">
        <v>32</v>
      </c>
      <c r="Z787" t="s">
        <v>39</v>
      </c>
      <c r="AA787" t="s">
        <v>40</v>
      </c>
      <c r="AB787" t="s">
        <v>43</v>
      </c>
      <c r="AC787" t="s">
        <v>36</v>
      </c>
    </row>
    <row r="788" spans="1:29" x14ac:dyDescent="0.25">
      <c r="A788">
        <v>831</v>
      </c>
      <c r="B788">
        <v>15946</v>
      </c>
      <c r="C788">
        <v>9777</v>
      </c>
      <c r="D788">
        <v>25723</v>
      </c>
      <c r="E788" t="s">
        <v>46</v>
      </c>
      <c r="F788">
        <v>21</v>
      </c>
      <c r="G788" t="s">
        <v>72</v>
      </c>
      <c r="H788" t="s">
        <v>30</v>
      </c>
      <c r="I788">
        <v>3</v>
      </c>
      <c r="J788" t="s">
        <v>58</v>
      </c>
      <c r="K788">
        <v>593</v>
      </c>
      <c r="L788" t="s">
        <v>55</v>
      </c>
      <c r="M788">
        <v>2</v>
      </c>
      <c r="N788" t="s">
        <v>44</v>
      </c>
      <c r="O788">
        <v>0.16</v>
      </c>
      <c r="P788" t="s">
        <v>59</v>
      </c>
      <c r="Q788">
        <v>4853</v>
      </c>
      <c r="R788">
        <v>7614</v>
      </c>
      <c r="S788" t="s">
        <v>44</v>
      </c>
      <c r="T788">
        <v>0</v>
      </c>
      <c r="U788" t="s">
        <v>73</v>
      </c>
      <c r="V788">
        <v>60</v>
      </c>
      <c r="W788">
        <v>5</v>
      </c>
      <c r="X788" t="s">
        <v>42</v>
      </c>
      <c r="Y788" t="s">
        <v>32</v>
      </c>
      <c r="Z788" t="s">
        <v>39</v>
      </c>
      <c r="AA788" t="s">
        <v>34</v>
      </c>
      <c r="AB788" t="s">
        <v>43</v>
      </c>
      <c r="AC788" t="s">
        <v>36</v>
      </c>
    </row>
    <row r="789" spans="1:29" x14ac:dyDescent="0.25">
      <c r="A789">
        <v>832</v>
      </c>
      <c r="B789">
        <v>13104</v>
      </c>
      <c r="C789">
        <v>8258</v>
      </c>
      <c r="D789">
        <v>21362</v>
      </c>
      <c r="E789" t="s">
        <v>46</v>
      </c>
      <c r="F789">
        <v>27</v>
      </c>
      <c r="G789" t="s">
        <v>61</v>
      </c>
      <c r="H789" t="s">
        <v>30</v>
      </c>
      <c r="I789">
        <v>1</v>
      </c>
      <c r="J789" t="s">
        <v>68</v>
      </c>
      <c r="K789">
        <v>631</v>
      </c>
      <c r="L789" t="s">
        <v>55</v>
      </c>
      <c r="M789">
        <v>3</v>
      </c>
      <c r="N789" t="s">
        <v>44</v>
      </c>
      <c r="O789">
        <v>0.37</v>
      </c>
      <c r="P789" t="s">
        <v>67</v>
      </c>
      <c r="Q789">
        <v>18325</v>
      </c>
      <c r="R789">
        <v>1245</v>
      </c>
      <c r="S789" t="s">
        <v>44</v>
      </c>
      <c r="T789">
        <v>1236</v>
      </c>
      <c r="U789" t="s">
        <v>73</v>
      </c>
      <c r="V789">
        <v>60</v>
      </c>
      <c r="W789">
        <v>5</v>
      </c>
      <c r="X789" t="s">
        <v>31</v>
      </c>
      <c r="Y789" t="s">
        <v>45</v>
      </c>
      <c r="Z789" t="s">
        <v>39</v>
      </c>
      <c r="AA789" t="s">
        <v>34</v>
      </c>
      <c r="AB789" t="s">
        <v>35</v>
      </c>
      <c r="AC789" t="s">
        <v>36</v>
      </c>
    </row>
    <row r="790" spans="1:29" x14ac:dyDescent="0.25">
      <c r="A790">
        <v>833</v>
      </c>
      <c r="B790">
        <v>15429</v>
      </c>
      <c r="C790">
        <v>7979</v>
      </c>
      <c r="D790">
        <v>23408</v>
      </c>
      <c r="E790" t="s">
        <v>46</v>
      </c>
      <c r="F790">
        <v>24</v>
      </c>
      <c r="G790" t="s">
        <v>72</v>
      </c>
      <c r="H790" t="s">
        <v>30</v>
      </c>
      <c r="I790">
        <v>3</v>
      </c>
      <c r="J790" t="s">
        <v>58</v>
      </c>
      <c r="K790">
        <v>636</v>
      </c>
      <c r="L790" t="s">
        <v>55</v>
      </c>
      <c r="M790">
        <v>4</v>
      </c>
      <c r="N790" t="s">
        <v>44</v>
      </c>
      <c r="O790">
        <v>0.24</v>
      </c>
      <c r="P790" t="s">
        <v>59</v>
      </c>
      <c r="Q790">
        <v>3148</v>
      </c>
      <c r="R790">
        <v>41011</v>
      </c>
      <c r="S790" t="s">
        <v>44</v>
      </c>
      <c r="T790">
        <v>28350</v>
      </c>
      <c r="U790" t="s">
        <v>64</v>
      </c>
      <c r="V790">
        <v>48</v>
      </c>
      <c r="W790">
        <v>4</v>
      </c>
      <c r="X790" t="s">
        <v>37</v>
      </c>
      <c r="Y790" t="s">
        <v>32</v>
      </c>
      <c r="Z790" t="s">
        <v>39</v>
      </c>
      <c r="AA790" t="s">
        <v>40</v>
      </c>
      <c r="AB790" t="s">
        <v>43</v>
      </c>
      <c r="AC790" t="s">
        <v>36</v>
      </c>
    </row>
    <row r="791" spans="1:29" x14ac:dyDescent="0.25">
      <c r="A791">
        <v>834</v>
      </c>
      <c r="B791">
        <v>8371</v>
      </c>
      <c r="C791">
        <v>2428</v>
      </c>
      <c r="D791">
        <v>10799</v>
      </c>
      <c r="E791" t="s">
        <v>29</v>
      </c>
      <c r="F791">
        <v>21</v>
      </c>
      <c r="G791" t="s">
        <v>72</v>
      </c>
      <c r="H791" t="s">
        <v>41</v>
      </c>
      <c r="I791">
        <v>0</v>
      </c>
      <c r="J791" t="s">
        <v>54</v>
      </c>
      <c r="K791">
        <v>774</v>
      </c>
      <c r="L791" t="s">
        <v>71</v>
      </c>
      <c r="M791">
        <v>2</v>
      </c>
      <c r="N791" t="s">
        <v>44</v>
      </c>
      <c r="O791">
        <v>0.12</v>
      </c>
      <c r="P791" t="s">
        <v>59</v>
      </c>
      <c r="Q791">
        <v>16243</v>
      </c>
      <c r="R791">
        <v>10355</v>
      </c>
      <c r="S791" t="s">
        <v>44</v>
      </c>
      <c r="T791">
        <v>12549</v>
      </c>
      <c r="U791" t="s">
        <v>57</v>
      </c>
      <c r="V791">
        <v>12</v>
      </c>
      <c r="W791">
        <v>1</v>
      </c>
      <c r="X791" t="s">
        <v>42</v>
      </c>
      <c r="Y791" t="s">
        <v>32</v>
      </c>
      <c r="Z791" t="s">
        <v>39</v>
      </c>
      <c r="AA791" t="s">
        <v>40</v>
      </c>
      <c r="AB791" t="s">
        <v>42</v>
      </c>
      <c r="AC791" t="s">
        <v>44</v>
      </c>
    </row>
    <row r="792" spans="1:29" x14ac:dyDescent="0.25">
      <c r="A792">
        <v>835</v>
      </c>
      <c r="B792">
        <v>8359</v>
      </c>
      <c r="C792">
        <v>7426</v>
      </c>
      <c r="D792">
        <v>15785</v>
      </c>
      <c r="E792" t="s">
        <v>29</v>
      </c>
      <c r="F792">
        <v>35</v>
      </c>
      <c r="G792" t="s">
        <v>65</v>
      </c>
      <c r="H792" t="s">
        <v>41</v>
      </c>
      <c r="I792">
        <v>2</v>
      </c>
      <c r="J792" t="s">
        <v>62</v>
      </c>
      <c r="K792">
        <v>565</v>
      </c>
      <c r="L792" t="s">
        <v>66</v>
      </c>
      <c r="M792">
        <v>1</v>
      </c>
      <c r="N792" t="s">
        <v>44</v>
      </c>
      <c r="O792">
        <v>0.35</v>
      </c>
      <c r="P792" t="s">
        <v>67</v>
      </c>
      <c r="Q792">
        <v>7933</v>
      </c>
      <c r="R792">
        <v>33305</v>
      </c>
      <c r="S792" t="s">
        <v>44</v>
      </c>
      <c r="T792">
        <v>28453</v>
      </c>
      <c r="U792" t="s">
        <v>64</v>
      </c>
      <c r="V792">
        <v>60</v>
      </c>
      <c r="W792">
        <v>5</v>
      </c>
      <c r="X792" t="s">
        <v>50</v>
      </c>
      <c r="Y792" t="s">
        <v>38</v>
      </c>
      <c r="Z792" t="s">
        <v>39</v>
      </c>
      <c r="AA792" t="s">
        <v>34</v>
      </c>
      <c r="AB792" t="s">
        <v>43</v>
      </c>
      <c r="AC792" t="s">
        <v>36</v>
      </c>
    </row>
    <row r="793" spans="1:29" x14ac:dyDescent="0.25">
      <c r="A793">
        <v>836</v>
      </c>
      <c r="B793">
        <v>9863</v>
      </c>
      <c r="C793">
        <v>8533</v>
      </c>
      <c r="D793">
        <v>18396</v>
      </c>
      <c r="E793" t="s">
        <v>29</v>
      </c>
      <c r="F793">
        <v>32</v>
      </c>
      <c r="G793" t="s">
        <v>61</v>
      </c>
      <c r="H793" t="s">
        <v>30</v>
      </c>
      <c r="I793">
        <v>2</v>
      </c>
      <c r="J793" t="s">
        <v>62</v>
      </c>
      <c r="K793">
        <v>603</v>
      </c>
      <c r="L793" t="s">
        <v>55</v>
      </c>
      <c r="M793">
        <v>0</v>
      </c>
      <c r="N793" t="s">
        <v>36</v>
      </c>
      <c r="O793">
        <v>0.53</v>
      </c>
      <c r="P793" t="s">
        <v>56</v>
      </c>
      <c r="Q793">
        <v>9436</v>
      </c>
      <c r="R793">
        <v>48692</v>
      </c>
      <c r="S793" t="s">
        <v>44</v>
      </c>
      <c r="T793">
        <v>36191</v>
      </c>
      <c r="U793" t="s">
        <v>60</v>
      </c>
      <c r="V793">
        <v>24</v>
      </c>
      <c r="W793">
        <v>2</v>
      </c>
      <c r="X793" t="s">
        <v>37</v>
      </c>
      <c r="Y793" t="s">
        <v>38</v>
      </c>
      <c r="Z793" t="s">
        <v>39</v>
      </c>
      <c r="AA793" t="s">
        <v>40</v>
      </c>
      <c r="AB793" t="s">
        <v>51</v>
      </c>
      <c r="AC793" t="s">
        <v>36</v>
      </c>
    </row>
    <row r="794" spans="1:29" x14ac:dyDescent="0.25">
      <c r="A794">
        <v>837</v>
      </c>
      <c r="B794">
        <v>5228</v>
      </c>
      <c r="C794">
        <v>5249</v>
      </c>
      <c r="D794">
        <v>10477</v>
      </c>
      <c r="E794" t="s">
        <v>29</v>
      </c>
      <c r="F794">
        <v>42</v>
      </c>
      <c r="G794" t="s">
        <v>65</v>
      </c>
      <c r="H794" t="s">
        <v>41</v>
      </c>
      <c r="I794">
        <v>1</v>
      </c>
      <c r="J794" t="s">
        <v>68</v>
      </c>
      <c r="K794">
        <v>550</v>
      </c>
      <c r="L794" t="s">
        <v>66</v>
      </c>
      <c r="M794">
        <v>0</v>
      </c>
      <c r="N794" t="s">
        <v>36</v>
      </c>
      <c r="O794">
        <v>0.18</v>
      </c>
      <c r="P794" t="s">
        <v>59</v>
      </c>
      <c r="Q794">
        <v>17669</v>
      </c>
      <c r="R794">
        <v>0</v>
      </c>
      <c r="S794" t="s">
        <v>36</v>
      </c>
      <c r="T794">
        <v>13906</v>
      </c>
      <c r="U794" t="s">
        <v>57</v>
      </c>
      <c r="V794">
        <v>84</v>
      </c>
      <c r="W794">
        <v>7</v>
      </c>
      <c r="X794" t="s">
        <v>47</v>
      </c>
      <c r="Y794" t="s">
        <v>32</v>
      </c>
      <c r="Z794" t="s">
        <v>39</v>
      </c>
      <c r="AA794" t="s">
        <v>34</v>
      </c>
      <c r="AB794" t="s">
        <v>35</v>
      </c>
      <c r="AC794" t="s">
        <v>44</v>
      </c>
    </row>
    <row r="795" spans="1:29" x14ac:dyDescent="0.25">
      <c r="A795">
        <v>838</v>
      </c>
      <c r="B795">
        <v>16382</v>
      </c>
      <c r="C795">
        <v>5291</v>
      </c>
      <c r="D795">
        <v>21673</v>
      </c>
      <c r="E795" t="s">
        <v>46</v>
      </c>
      <c r="F795">
        <v>42</v>
      </c>
      <c r="G795" t="s">
        <v>65</v>
      </c>
      <c r="H795" t="s">
        <v>41</v>
      </c>
      <c r="I795">
        <v>2</v>
      </c>
      <c r="J795" t="s">
        <v>62</v>
      </c>
      <c r="K795">
        <v>712</v>
      </c>
      <c r="L795" t="s">
        <v>63</v>
      </c>
      <c r="M795">
        <v>4</v>
      </c>
      <c r="N795" t="s">
        <v>44</v>
      </c>
      <c r="O795">
        <v>0.51</v>
      </c>
      <c r="P795" t="s">
        <v>56</v>
      </c>
      <c r="Q795">
        <v>0</v>
      </c>
      <c r="R795">
        <v>49692</v>
      </c>
      <c r="S795" t="s">
        <v>44</v>
      </c>
      <c r="T795">
        <v>15988</v>
      </c>
      <c r="U795" t="s">
        <v>57</v>
      </c>
      <c r="V795">
        <v>84</v>
      </c>
      <c r="W795">
        <v>7</v>
      </c>
      <c r="X795" t="s">
        <v>47</v>
      </c>
      <c r="Y795" t="s">
        <v>32</v>
      </c>
      <c r="Z795" t="s">
        <v>33</v>
      </c>
      <c r="AA795" t="s">
        <v>34</v>
      </c>
      <c r="AB795" t="s">
        <v>35</v>
      </c>
      <c r="AC795" t="s">
        <v>36</v>
      </c>
    </row>
    <row r="796" spans="1:29" x14ac:dyDescent="0.25">
      <c r="A796">
        <v>839</v>
      </c>
      <c r="B796">
        <v>0</v>
      </c>
      <c r="C796">
        <v>2817</v>
      </c>
      <c r="D796">
        <v>2817</v>
      </c>
      <c r="E796" t="s">
        <v>29</v>
      </c>
      <c r="F796">
        <v>37</v>
      </c>
      <c r="G796" t="s">
        <v>65</v>
      </c>
      <c r="H796" t="s">
        <v>30</v>
      </c>
      <c r="I796">
        <v>1</v>
      </c>
      <c r="J796" t="s">
        <v>68</v>
      </c>
      <c r="K796">
        <v>647</v>
      </c>
      <c r="L796" t="s">
        <v>55</v>
      </c>
      <c r="M796">
        <v>0</v>
      </c>
      <c r="N796" t="s">
        <v>36</v>
      </c>
      <c r="O796">
        <v>0.35</v>
      </c>
      <c r="P796" t="s">
        <v>67</v>
      </c>
      <c r="Q796">
        <v>14679</v>
      </c>
      <c r="R796">
        <v>0</v>
      </c>
      <c r="S796" t="s">
        <v>36</v>
      </c>
      <c r="T796">
        <v>28723</v>
      </c>
      <c r="U796" t="s">
        <v>64</v>
      </c>
      <c r="V796">
        <v>24</v>
      </c>
      <c r="W796">
        <v>2</v>
      </c>
      <c r="X796" t="s">
        <v>42</v>
      </c>
      <c r="Y796" t="s">
        <v>45</v>
      </c>
      <c r="Z796" t="s">
        <v>39</v>
      </c>
      <c r="AA796" t="s">
        <v>40</v>
      </c>
      <c r="AB796" t="s">
        <v>35</v>
      </c>
      <c r="AC796" t="s">
        <v>36</v>
      </c>
    </row>
    <row r="797" spans="1:29" x14ac:dyDescent="0.25">
      <c r="A797">
        <v>840</v>
      </c>
      <c r="B797">
        <v>5756</v>
      </c>
      <c r="C797">
        <v>9424</v>
      </c>
      <c r="D797">
        <v>15180</v>
      </c>
      <c r="E797" t="s">
        <v>48</v>
      </c>
      <c r="F797">
        <v>49</v>
      </c>
      <c r="G797" t="s">
        <v>53</v>
      </c>
      <c r="H797" t="s">
        <v>30</v>
      </c>
      <c r="I797">
        <v>1</v>
      </c>
      <c r="J797" t="s">
        <v>68</v>
      </c>
      <c r="K797">
        <v>705</v>
      </c>
      <c r="L797" t="s">
        <v>63</v>
      </c>
      <c r="M797">
        <v>1</v>
      </c>
      <c r="N797" t="s">
        <v>44</v>
      </c>
      <c r="O797">
        <v>0.56000000000000005</v>
      </c>
      <c r="P797" t="s">
        <v>56</v>
      </c>
      <c r="Q797">
        <v>11228</v>
      </c>
      <c r="R797">
        <v>0</v>
      </c>
      <c r="S797" t="s">
        <v>36</v>
      </c>
      <c r="T797">
        <v>34800</v>
      </c>
      <c r="U797" t="s">
        <v>64</v>
      </c>
      <c r="V797">
        <v>36</v>
      </c>
      <c r="W797">
        <v>3</v>
      </c>
      <c r="X797" t="s">
        <v>31</v>
      </c>
      <c r="Y797" t="s">
        <v>32</v>
      </c>
      <c r="Z797" t="s">
        <v>39</v>
      </c>
      <c r="AA797" t="s">
        <v>40</v>
      </c>
      <c r="AB797" t="s">
        <v>42</v>
      </c>
      <c r="AC797" t="s">
        <v>36</v>
      </c>
    </row>
    <row r="798" spans="1:29" x14ac:dyDescent="0.25">
      <c r="A798">
        <v>841</v>
      </c>
      <c r="B798">
        <v>17770</v>
      </c>
      <c r="C798">
        <v>3874</v>
      </c>
      <c r="D798">
        <v>21644</v>
      </c>
      <c r="E798" t="s">
        <v>49</v>
      </c>
      <c r="F798">
        <v>34</v>
      </c>
      <c r="G798" t="s">
        <v>61</v>
      </c>
      <c r="H798" t="s">
        <v>30</v>
      </c>
      <c r="I798">
        <v>3</v>
      </c>
      <c r="J798" t="s">
        <v>58</v>
      </c>
      <c r="K798">
        <v>551</v>
      </c>
      <c r="L798" t="s">
        <v>66</v>
      </c>
      <c r="M798">
        <v>1</v>
      </c>
      <c r="N798" t="s">
        <v>44</v>
      </c>
      <c r="O798">
        <v>0.23</v>
      </c>
      <c r="P798" t="s">
        <v>59</v>
      </c>
      <c r="Q798">
        <v>770</v>
      </c>
      <c r="R798">
        <v>1415</v>
      </c>
      <c r="S798" t="s">
        <v>44</v>
      </c>
      <c r="T798">
        <v>28430</v>
      </c>
      <c r="U798" t="s">
        <v>64</v>
      </c>
      <c r="V798">
        <v>60</v>
      </c>
      <c r="W798">
        <v>5</v>
      </c>
      <c r="X798" t="s">
        <v>50</v>
      </c>
      <c r="Y798" t="s">
        <v>32</v>
      </c>
      <c r="Z798" t="s">
        <v>39</v>
      </c>
      <c r="AA798" t="s">
        <v>40</v>
      </c>
      <c r="AB798" t="s">
        <v>35</v>
      </c>
      <c r="AC798" t="s">
        <v>36</v>
      </c>
    </row>
    <row r="799" spans="1:29" x14ac:dyDescent="0.25">
      <c r="A799">
        <v>842</v>
      </c>
      <c r="B799">
        <v>0</v>
      </c>
      <c r="C799">
        <v>9686</v>
      </c>
      <c r="D799">
        <v>9686</v>
      </c>
      <c r="E799" t="s">
        <v>29</v>
      </c>
      <c r="F799">
        <v>40</v>
      </c>
      <c r="G799" t="s">
        <v>65</v>
      </c>
      <c r="H799" t="s">
        <v>41</v>
      </c>
      <c r="I799">
        <v>1</v>
      </c>
      <c r="J799" t="s">
        <v>68</v>
      </c>
      <c r="K799">
        <v>643</v>
      </c>
      <c r="L799" t="s">
        <v>55</v>
      </c>
      <c r="M799">
        <v>3</v>
      </c>
      <c r="N799" t="s">
        <v>44</v>
      </c>
      <c r="O799">
        <v>0.55000000000000004</v>
      </c>
      <c r="P799" t="s">
        <v>56</v>
      </c>
      <c r="Q799">
        <v>1843</v>
      </c>
      <c r="R799">
        <v>43798</v>
      </c>
      <c r="S799" t="s">
        <v>44</v>
      </c>
      <c r="T799">
        <v>33535</v>
      </c>
      <c r="U799" t="s">
        <v>64</v>
      </c>
      <c r="V799">
        <v>60</v>
      </c>
      <c r="W799">
        <v>5</v>
      </c>
      <c r="X799" t="s">
        <v>42</v>
      </c>
      <c r="Y799" t="s">
        <v>32</v>
      </c>
      <c r="Z799" t="s">
        <v>33</v>
      </c>
      <c r="AA799" t="s">
        <v>40</v>
      </c>
      <c r="AB799" t="s">
        <v>43</v>
      </c>
      <c r="AC799" t="s">
        <v>36</v>
      </c>
    </row>
    <row r="800" spans="1:29" x14ac:dyDescent="0.25">
      <c r="A800">
        <v>843</v>
      </c>
      <c r="B800">
        <v>4674</v>
      </c>
      <c r="C800">
        <v>4211</v>
      </c>
      <c r="D800">
        <v>8885</v>
      </c>
      <c r="E800" t="s">
        <v>29</v>
      </c>
      <c r="F800">
        <v>53</v>
      </c>
      <c r="G800" t="s">
        <v>53</v>
      </c>
      <c r="H800" t="s">
        <v>30</v>
      </c>
      <c r="I800">
        <v>3</v>
      </c>
      <c r="J800" t="s">
        <v>58</v>
      </c>
      <c r="K800">
        <v>550</v>
      </c>
      <c r="L800" t="s">
        <v>66</v>
      </c>
      <c r="M800">
        <v>4</v>
      </c>
      <c r="N800" t="s">
        <v>44</v>
      </c>
      <c r="O800">
        <v>0.26</v>
      </c>
      <c r="P800" t="s">
        <v>59</v>
      </c>
      <c r="Q800">
        <v>73</v>
      </c>
      <c r="R800">
        <v>1652</v>
      </c>
      <c r="S800" t="s">
        <v>44</v>
      </c>
      <c r="T800">
        <v>3940</v>
      </c>
      <c r="U800" t="s">
        <v>73</v>
      </c>
      <c r="V800">
        <v>60</v>
      </c>
      <c r="W800">
        <v>5</v>
      </c>
      <c r="X800" t="s">
        <v>47</v>
      </c>
      <c r="Y800" t="s">
        <v>32</v>
      </c>
      <c r="Z800" t="s">
        <v>39</v>
      </c>
      <c r="AA800" t="s">
        <v>34</v>
      </c>
      <c r="AB800" t="s">
        <v>43</v>
      </c>
      <c r="AC800" t="s">
        <v>44</v>
      </c>
    </row>
    <row r="801" spans="1:29" x14ac:dyDescent="0.25">
      <c r="A801">
        <v>844</v>
      </c>
      <c r="B801">
        <v>8898</v>
      </c>
      <c r="C801">
        <v>661</v>
      </c>
      <c r="D801">
        <v>9559</v>
      </c>
      <c r="E801" t="s">
        <v>49</v>
      </c>
      <c r="F801">
        <v>35</v>
      </c>
      <c r="G801" t="s">
        <v>65</v>
      </c>
      <c r="H801" t="s">
        <v>41</v>
      </c>
      <c r="I801">
        <v>2</v>
      </c>
      <c r="J801" t="s">
        <v>62</v>
      </c>
      <c r="K801">
        <v>718</v>
      </c>
      <c r="L801" t="s">
        <v>63</v>
      </c>
      <c r="M801">
        <v>3</v>
      </c>
      <c r="N801" t="s">
        <v>44</v>
      </c>
      <c r="O801">
        <v>0.38</v>
      </c>
      <c r="P801" t="s">
        <v>67</v>
      </c>
      <c r="Q801">
        <v>18044</v>
      </c>
      <c r="R801">
        <v>43625</v>
      </c>
      <c r="S801" t="s">
        <v>44</v>
      </c>
      <c r="T801">
        <v>22793</v>
      </c>
      <c r="U801" t="s">
        <v>64</v>
      </c>
      <c r="V801">
        <v>72</v>
      </c>
      <c r="W801">
        <v>6</v>
      </c>
      <c r="X801" t="s">
        <v>42</v>
      </c>
      <c r="Y801" t="s">
        <v>45</v>
      </c>
      <c r="Z801" t="s">
        <v>39</v>
      </c>
      <c r="AA801" t="s">
        <v>34</v>
      </c>
      <c r="AB801" t="s">
        <v>48</v>
      </c>
      <c r="AC801" t="s">
        <v>44</v>
      </c>
    </row>
    <row r="802" spans="1:29" x14ac:dyDescent="0.25">
      <c r="A802">
        <v>845</v>
      </c>
      <c r="B802">
        <v>12147</v>
      </c>
      <c r="C802">
        <v>3374</v>
      </c>
      <c r="D802">
        <v>15521</v>
      </c>
      <c r="E802" t="s">
        <v>49</v>
      </c>
      <c r="F802">
        <v>32</v>
      </c>
      <c r="G802" t="s">
        <v>61</v>
      </c>
      <c r="H802" t="s">
        <v>30</v>
      </c>
      <c r="I802">
        <v>1</v>
      </c>
      <c r="J802" t="s">
        <v>68</v>
      </c>
      <c r="K802">
        <v>757</v>
      </c>
      <c r="L802" t="s">
        <v>71</v>
      </c>
      <c r="M802">
        <v>0</v>
      </c>
      <c r="N802" t="s">
        <v>36</v>
      </c>
      <c r="O802">
        <v>0.35</v>
      </c>
      <c r="P802" t="s">
        <v>67</v>
      </c>
      <c r="Q802">
        <v>16059</v>
      </c>
      <c r="R802">
        <v>20446</v>
      </c>
      <c r="S802" t="s">
        <v>44</v>
      </c>
      <c r="T802">
        <v>13262</v>
      </c>
      <c r="U802" t="s">
        <v>57</v>
      </c>
      <c r="V802">
        <v>60</v>
      </c>
      <c r="W802">
        <v>5</v>
      </c>
      <c r="X802" t="s">
        <v>47</v>
      </c>
      <c r="Y802" t="s">
        <v>38</v>
      </c>
      <c r="Z802" t="s">
        <v>39</v>
      </c>
      <c r="AA802" t="s">
        <v>40</v>
      </c>
      <c r="AB802" t="s">
        <v>42</v>
      </c>
      <c r="AC802" t="s">
        <v>44</v>
      </c>
    </row>
    <row r="803" spans="1:29" x14ac:dyDescent="0.25">
      <c r="A803">
        <v>846</v>
      </c>
      <c r="B803">
        <v>2793</v>
      </c>
      <c r="C803">
        <v>9208</v>
      </c>
      <c r="D803">
        <v>12001</v>
      </c>
      <c r="E803" t="s">
        <v>49</v>
      </c>
      <c r="F803">
        <v>40</v>
      </c>
      <c r="G803" t="s">
        <v>65</v>
      </c>
      <c r="H803" t="s">
        <v>41</v>
      </c>
      <c r="I803">
        <v>1</v>
      </c>
      <c r="J803" t="s">
        <v>68</v>
      </c>
      <c r="K803">
        <v>608</v>
      </c>
      <c r="L803" t="s">
        <v>55</v>
      </c>
      <c r="M803">
        <v>3</v>
      </c>
      <c r="N803" t="s">
        <v>44</v>
      </c>
      <c r="O803">
        <v>0.12</v>
      </c>
      <c r="P803" t="s">
        <v>59</v>
      </c>
      <c r="Q803">
        <v>8000</v>
      </c>
      <c r="R803">
        <v>0</v>
      </c>
      <c r="S803" t="s">
        <v>36</v>
      </c>
      <c r="T803">
        <v>0</v>
      </c>
      <c r="U803" t="s">
        <v>73</v>
      </c>
      <c r="V803">
        <v>60</v>
      </c>
      <c r="W803">
        <v>5</v>
      </c>
      <c r="X803" t="s">
        <v>47</v>
      </c>
      <c r="Y803" t="s">
        <v>45</v>
      </c>
      <c r="Z803" t="s">
        <v>39</v>
      </c>
      <c r="AA803" t="s">
        <v>40</v>
      </c>
      <c r="AB803" t="s">
        <v>35</v>
      </c>
      <c r="AC803" t="s">
        <v>36</v>
      </c>
    </row>
    <row r="804" spans="1:29" x14ac:dyDescent="0.25">
      <c r="A804">
        <v>847</v>
      </c>
      <c r="B804">
        <v>4116</v>
      </c>
      <c r="C804">
        <v>207</v>
      </c>
      <c r="D804">
        <v>4323</v>
      </c>
      <c r="E804" t="s">
        <v>29</v>
      </c>
      <c r="F804">
        <v>50</v>
      </c>
      <c r="G804" t="s">
        <v>53</v>
      </c>
      <c r="H804" t="s">
        <v>30</v>
      </c>
      <c r="I804">
        <v>0</v>
      </c>
      <c r="J804" t="s">
        <v>54</v>
      </c>
      <c r="K804">
        <v>618</v>
      </c>
      <c r="L804" t="s">
        <v>55</v>
      </c>
      <c r="M804">
        <v>4</v>
      </c>
      <c r="N804" t="s">
        <v>44</v>
      </c>
      <c r="O804">
        <v>0.46</v>
      </c>
      <c r="P804" t="s">
        <v>70</v>
      </c>
      <c r="Q804">
        <v>13273</v>
      </c>
      <c r="R804">
        <v>3810</v>
      </c>
      <c r="S804" t="s">
        <v>44</v>
      </c>
      <c r="T804">
        <v>7961</v>
      </c>
      <c r="U804" t="s">
        <v>57</v>
      </c>
      <c r="V804">
        <v>24</v>
      </c>
      <c r="W804">
        <v>2</v>
      </c>
      <c r="X804" t="s">
        <v>50</v>
      </c>
      <c r="Y804" t="s">
        <v>45</v>
      </c>
      <c r="Z804" t="s">
        <v>39</v>
      </c>
      <c r="AA804" t="s">
        <v>40</v>
      </c>
      <c r="AB804" t="s">
        <v>43</v>
      </c>
      <c r="AC804" t="s">
        <v>36</v>
      </c>
    </row>
    <row r="805" spans="1:29" x14ac:dyDescent="0.25">
      <c r="A805">
        <v>848</v>
      </c>
      <c r="B805">
        <v>7779</v>
      </c>
      <c r="C805">
        <v>0</v>
      </c>
      <c r="D805">
        <v>7779</v>
      </c>
      <c r="E805" t="s">
        <v>29</v>
      </c>
      <c r="F805">
        <v>58</v>
      </c>
      <c r="G805" t="s">
        <v>69</v>
      </c>
      <c r="H805" t="s">
        <v>30</v>
      </c>
      <c r="I805">
        <v>1</v>
      </c>
      <c r="J805" t="s">
        <v>68</v>
      </c>
      <c r="K805">
        <v>668</v>
      </c>
      <c r="L805" t="s">
        <v>55</v>
      </c>
      <c r="M805">
        <v>2</v>
      </c>
      <c r="N805" t="s">
        <v>44</v>
      </c>
      <c r="O805">
        <v>0.32</v>
      </c>
      <c r="P805" t="s">
        <v>67</v>
      </c>
      <c r="Q805">
        <v>16121</v>
      </c>
      <c r="R805">
        <v>16569</v>
      </c>
      <c r="S805" t="s">
        <v>44</v>
      </c>
      <c r="T805">
        <v>27499</v>
      </c>
      <c r="U805" t="s">
        <v>64</v>
      </c>
      <c r="V805">
        <v>12</v>
      </c>
      <c r="W805">
        <v>1</v>
      </c>
      <c r="X805" t="s">
        <v>31</v>
      </c>
      <c r="Y805" t="s">
        <v>32</v>
      </c>
      <c r="Z805" t="s">
        <v>39</v>
      </c>
      <c r="AA805" t="s">
        <v>34</v>
      </c>
      <c r="AB805" t="s">
        <v>51</v>
      </c>
      <c r="AC805" t="s">
        <v>44</v>
      </c>
    </row>
    <row r="806" spans="1:29" x14ac:dyDescent="0.25">
      <c r="A806">
        <v>849</v>
      </c>
      <c r="B806">
        <v>14298</v>
      </c>
      <c r="C806">
        <v>2493</v>
      </c>
      <c r="D806">
        <v>16791</v>
      </c>
      <c r="E806" t="s">
        <v>29</v>
      </c>
      <c r="F806">
        <v>23</v>
      </c>
      <c r="G806" t="s">
        <v>72</v>
      </c>
      <c r="H806" t="s">
        <v>41</v>
      </c>
      <c r="I806">
        <v>1</v>
      </c>
      <c r="J806" t="s">
        <v>68</v>
      </c>
      <c r="K806">
        <v>641</v>
      </c>
      <c r="L806" t="s">
        <v>55</v>
      </c>
      <c r="M806">
        <v>2</v>
      </c>
      <c r="N806" t="s">
        <v>44</v>
      </c>
      <c r="O806">
        <v>0.23</v>
      </c>
      <c r="P806" t="s">
        <v>59</v>
      </c>
      <c r="Q806">
        <v>331</v>
      </c>
      <c r="R806">
        <v>34319</v>
      </c>
      <c r="S806" t="s">
        <v>44</v>
      </c>
      <c r="T806">
        <v>32283</v>
      </c>
      <c r="U806" t="s">
        <v>64</v>
      </c>
      <c r="V806">
        <v>48</v>
      </c>
      <c r="W806">
        <v>4</v>
      </c>
      <c r="X806" t="s">
        <v>50</v>
      </c>
      <c r="Y806" t="s">
        <v>45</v>
      </c>
      <c r="Z806" t="s">
        <v>33</v>
      </c>
      <c r="AA806" t="s">
        <v>34</v>
      </c>
      <c r="AB806" t="s">
        <v>42</v>
      </c>
      <c r="AC806" t="s">
        <v>36</v>
      </c>
    </row>
    <row r="807" spans="1:29" x14ac:dyDescent="0.25">
      <c r="A807">
        <v>850</v>
      </c>
      <c r="B807">
        <v>16153</v>
      </c>
      <c r="C807">
        <v>6813</v>
      </c>
      <c r="D807">
        <v>22966</v>
      </c>
      <c r="E807" t="s">
        <v>29</v>
      </c>
      <c r="F807">
        <v>48</v>
      </c>
      <c r="G807" t="s">
        <v>53</v>
      </c>
      <c r="H807" t="s">
        <v>41</v>
      </c>
      <c r="I807">
        <v>0</v>
      </c>
      <c r="J807" t="s">
        <v>54</v>
      </c>
      <c r="K807">
        <v>730</v>
      </c>
      <c r="L807" t="s">
        <v>63</v>
      </c>
      <c r="M807">
        <v>0</v>
      </c>
      <c r="N807" t="s">
        <v>36</v>
      </c>
      <c r="O807">
        <v>0.2</v>
      </c>
      <c r="P807" t="s">
        <v>59</v>
      </c>
      <c r="Q807">
        <v>17805</v>
      </c>
      <c r="R807">
        <v>13584</v>
      </c>
      <c r="S807" t="s">
        <v>44</v>
      </c>
      <c r="T807">
        <v>0</v>
      </c>
      <c r="U807" t="s">
        <v>73</v>
      </c>
      <c r="V807">
        <v>36</v>
      </c>
      <c r="W807">
        <v>3</v>
      </c>
      <c r="X807" t="s">
        <v>50</v>
      </c>
      <c r="Y807" t="s">
        <v>32</v>
      </c>
      <c r="Z807" t="s">
        <v>33</v>
      </c>
      <c r="AA807" t="s">
        <v>34</v>
      </c>
      <c r="AB807" t="s">
        <v>51</v>
      </c>
      <c r="AC807" t="s">
        <v>44</v>
      </c>
    </row>
    <row r="808" spans="1:29" x14ac:dyDescent="0.25">
      <c r="A808">
        <v>851</v>
      </c>
      <c r="B808">
        <v>13111</v>
      </c>
      <c r="C808">
        <v>632</v>
      </c>
      <c r="D808">
        <v>13743</v>
      </c>
      <c r="E808" t="s">
        <v>49</v>
      </c>
      <c r="F808">
        <v>46</v>
      </c>
      <c r="G808" t="s">
        <v>53</v>
      </c>
      <c r="H808" t="s">
        <v>41</v>
      </c>
      <c r="I808">
        <v>0</v>
      </c>
      <c r="J808" t="s">
        <v>54</v>
      </c>
      <c r="K808">
        <v>780</v>
      </c>
      <c r="L808" t="s">
        <v>71</v>
      </c>
      <c r="M808">
        <v>2</v>
      </c>
      <c r="N808" t="s">
        <v>44</v>
      </c>
      <c r="O808">
        <v>0.43</v>
      </c>
      <c r="P808" t="s">
        <v>70</v>
      </c>
      <c r="Q808">
        <v>7512</v>
      </c>
      <c r="R808">
        <v>26783</v>
      </c>
      <c r="S808" t="s">
        <v>44</v>
      </c>
      <c r="T808">
        <v>7822</v>
      </c>
      <c r="U808" t="s">
        <v>57</v>
      </c>
      <c r="V808">
        <v>24</v>
      </c>
      <c r="W808">
        <v>2</v>
      </c>
      <c r="X808" t="s">
        <v>50</v>
      </c>
      <c r="Y808" t="s">
        <v>32</v>
      </c>
      <c r="Z808" t="s">
        <v>33</v>
      </c>
      <c r="AA808" t="s">
        <v>40</v>
      </c>
      <c r="AB808" t="s">
        <v>35</v>
      </c>
      <c r="AC808" t="s">
        <v>36</v>
      </c>
    </row>
    <row r="809" spans="1:29" x14ac:dyDescent="0.25">
      <c r="A809">
        <v>853</v>
      </c>
      <c r="B809">
        <v>13397</v>
      </c>
      <c r="C809">
        <v>3719</v>
      </c>
      <c r="D809">
        <v>17116</v>
      </c>
      <c r="E809" t="s">
        <v>46</v>
      </c>
      <c r="F809">
        <v>33</v>
      </c>
      <c r="G809" t="s">
        <v>61</v>
      </c>
      <c r="H809" t="s">
        <v>41</v>
      </c>
      <c r="I809">
        <v>1</v>
      </c>
      <c r="J809" t="s">
        <v>68</v>
      </c>
      <c r="K809">
        <v>697</v>
      </c>
      <c r="L809" t="s">
        <v>63</v>
      </c>
      <c r="M809">
        <v>0</v>
      </c>
      <c r="N809" t="s">
        <v>36</v>
      </c>
      <c r="O809">
        <v>0.5</v>
      </c>
      <c r="P809" t="s">
        <v>70</v>
      </c>
      <c r="Q809">
        <v>12742</v>
      </c>
      <c r="R809">
        <v>12511</v>
      </c>
      <c r="S809" t="s">
        <v>44</v>
      </c>
      <c r="T809">
        <v>20830</v>
      </c>
      <c r="U809" t="s">
        <v>64</v>
      </c>
      <c r="V809">
        <v>12</v>
      </c>
      <c r="W809">
        <v>1</v>
      </c>
      <c r="X809" t="s">
        <v>42</v>
      </c>
      <c r="Y809" t="s">
        <v>38</v>
      </c>
      <c r="Z809" t="s">
        <v>33</v>
      </c>
      <c r="AA809" t="s">
        <v>40</v>
      </c>
      <c r="AB809" t="s">
        <v>51</v>
      </c>
      <c r="AC809" t="s">
        <v>36</v>
      </c>
    </row>
    <row r="810" spans="1:29" x14ac:dyDescent="0.25">
      <c r="A810">
        <v>854</v>
      </c>
      <c r="B810">
        <v>14999</v>
      </c>
      <c r="C810">
        <v>7123</v>
      </c>
      <c r="D810">
        <v>22122</v>
      </c>
      <c r="E810" t="s">
        <v>49</v>
      </c>
      <c r="F810">
        <v>33</v>
      </c>
      <c r="G810" t="s">
        <v>61</v>
      </c>
      <c r="H810" t="s">
        <v>30</v>
      </c>
      <c r="I810">
        <v>2</v>
      </c>
      <c r="J810" t="s">
        <v>62</v>
      </c>
      <c r="K810">
        <v>573</v>
      </c>
      <c r="L810" t="s">
        <v>66</v>
      </c>
      <c r="M810">
        <v>4</v>
      </c>
      <c r="N810" t="s">
        <v>44</v>
      </c>
      <c r="O810">
        <v>0.14000000000000001</v>
      </c>
      <c r="P810" t="s">
        <v>59</v>
      </c>
      <c r="Q810">
        <v>13426</v>
      </c>
      <c r="R810">
        <v>0</v>
      </c>
      <c r="S810" t="s">
        <v>36</v>
      </c>
      <c r="T810">
        <v>6738</v>
      </c>
      <c r="U810" t="s">
        <v>57</v>
      </c>
      <c r="V810">
        <v>48</v>
      </c>
      <c r="W810">
        <v>4</v>
      </c>
      <c r="X810" t="s">
        <v>47</v>
      </c>
      <c r="Y810" t="s">
        <v>32</v>
      </c>
      <c r="Z810" t="s">
        <v>39</v>
      </c>
      <c r="AA810" t="s">
        <v>34</v>
      </c>
      <c r="AB810" t="s">
        <v>35</v>
      </c>
      <c r="AC810" t="s">
        <v>36</v>
      </c>
    </row>
    <row r="811" spans="1:29" x14ac:dyDescent="0.25">
      <c r="A811">
        <v>855</v>
      </c>
      <c r="B811">
        <v>2814</v>
      </c>
      <c r="C811">
        <v>1679</v>
      </c>
      <c r="D811">
        <v>4493</v>
      </c>
      <c r="E811" t="s">
        <v>46</v>
      </c>
      <c r="F811">
        <v>22</v>
      </c>
      <c r="G811" t="s">
        <v>72</v>
      </c>
      <c r="H811" t="s">
        <v>30</v>
      </c>
      <c r="I811">
        <v>2</v>
      </c>
      <c r="J811" t="s">
        <v>62</v>
      </c>
      <c r="K811">
        <v>738</v>
      </c>
      <c r="L811" t="s">
        <v>63</v>
      </c>
      <c r="M811">
        <v>0</v>
      </c>
      <c r="N811" t="s">
        <v>36</v>
      </c>
      <c r="O811">
        <v>0.2</v>
      </c>
      <c r="P811" t="s">
        <v>59</v>
      </c>
      <c r="Q811">
        <v>5113</v>
      </c>
      <c r="R811">
        <v>45235</v>
      </c>
      <c r="S811" t="s">
        <v>44</v>
      </c>
      <c r="T811">
        <v>4098</v>
      </c>
      <c r="U811" t="s">
        <v>73</v>
      </c>
      <c r="V811">
        <v>48</v>
      </c>
      <c r="W811">
        <v>4</v>
      </c>
      <c r="X811" t="s">
        <v>37</v>
      </c>
      <c r="Y811" t="s">
        <v>38</v>
      </c>
      <c r="Z811" t="s">
        <v>39</v>
      </c>
      <c r="AA811" t="s">
        <v>34</v>
      </c>
      <c r="AB811" t="s">
        <v>35</v>
      </c>
      <c r="AC811" t="s">
        <v>36</v>
      </c>
    </row>
    <row r="812" spans="1:29" x14ac:dyDescent="0.25">
      <c r="A812">
        <v>856</v>
      </c>
      <c r="B812">
        <v>18729</v>
      </c>
      <c r="C812">
        <v>236</v>
      </c>
      <c r="D812">
        <v>18965</v>
      </c>
      <c r="E812" t="s">
        <v>29</v>
      </c>
      <c r="F812">
        <v>57</v>
      </c>
      <c r="G812" t="s">
        <v>69</v>
      </c>
      <c r="H812" t="s">
        <v>30</v>
      </c>
      <c r="I812">
        <v>0</v>
      </c>
      <c r="J812" t="s">
        <v>54</v>
      </c>
      <c r="K812">
        <v>640</v>
      </c>
      <c r="L812" t="s">
        <v>55</v>
      </c>
      <c r="M812">
        <v>0</v>
      </c>
      <c r="N812" t="s">
        <v>36</v>
      </c>
      <c r="O812">
        <v>0.28999999999999998</v>
      </c>
      <c r="P812" t="s">
        <v>59</v>
      </c>
      <c r="Q812">
        <v>8419</v>
      </c>
      <c r="R812">
        <v>6163</v>
      </c>
      <c r="S812" t="s">
        <v>44</v>
      </c>
      <c r="T812">
        <v>30888</v>
      </c>
      <c r="U812" t="s">
        <v>64</v>
      </c>
      <c r="V812">
        <v>48</v>
      </c>
      <c r="W812">
        <v>4</v>
      </c>
      <c r="X812" t="s">
        <v>50</v>
      </c>
      <c r="Y812" t="s">
        <v>32</v>
      </c>
      <c r="Z812" t="s">
        <v>33</v>
      </c>
      <c r="AA812" t="s">
        <v>34</v>
      </c>
      <c r="AB812" t="s">
        <v>51</v>
      </c>
      <c r="AC812" t="s">
        <v>36</v>
      </c>
    </row>
    <row r="813" spans="1:29" x14ac:dyDescent="0.25">
      <c r="A813">
        <v>857</v>
      </c>
      <c r="B813">
        <v>12541</v>
      </c>
      <c r="C813">
        <v>7446</v>
      </c>
      <c r="D813">
        <v>19987</v>
      </c>
      <c r="E813" t="s">
        <v>52</v>
      </c>
      <c r="F813">
        <v>58</v>
      </c>
      <c r="G813" t="s">
        <v>69</v>
      </c>
      <c r="H813" t="s">
        <v>30</v>
      </c>
      <c r="I813">
        <v>3</v>
      </c>
      <c r="J813" t="s">
        <v>58</v>
      </c>
      <c r="K813">
        <v>643</v>
      </c>
      <c r="L813" t="s">
        <v>55</v>
      </c>
      <c r="M813">
        <v>1</v>
      </c>
      <c r="N813" t="s">
        <v>44</v>
      </c>
      <c r="O813">
        <v>0.34</v>
      </c>
      <c r="P813" t="s">
        <v>67</v>
      </c>
      <c r="Q813">
        <v>2881</v>
      </c>
      <c r="R813">
        <v>16065</v>
      </c>
      <c r="S813" t="s">
        <v>44</v>
      </c>
      <c r="T813">
        <v>9097</v>
      </c>
      <c r="U813" t="s">
        <v>57</v>
      </c>
      <c r="V813">
        <v>60</v>
      </c>
      <c r="W813">
        <v>5</v>
      </c>
      <c r="X813" t="s">
        <v>50</v>
      </c>
      <c r="Y813" t="s">
        <v>32</v>
      </c>
      <c r="Z813" t="s">
        <v>39</v>
      </c>
      <c r="AA813" t="s">
        <v>40</v>
      </c>
      <c r="AB813" t="s">
        <v>42</v>
      </c>
      <c r="AC813" t="s">
        <v>36</v>
      </c>
    </row>
    <row r="814" spans="1:29" x14ac:dyDescent="0.25">
      <c r="A814">
        <v>858</v>
      </c>
      <c r="B814">
        <v>4443</v>
      </c>
      <c r="C814">
        <v>4443</v>
      </c>
      <c r="D814">
        <v>8886</v>
      </c>
      <c r="E814" t="s">
        <v>48</v>
      </c>
      <c r="F814">
        <v>22</v>
      </c>
      <c r="G814" t="s">
        <v>72</v>
      </c>
      <c r="H814" t="s">
        <v>30</v>
      </c>
      <c r="I814">
        <v>2</v>
      </c>
      <c r="J814" t="s">
        <v>62</v>
      </c>
      <c r="K814">
        <v>607</v>
      </c>
      <c r="L814" t="s">
        <v>55</v>
      </c>
      <c r="M814">
        <v>1</v>
      </c>
      <c r="N814" t="s">
        <v>44</v>
      </c>
      <c r="O814">
        <v>0.28000000000000003</v>
      </c>
      <c r="P814" t="s">
        <v>59</v>
      </c>
      <c r="Q814">
        <v>13145</v>
      </c>
      <c r="R814">
        <v>44654</v>
      </c>
      <c r="S814" t="s">
        <v>44</v>
      </c>
      <c r="T814">
        <v>14136</v>
      </c>
      <c r="U814" t="s">
        <v>57</v>
      </c>
      <c r="V814">
        <v>60</v>
      </c>
      <c r="W814">
        <v>5</v>
      </c>
      <c r="X814" t="s">
        <v>37</v>
      </c>
      <c r="Y814" t="s">
        <v>32</v>
      </c>
      <c r="Z814" t="s">
        <v>39</v>
      </c>
      <c r="AA814" t="s">
        <v>34</v>
      </c>
      <c r="AB814" t="s">
        <v>51</v>
      </c>
      <c r="AC814" t="s">
        <v>36</v>
      </c>
    </row>
    <row r="815" spans="1:29" x14ac:dyDescent="0.25">
      <c r="A815">
        <v>859</v>
      </c>
      <c r="B815">
        <v>12457</v>
      </c>
      <c r="C815">
        <v>6770</v>
      </c>
      <c r="D815">
        <v>19227</v>
      </c>
      <c r="E815" t="s">
        <v>29</v>
      </c>
      <c r="F815">
        <v>56</v>
      </c>
      <c r="G815" t="s">
        <v>69</v>
      </c>
      <c r="H815" t="s">
        <v>41</v>
      </c>
      <c r="I815">
        <v>3</v>
      </c>
      <c r="J815" t="s">
        <v>58</v>
      </c>
      <c r="K815">
        <v>786</v>
      </c>
      <c r="L815" t="s">
        <v>71</v>
      </c>
      <c r="M815">
        <v>0</v>
      </c>
      <c r="N815" t="s">
        <v>36</v>
      </c>
      <c r="O815">
        <v>0.26</v>
      </c>
      <c r="P815" t="s">
        <v>59</v>
      </c>
      <c r="Q815">
        <v>13556</v>
      </c>
      <c r="R815">
        <v>17920</v>
      </c>
      <c r="S815" t="s">
        <v>44</v>
      </c>
      <c r="T815">
        <v>39244</v>
      </c>
      <c r="U815" t="s">
        <v>60</v>
      </c>
      <c r="V815">
        <v>36</v>
      </c>
      <c r="W815">
        <v>3</v>
      </c>
      <c r="X815" t="s">
        <v>50</v>
      </c>
      <c r="Y815" t="s">
        <v>45</v>
      </c>
      <c r="Z815" t="s">
        <v>39</v>
      </c>
      <c r="AA815" t="s">
        <v>40</v>
      </c>
      <c r="AB815" t="s">
        <v>35</v>
      </c>
      <c r="AC815" t="s">
        <v>44</v>
      </c>
    </row>
    <row r="816" spans="1:29" x14ac:dyDescent="0.25">
      <c r="A816">
        <v>860</v>
      </c>
      <c r="B816">
        <v>12380</v>
      </c>
      <c r="C816">
        <v>9732</v>
      </c>
      <c r="D816">
        <v>22112</v>
      </c>
      <c r="E816" t="s">
        <v>48</v>
      </c>
      <c r="F816">
        <v>46</v>
      </c>
      <c r="G816" t="s">
        <v>53</v>
      </c>
      <c r="H816" t="s">
        <v>30</v>
      </c>
      <c r="I816">
        <v>1</v>
      </c>
      <c r="J816" t="s">
        <v>68</v>
      </c>
      <c r="K816">
        <v>704</v>
      </c>
      <c r="L816" t="s">
        <v>63</v>
      </c>
      <c r="M816">
        <v>2</v>
      </c>
      <c r="N816" t="s">
        <v>44</v>
      </c>
      <c r="O816">
        <v>0.57999999999999996</v>
      </c>
      <c r="P816" t="s">
        <v>56</v>
      </c>
      <c r="Q816">
        <v>19249</v>
      </c>
      <c r="R816">
        <v>38969</v>
      </c>
      <c r="S816" t="s">
        <v>44</v>
      </c>
      <c r="T816">
        <v>9253</v>
      </c>
      <c r="U816" t="s">
        <v>57</v>
      </c>
      <c r="V816">
        <v>84</v>
      </c>
      <c r="W816">
        <v>7</v>
      </c>
      <c r="X816" t="s">
        <v>50</v>
      </c>
      <c r="Y816" t="s">
        <v>38</v>
      </c>
      <c r="Z816" t="s">
        <v>39</v>
      </c>
      <c r="AA816" t="s">
        <v>34</v>
      </c>
      <c r="AB816" t="s">
        <v>35</v>
      </c>
      <c r="AC816" t="s">
        <v>36</v>
      </c>
    </row>
    <row r="817" spans="1:29" x14ac:dyDescent="0.25">
      <c r="A817">
        <v>861</v>
      </c>
      <c r="B817">
        <v>9783</v>
      </c>
      <c r="C817">
        <v>6099</v>
      </c>
      <c r="D817">
        <v>15882</v>
      </c>
      <c r="E817" t="s">
        <v>49</v>
      </c>
      <c r="F817">
        <v>31</v>
      </c>
      <c r="G817" t="s">
        <v>61</v>
      </c>
      <c r="H817" t="s">
        <v>41</v>
      </c>
      <c r="I817">
        <v>0</v>
      </c>
      <c r="J817" t="s">
        <v>54</v>
      </c>
      <c r="K817">
        <v>703</v>
      </c>
      <c r="L817" t="s">
        <v>63</v>
      </c>
      <c r="M817">
        <v>1</v>
      </c>
      <c r="N817" t="s">
        <v>44</v>
      </c>
      <c r="O817">
        <v>0.35</v>
      </c>
      <c r="P817" t="s">
        <v>67</v>
      </c>
      <c r="Q817">
        <v>2575</v>
      </c>
      <c r="R817">
        <v>48348</v>
      </c>
      <c r="S817" t="s">
        <v>44</v>
      </c>
      <c r="T817">
        <v>26208</v>
      </c>
      <c r="U817" t="s">
        <v>64</v>
      </c>
      <c r="V817">
        <v>36</v>
      </c>
      <c r="W817">
        <v>3</v>
      </c>
      <c r="X817" t="s">
        <v>50</v>
      </c>
      <c r="Y817" t="s">
        <v>45</v>
      </c>
      <c r="Z817" t="s">
        <v>33</v>
      </c>
      <c r="AA817" t="s">
        <v>40</v>
      </c>
      <c r="AB817" t="s">
        <v>35</v>
      </c>
      <c r="AC817" t="s">
        <v>36</v>
      </c>
    </row>
    <row r="818" spans="1:29" x14ac:dyDescent="0.25">
      <c r="A818">
        <v>862</v>
      </c>
      <c r="B818">
        <v>13473</v>
      </c>
      <c r="C818">
        <v>8555</v>
      </c>
      <c r="D818">
        <v>22028</v>
      </c>
      <c r="E818" t="s">
        <v>29</v>
      </c>
      <c r="F818">
        <v>28</v>
      </c>
      <c r="G818" t="s">
        <v>61</v>
      </c>
      <c r="H818" t="s">
        <v>30</v>
      </c>
      <c r="I818">
        <v>1</v>
      </c>
      <c r="J818" t="s">
        <v>68</v>
      </c>
      <c r="K818">
        <v>677</v>
      </c>
      <c r="L818" t="s">
        <v>63</v>
      </c>
      <c r="M818">
        <v>4</v>
      </c>
      <c r="N818" t="s">
        <v>44</v>
      </c>
      <c r="O818">
        <v>0.11</v>
      </c>
      <c r="P818" t="s">
        <v>59</v>
      </c>
      <c r="Q818">
        <v>12714</v>
      </c>
      <c r="R818">
        <v>19154</v>
      </c>
      <c r="S818" t="s">
        <v>44</v>
      </c>
      <c r="T818">
        <v>5887</v>
      </c>
      <c r="U818" t="s">
        <v>57</v>
      </c>
      <c r="V818">
        <v>36</v>
      </c>
      <c r="W818">
        <v>3</v>
      </c>
      <c r="X818" t="s">
        <v>37</v>
      </c>
      <c r="Y818" t="s">
        <v>32</v>
      </c>
      <c r="Z818" t="s">
        <v>39</v>
      </c>
      <c r="AA818" t="s">
        <v>40</v>
      </c>
      <c r="AB818" t="s">
        <v>43</v>
      </c>
      <c r="AC818" t="s">
        <v>44</v>
      </c>
    </row>
    <row r="819" spans="1:29" x14ac:dyDescent="0.25">
      <c r="A819">
        <v>864</v>
      </c>
      <c r="B819">
        <v>17328</v>
      </c>
      <c r="C819">
        <v>285</v>
      </c>
      <c r="D819">
        <v>17613</v>
      </c>
      <c r="E819" t="s">
        <v>49</v>
      </c>
      <c r="F819">
        <v>40</v>
      </c>
      <c r="G819" t="s">
        <v>65</v>
      </c>
      <c r="H819" t="s">
        <v>30</v>
      </c>
      <c r="I819">
        <v>0</v>
      </c>
      <c r="J819" t="s">
        <v>54</v>
      </c>
      <c r="K819">
        <v>719</v>
      </c>
      <c r="L819" t="s">
        <v>63</v>
      </c>
      <c r="M819">
        <v>1</v>
      </c>
      <c r="N819" t="s">
        <v>44</v>
      </c>
      <c r="O819">
        <v>0.54</v>
      </c>
      <c r="P819" t="s">
        <v>56</v>
      </c>
      <c r="Q819">
        <v>8656</v>
      </c>
      <c r="R819">
        <v>20229</v>
      </c>
      <c r="S819" t="s">
        <v>44</v>
      </c>
      <c r="T819">
        <v>36421</v>
      </c>
      <c r="U819" t="s">
        <v>60</v>
      </c>
      <c r="V819">
        <v>48</v>
      </c>
      <c r="W819">
        <v>4</v>
      </c>
      <c r="X819" t="s">
        <v>50</v>
      </c>
      <c r="Y819" t="s">
        <v>45</v>
      </c>
      <c r="Z819" t="s">
        <v>39</v>
      </c>
      <c r="AA819" t="s">
        <v>34</v>
      </c>
      <c r="AB819" t="s">
        <v>43</v>
      </c>
      <c r="AC819" t="s">
        <v>36</v>
      </c>
    </row>
    <row r="820" spans="1:29" x14ac:dyDescent="0.25">
      <c r="A820">
        <v>865</v>
      </c>
      <c r="B820">
        <v>2827</v>
      </c>
      <c r="C820">
        <v>148</v>
      </c>
      <c r="D820">
        <v>2975</v>
      </c>
      <c r="E820" t="s">
        <v>46</v>
      </c>
      <c r="F820">
        <v>40</v>
      </c>
      <c r="G820" t="s">
        <v>65</v>
      </c>
      <c r="H820" t="s">
        <v>41</v>
      </c>
      <c r="I820">
        <v>1</v>
      </c>
      <c r="J820" t="s">
        <v>68</v>
      </c>
      <c r="K820">
        <v>596</v>
      </c>
      <c r="L820" t="s">
        <v>55</v>
      </c>
      <c r="M820">
        <v>0</v>
      </c>
      <c r="N820" t="s">
        <v>36</v>
      </c>
      <c r="O820">
        <v>0.35</v>
      </c>
      <c r="P820" t="s">
        <v>67</v>
      </c>
      <c r="Q820">
        <v>5741</v>
      </c>
      <c r="R820">
        <v>49713</v>
      </c>
      <c r="S820" t="s">
        <v>44</v>
      </c>
      <c r="T820">
        <v>2454</v>
      </c>
      <c r="U820" t="s">
        <v>73</v>
      </c>
      <c r="V820">
        <v>60</v>
      </c>
      <c r="W820">
        <v>5</v>
      </c>
      <c r="X820" t="s">
        <v>42</v>
      </c>
      <c r="Y820" t="s">
        <v>32</v>
      </c>
      <c r="Z820" t="s">
        <v>33</v>
      </c>
      <c r="AA820" t="s">
        <v>40</v>
      </c>
      <c r="AB820" t="s">
        <v>43</v>
      </c>
      <c r="AC820" t="s">
        <v>36</v>
      </c>
    </row>
    <row r="821" spans="1:29" x14ac:dyDescent="0.25">
      <c r="A821">
        <v>866</v>
      </c>
      <c r="B821">
        <v>9147</v>
      </c>
      <c r="C821">
        <v>4037</v>
      </c>
      <c r="D821">
        <v>13184</v>
      </c>
      <c r="E821" t="s">
        <v>48</v>
      </c>
      <c r="F821">
        <v>49</v>
      </c>
      <c r="G821" t="s">
        <v>53</v>
      </c>
      <c r="H821" t="s">
        <v>41</v>
      </c>
      <c r="I821">
        <v>0</v>
      </c>
      <c r="J821" t="s">
        <v>54</v>
      </c>
      <c r="K821">
        <v>602</v>
      </c>
      <c r="L821" t="s">
        <v>55</v>
      </c>
      <c r="M821">
        <v>2</v>
      </c>
      <c r="N821" t="s">
        <v>44</v>
      </c>
      <c r="O821">
        <v>0.15</v>
      </c>
      <c r="P821" t="s">
        <v>59</v>
      </c>
      <c r="Q821">
        <v>16661</v>
      </c>
      <c r="R821">
        <v>26997</v>
      </c>
      <c r="S821" t="s">
        <v>44</v>
      </c>
      <c r="T821">
        <v>18522</v>
      </c>
      <c r="U821" t="s">
        <v>57</v>
      </c>
      <c r="V821">
        <v>48</v>
      </c>
      <c r="W821">
        <v>4</v>
      </c>
      <c r="X821" t="s">
        <v>37</v>
      </c>
      <c r="Y821" t="s">
        <v>32</v>
      </c>
      <c r="Z821" t="s">
        <v>39</v>
      </c>
      <c r="AA821" t="s">
        <v>34</v>
      </c>
      <c r="AB821" t="s">
        <v>51</v>
      </c>
      <c r="AC821" t="s">
        <v>36</v>
      </c>
    </row>
    <row r="822" spans="1:29" x14ac:dyDescent="0.25">
      <c r="A822">
        <v>867</v>
      </c>
      <c r="B822">
        <v>6451</v>
      </c>
      <c r="C822">
        <v>6549</v>
      </c>
      <c r="D822">
        <v>13000</v>
      </c>
      <c r="E822" t="s">
        <v>48</v>
      </c>
      <c r="F822">
        <v>46</v>
      </c>
      <c r="G822" t="s">
        <v>53</v>
      </c>
      <c r="H822" t="s">
        <v>41</v>
      </c>
      <c r="I822">
        <v>3</v>
      </c>
      <c r="J822" t="s">
        <v>58</v>
      </c>
      <c r="K822">
        <v>736</v>
      </c>
      <c r="L822" t="s">
        <v>63</v>
      </c>
      <c r="M822">
        <v>3</v>
      </c>
      <c r="N822" t="s">
        <v>44</v>
      </c>
      <c r="O822">
        <v>0.48</v>
      </c>
      <c r="P822" t="s">
        <v>70</v>
      </c>
      <c r="Q822">
        <v>65</v>
      </c>
      <c r="R822">
        <v>21101</v>
      </c>
      <c r="S822" t="s">
        <v>44</v>
      </c>
      <c r="T822">
        <v>39575</v>
      </c>
      <c r="U822" t="s">
        <v>60</v>
      </c>
      <c r="V822">
        <v>36</v>
      </c>
      <c r="W822">
        <v>3</v>
      </c>
      <c r="X822" t="s">
        <v>31</v>
      </c>
      <c r="Y822" t="s">
        <v>38</v>
      </c>
      <c r="Z822" t="s">
        <v>39</v>
      </c>
      <c r="AA822" t="s">
        <v>34</v>
      </c>
      <c r="AB822" t="s">
        <v>35</v>
      </c>
      <c r="AC822" t="s">
        <v>36</v>
      </c>
    </row>
    <row r="823" spans="1:29" x14ac:dyDescent="0.25">
      <c r="A823">
        <v>868</v>
      </c>
      <c r="B823">
        <v>17343</v>
      </c>
      <c r="C823">
        <v>7121</v>
      </c>
      <c r="D823">
        <v>24464</v>
      </c>
      <c r="E823" t="s">
        <v>29</v>
      </c>
      <c r="F823">
        <v>50</v>
      </c>
      <c r="G823" t="s">
        <v>53</v>
      </c>
      <c r="H823" t="s">
        <v>41</v>
      </c>
      <c r="I823">
        <v>1</v>
      </c>
      <c r="J823" t="s">
        <v>68</v>
      </c>
      <c r="K823">
        <v>587</v>
      </c>
      <c r="L823" t="s">
        <v>55</v>
      </c>
      <c r="M823">
        <v>1</v>
      </c>
      <c r="N823" t="s">
        <v>44</v>
      </c>
      <c r="O823">
        <v>0.4</v>
      </c>
      <c r="P823" t="s">
        <v>67</v>
      </c>
      <c r="Q823">
        <v>4262</v>
      </c>
      <c r="R823">
        <v>40391</v>
      </c>
      <c r="S823" t="s">
        <v>44</v>
      </c>
      <c r="T823">
        <v>4192</v>
      </c>
      <c r="U823" t="s">
        <v>73</v>
      </c>
      <c r="V823">
        <v>60</v>
      </c>
      <c r="W823">
        <v>5</v>
      </c>
      <c r="X823" t="s">
        <v>37</v>
      </c>
      <c r="Y823" t="s">
        <v>45</v>
      </c>
      <c r="Z823" t="s">
        <v>33</v>
      </c>
      <c r="AA823" t="s">
        <v>34</v>
      </c>
      <c r="AB823" t="s">
        <v>35</v>
      </c>
      <c r="AC823" t="s">
        <v>36</v>
      </c>
    </row>
    <row r="824" spans="1:29" x14ac:dyDescent="0.25">
      <c r="A824">
        <v>869</v>
      </c>
      <c r="B824">
        <v>15635</v>
      </c>
      <c r="C824">
        <v>9958</v>
      </c>
      <c r="D824">
        <v>25593</v>
      </c>
      <c r="E824" t="s">
        <v>29</v>
      </c>
      <c r="F824">
        <v>37</v>
      </c>
      <c r="G824" t="s">
        <v>65</v>
      </c>
      <c r="H824" t="s">
        <v>30</v>
      </c>
      <c r="I824">
        <v>0</v>
      </c>
      <c r="J824" t="s">
        <v>54</v>
      </c>
      <c r="K824">
        <v>746</v>
      </c>
      <c r="L824" t="s">
        <v>71</v>
      </c>
      <c r="M824">
        <v>0</v>
      </c>
      <c r="N824" t="s">
        <v>36</v>
      </c>
      <c r="O824">
        <v>0.39</v>
      </c>
      <c r="P824" t="s">
        <v>67</v>
      </c>
      <c r="Q824">
        <v>5704</v>
      </c>
      <c r="R824">
        <v>10327</v>
      </c>
      <c r="S824" t="s">
        <v>44</v>
      </c>
      <c r="T824">
        <v>16775</v>
      </c>
      <c r="U824" t="s">
        <v>57</v>
      </c>
      <c r="V824">
        <v>24</v>
      </c>
      <c r="W824">
        <v>2</v>
      </c>
      <c r="X824" t="s">
        <v>47</v>
      </c>
      <c r="Y824" t="s">
        <v>32</v>
      </c>
      <c r="Z824" t="s">
        <v>39</v>
      </c>
      <c r="AA824" t="s">
        <v>40</v>
      </c>
      <c r="AB824" t="s">
        <v>51</v>
      </c>
      <c r="AC824" t="s">
        <v>44</v>
      </c>
    </row>
    <row r="825" spans="1:29" x14ac:dyDescent="0.25">
      <c r="A825">
        <v>870</v>
      </c>
      <c r="B825">
        <v>7959</v>
      </c>
      <c r="C825">
        <v>4895</v>
      </c>
      <c r="D825">
        <v>12854</v>
      </c>
      <c r="E825" t="s">
        <v>48</v>
      </c>
      <c r="F825">
        <v>40</v>
      </c>
      <c r="G825" t="s">
        <v>65</v>
      </c>
      <c r="H825" t="s">
        <v>30</v>
      </c>
      <c r="I825">
        <v>2</v>
      </c>
      <c r="J825" t="s">
        <v>62</v>
      </c>
      <c r="K825">
        <v>764</v>
      </c>
      <c r="L825" t="s">
        <v>71</v>
      </c>
      <c r="M825">
        <v>2</v>
      </c>
      <c r="N825" t="s">
        <v>44</v>
      </c>
      <c r="O825">
        <v>0.13</v>
      </c>
      <c r="P825" t="s">
        <v>59</v>
      </c>
      <c r="Q825">
        <v>15355</v>
      </c>
      <c r="R825">
        <v>7187</v>
      </c>
      <c r="S825" t="s">
        <v>44</v>
      </c>
      <c r="T825">
        <v>11402</v>
      </c>
      <c r="U825" t="s">
        <v>57</v>
      </c>
      <c r="V825">
        <v>12</v>
      </c>
      <c r="W825">
        <v>1</v>
      </c>
      <c r="X825" t="s">
        <v>37</v>
      </c>
      <c r="Y825" t="s">
        <v>32</v>
      </c>
      <c r="Z825" t="s">
        <v>39</v>
      </c>
      <c r="AA825" t="s">
        <v>34</v>
      </c>
      <c r="AB825" t="s">
        <v>43</v>
      </c>
      <c r="AC825" t="s">
        <v>44</v>
      </c>
    </row>
    <row r="826" spans="1:29" x14ac:dyDescent="0.25">
      <c r="A826">
        <v>871</v>
      </c>
      <c r="B826">
        <v>2126</v>
      </c>
      <c r="C826">
        <v>5280</v>
      </c>
      <c r="D826">
        <v>7406</v>
      </c>
      <c r="E826" t="s">
        <v>46</v>
      </c>
      <c r="F826">
        <v>36</v>
      </c>
      <c r="G826" t="s">
        <v>65</v>
      </c>
      <c r="H826" t="s">
        <v>41</v>
      </c>
      <c r="I826">
        <v>1</v>
      </c>
      <c r="J826" t="s">
        <v>68</v>
      </c>
      <c r="K826">
        <v>550</v>
      </c>
      <c r="L826" t="s">
        <v>66</v>
      </c>
      <c r="M826">
        <v>2</v>
      </c>
      <c r="N826" t="s">
        <v>44</v>
      </c>
      <c r="O826">
        <v>0.17</v>
      </c>
      <c r="P826" t="s">
        <v>59</v>
      </c>
      <c r="Q826">
        <v>8594</v>
      </c>
      <c r="R826">
        <v>29685</v>
      </c>
      <c r="S826" t="s">
        <v>44</v>
      </c>
      <c r="T826">
        <v>14074</v>
      </c>
      <c r="U826" t="s">
        <v>57</v>
      </c>
      <c r="V826">
        <v>12</v>
      </c>
      <c r="W826">
        <v>1</v>
      </c>
      <c r="X826" t="s">
        <v>31</v>
      </c>
      <c r="Y826" t="s">
        <v>32</v>
      </c>
      <c r="Z826" t="s">
        <v>33</v>
      </c>
      <c r="AA826" t="s">
        <v>40</v>
      </c>
      <c r="AB826" t="s">
        <v>43</v>
      </c>
      <c r="AC826" t="s">
        <v>36</v>
      </c>
    </row>
    <row r="827" spans="1:29" x14ac:dyDescent="0.25">
      <c r="A827">
        <v>872</v>
      </c>
      <c r="B827">
        <v>10795</v>
      </c>
      <c r="C827">
        <v>1012</v>
      </c>
      <c r="D827">
        <v>11807</v>
      </c>
      <c r="E827" t="s">
        <v>29</v>
      </c>
      <c r="F827">
        <v>27</v>
      </c>
      <c r="G827" t="s">
        <v>61</v>
      </c>
      <c r="H827" t="s">
        <v>30</v>
      </c>
      <c r="I827">
        <v>3</v>
      </c>
      <c r="J827" t="s">
        <v>58</v>
      </c>
      <c r="K827">
        <v>775</v>
      </c>
      <c r="L827" t="s">
        <v>71</v>
      </c>
      <c r="M827">
        <v>0</v>
      </c>
      <c r="N827" t="s">
        <v>36</v>
      </c>
      <c r="O827">
        <v>0.41</v>
      </c>
      <c r="P827" t="s">
        <v>70</v>
      </c>
      <c r="Q827">
        <v>12175</v>
      </c>
      <c r="R827">
        <v>34948</v>
      </c>
      <c r="S827" t="s">
        <v>44</v>
      </c>
      <c r="T827">
        <v>16245</v>
      </c>
      <c r="U827" t="s">
        <v>57</v>
      </c>
      <c r="V827">
        <v>36</v>
      </c>
      <c r="W827">
        <v>3</v>
      </c>
      <c r="X827" t="s">
        <v>42</v>
      </c>
      <c r="Y827" t="s">
        <v>45</v>
      </c>
      <c r="Z827" t="s">
        <v>39</v>
      </c>
      <c r="AA827" t="s">
        <v>40</v>
      </c>
      <c r="AB827" t="s">
        <v>43</v>
      </c>
      <c r="AC827" t="s">
        <v>36</v>
      </c>
    </row>
    <row r="828" spans="1:29" x14ac:dyDescent="0.25">
      <c r="A828">
        <v>873</v>
      </c>
      <c r="B828">
        <v>13641</v>
      </c>
      <c r="C828">
        <v>9715</v>
      </c>
      <c r="D828">
        <v>23356</v>
      </c>
      <c r="E828" t="s">
        <v>29</v>
      </c>
      <c r="F828">
        <v>36</v>
      </c>
      <c r="G828" t="s">
        <v>65</v>
      </c>
      <c r="H828" t="s">
        <v>30</v>
      </c>
      <c r="I828">
        <v>0</v>
      </c>
      <c r="J828" t="s">
        <v>54</v>
      </c>
      <c r="K828">
        <v>602</v>
      </c>
      <c r="L828" t="s">
        <v>55</v>
      </c>
      <c r="M828">
        <v>4</v>
      </c>
      <c r="N828" t="s">
        <v>44</v>
      </c>
      <c r="O828">
        <v>0.2</v>
      </c>
      <c r="P828" t="s">
        <v>59</v>
      </c>
      <c r="Q828">
        <v>12696</v>
      </c>
      <c r="R828">
        <v>34728</v>
      </c>
      <c r="S828" t="s">
        <v>44</v>
      </c>
      <c r="T828">
        <v>37527</v>
      </c>
      <c r="U828" t="s">
        <v>60</v>
      </c>
      <c r="V828">
        <v>84</v>
      </c>
      <c r="W828">
        <v>7</v>
      </c>
      <c r="X828" t="s">
        <v>31</v>
      </c>
      <c r="Y828" t="s">
        <v>38</v>
      </c>
      <c r="Z828" t="s">
        <v>33</v>
      </c>
      <c r="AA828" t="s">
        <v>40</v>
      </c>
      <c r="AB828" t="s">
        <v>43</v>
      </c>
      <c r="AC828" t="s">
        <v>36</v>
      </c>
    </row>
    <row r="829" spans="1:29" x14ac:dyDescent="0.25">
      <c r="A829">
        <v>874</v>
      </c>
      <c r="B829">
        <v>9196</v>
      </c>
      <c r="C829">
        <v>2785</v>
      </c>
      <c r="D829">
        <v>11981</v>
      </c>
      <c r="E829" t="s">
        <v>46</v>
      </c>
      <c r="F829">
        <v>47</v>
      </c>
      <c r="G829" t="s">
        <v>53</v>
      </c>
      <c r="H829" t="s">
        <v>30</v>
      </c>
      <c r="I829">
        <v>1</v>
      </c>
      <c r="J829" t="s">
        <v>68</v>
      </c>
      <c r="K829">
        <v>692</v>
      </c>
      <c r="L829" t="s">
        <v>63</v>
      </c>
      <c r="M829">
        <v>2</v>
      </c>
      <c r="N829" t="s">
        <v>44</v>
      </c>
      <c r="O829">
        <v>0.35</v>
      </c>
      <c r="P829" t="s">
        <v>67</v>
      </c>
      <c r="Q829">
        <v>6255</v>
      </c>
      <c r="R829">
        <v>37921</v>
      </c>
      <c r="S829" t="s">
        <v>44</v>
      </c>
      <c r="T829">
        <v>26936</v>
      </c>
      <c r="U829" t="s">
        <v>64</v>
      </c>
      <c r="V829">
        <v>48</v>
      </c>
      <c r="W829">
        <v>4</v>
      </c>
      <c r="X829" t="s">
        <v>37</v>
      </c>
      <c r="Y829" t="s">
        <v>45</v>
      </c>
      <c r="Z829" t="s">
        <v>39</v>
      </c>
      <c r="AA829" t="s">
        <v>40</v>
      </c>
      <c r="AB829" t="s">
        <v>35</v>
      </c>
      <c r="AC829" t="s">
        <v>44</v>
      </c>
    </row>
    <row r="830" spans="1:29" x14ac:dyDescent="0.25">
      <c r="A830">
        <v>875</v>
      </c>
      <c r="B830">
        <v>13559</v>
      </c>
      <c r="C830">
        <v>3725</v>
      </c>
      <c r="D830">
        <v>17284</v>
      </c>
      <c r="E830" t="s">
        <v>52</v>
      </c>
      <c r="F830">
        <v>43</v>
      </c>
      <c r="G830" t="s">
        <v>65</v>
      </c>
      <c r="H830" t="s">
        <v>30</v>
      </c>
      <c r="I830">
        <v>1</v>
      </c>
      <c r="J830" t="s">
        <v>68</v>
      </c>
      <c r="K830">
        <v>773</v>
      </c>
      <c r="L830" t="s">
        <v>71</v>
      </c>
      <c r="M830">
        <v>3</v>
      </c>
      <c r="N830" t="s">
        <v>44</v>
      </c>
      <c r="O830">
        <v>0.37</v>
      </c>
      <c r="P830" t="s">
        <v>67</v>
      </c>
      <c r="Q830">
        <v>7441</v>
      </c>
      <c r="R830">
        <v>7035</v>
      </c>
      <c r="S830" t="s">
        <v>44</v>
      </c>
      <c r="T830">
        <v>28002</v>
      </c>
      <c r="U830" t="s">
        <v>64</v>
      </c>
      <c r="V830">
        <v>24</v>
      </c>
      <c r="W830">
        <v>2</v>
      </c>
      <c r="X830" t="s">
        <v>31</v>
      </c>
      <c r="Y830" t="s">
        <v>32</v>
      </c>
      <c r="Z830" t="s">
        <v>33</v>
      </c>
      <c r="AA830" t="s">
        <v>40</v>
      </c>
      <c r="AB830" t="s">
        <v>43</v>
      </c>
      <c r="AC830" t="s">
        <v>36</v>
      </c>
    </row>
    <row r="831" spans="1:29" x14ac:dyDescent="0.25">
      <c r="A831">
        <v>876</v>
      </c>
      <c r="B831">
        <v>5368</v>
      </c>
      <c r="C831">
        <v>4576</v>
      </c>
      <c r="D831">
        <v>9944</v>
      </c>
      <c r="E831" t="s">
        <v>49</v>
      </c>
      <c r="F831">
        <v>44</v>
      </c>
      <c r="G831" t="s">
        <v>65</v>
      </c>
      <c r="H831" t="s">
        <v>30</v>
      </c>
      <c r="I831">
        <v>1</v>
      </c>
      <c r="J831" t="s">
        <v>68</v>
      </c>
      <c r="K831">
        <v>703</v>
      </c>
      <c r="L831" t="s">
        <v>63</v>
      </c>
      <c r="M831">
        <v>1</v>
      </c>
      <c r="N831" t="s">
        <v>44</v>
      </c>
      <c r="O831">
        <v>0.24</v>
      </c>
      <c r="P831" t="s">
        <v>59</v>
      </c>
      <c r="Q831">
        <v>14986</v>
      </c>
      <c r="R831">
        <v>0</v>
      </c>
      <c r="S831" t="s">
        <v>36</v>
      </c>
      <c r="T831">
        <v>16683</v>
      </c>
      <c r="U831" t="s">
        <v>57</v>
      </c>
      <c r="V831">
        <v>60</v>
      </c>
      <c r="W831">
        <v>5</v>
      </c>
      <c r="X831" t="s">
        <v>37</v>
      </c>
      <c r="Y831" t="s">
        <v>32</v>
      </c>
      <c r="Z831" t="s">
        <v>33</v>
      </c>
      <c r="AA831" t="s">
        <v>40</v>
      </c>
      <c r="AB831" t="s">
        <v>48</v>
      </c>
      <c r="AC831" t="s">
        <v>44</v>
      </c>
    </row>
    <row r="832" spans="1:29" x14ac:dyDescent="0.25">
      <c r="A832">
        <v>877</v>
      </c>
      <c r="B832">
        <v>5797</v>
      </c>
      <c r="C832">
        <v>5782</v>
      </c>
      <c r="D832">
        <v>11579</v>
      </c>
      <c r="E832" t="s">
        <v>46</v>
      </c>
      <c r="F832">
        <v>29</v>
      </c>
      <c r="G832" t="s">
        <v>61</v>
      </c>
      <c r="H832" t="s">
        <v>30</v>
      </c>
      <c r="I832">
        <v>3</v>
      </c>
      <c r="J832" t="s">
        <v>58</v>
      </c>
      <c r="K832">
        <v>597</v>
      </c>
      <c r="L832" t="s">
        <v>55</v>
      </c>
      <c r="M832">
        <v>3</v>
      </c>
      <c r="N832" t="s">
        <v>44</v>
      </c>
      <c r="O832">
        <v>0.56999999999999995</v>
      </c>
      <c r="P832" t="s">
        <v>56</v>
      </c>
      <c r="Q832">
        <v>13350</v>
      </c>
      <c r="R832">
        <v>28460</v>
      </c>
      <c r="S832" t="s">
        <v>44</v>
      </c>
      <c r="T832">
        <v>13460</v>
      </c>
      <c r="U832" t="s">
        <v>57</v>
      </c>
      <c r="V832">
        <v>84</v>
      </c>
      <c r="W832">
        <v>7</v>
      </c>
      <c r="X832" t="s">
        <v>42</v>
      </c>
      <c r="Y832" t="s">
        <v>38</v>
      </c>
      <c r="Z832" t="s">
        <v>39</v>
      </c>
      <c r="AA832" t="s">
        <v>40</v>
      </c>
      <c r="AB832" t="s">
        <v>43</v>
      </c>
      <c r="AC832" t="s">
        <v>36</v>
      </c>
    </row>
    <row r="833" spans="1:29" x14ac:dyDescent="0.25">
      <c r="A833">
        <v>878</v>
      </c>
      <c r="B833">
        <v>17114</v>
      </c>
      <c r="C833">
        <v>6257</v>
      </c>
      <c r="D833">
        <v>23371</v>
      </c>
      <c r="E833" t="s">
        <v>29</v>
      </c>
      <c r="F833">
        <v>55</v>
      </c>
      <c r="G833" t="s">
        <v>69</v>
      </c>
      <c r="H833" t="s">
        <v>30</v>
      </c>
      <c r="I833">
        <v>0</v>
      </c>
      <c r="J833" t="s">
        <v>54</v>
      </c>
      <c r="K833">
        <v>644</v>
      </c>
      <c r="L833" t="s">
        <v>55</v>
      </c>
      <c r="M833">
        <v>0</v>
      </c>
      <c r="N833" t="s">
        <v>36</v>
      </c>
      <c r="O833">
        <v>0.52</v>
      </c>
      <c r="P833" t="s">
        <v>56</v>
      </c>
      <c r="Q833">
        <v>14440</v>
      </c>
      <c r="R833">
        <v>21071</v>
      </c>
      <c r="S833" t="s">
        <v>44</v>
      </c>
      <c r="T833">
        <v>31482</v>
      </c>
      <c r="U833" t="s">
        <v>64</v>
      </c>
      <c r="V833">
        <v>48</v>
      </c>
      <c r="W833">
        <v>4</v>
      </c>
      <c r="X833" t="s">
        <v>42</v>
      </c>
      <c r="Y833" t="s">
        <v>38</v>
      </c>
      <c r="Z833" t="s">
        <v>39</v>
      </c>
      <c r="AA833" t="s">
        <v>40</v>
      </c>
      <c r="AB833" t="s">
        <v>35</v>
      </c>
      <c r="AC833" t="s">
        <v>36</v>
      </c>
    </row>
    <row r="834" spans="1:29" x14ac:dyDescent="0.25">
      <c r="A834">
        <v>879</v>
      </c>
      <c r="B834">
        <v>15718</v>
      </c>
      <c r="C834">
        <v>9793</v>
      </c>
      <c r="D834">
        <v>25511</v>
      </c>
      <c r="E834" t="s">
        <v>29</v>
      </c>
      <c r="F834">
        <v>40</v>
      </c>
      <c r="G834" t="s">
        <v>65</v>
      </c>
      <c r="H834" t="s">
        <v>30</v>
      </c>
      <c r="I834">
        <v>2</v>
      </c>
      <c r="J834" t="s">
        <v>62</v>
      </c>
      <c r="K834">
        <v>696</v>
      </c>
      <c r="L834" t="s">
        <v>63</v>
      </c>
      <c r="M834">
        <v>0</v>
      </c>
      <c r="N834" t="s">
        <v>36</v>
      </c>
      <c r="O834">
        <v>0.46</v>
      </c>
      <c r="P834" t="s">
        <v>70</v>
      </c>
      <c r="Q834">
        <v>7960</v>
      </c>
      <c r="R834">
        <v>582</v>
      </c>
      <c r="S834" t="s">
        <v>44</v>
      </c>
      <c r="T834">
        <v>17447</v>
      </c>
      <c r="U834" t="s">
        <v>57</v>
      </c>
      <c r="V834">
        <v>36</v>
      </c>
      <c r="W834">
        <v>3</v>
      </c>
      <c r="X834" t="s">
        <v>47</v>
      </c>
      <c r="Y834" t="s">
        <v>45</v>
      </c>
      <c r="Z834" t="s">
        <v>33</v>
      </c>
      <c r="AA834" t="s">
        <v>40</v>
      </c>
      <c r="AB834" t="s">
        <v>51</v>
      </c>
      <c r="AC834" t="s">
        <v>36</v>
      </c>
    </row>
    <row r="835" spans="1:29" x14ac:dyDescent="0.25">
      <c r="A835">
        <v>880</v>
      </c>
      <c r="B835">
        <v>3792</v>
      </c>
      <c r="C835">
        <v>2408</v>
      </c>
      <c r="D835">
        <v>6200</v>
      </c>
      <c r="E835" t="s">
        <v>49</v>
      </c>
      <c r="F835">
        <v>57</v>
      </c>
      <c r="G835" t="s">
        <v>69</v>
      </c>
      <c r="H835" t="s">
        <v>30</v>
      </c>
      <c r="I835">
        <v>2</v>
      </c>
      <c r="J835" t="s">
        <v>62</v>
      </c>
      <c r="K835">
        <v>686</v>
      </c>
      <c r="L835" t="s">
        <v>63</v>
      </c>
      <c r="M835">
        <v>3</v>
      </c>
      <c r="N835" t="s">
        <v>44</v>
      </c>
      <c r="O835">
        <v>0.14000000000000001</v>
      </c>
      <c r="P835" t="s">
        <v>59</v>
      </c>
      <c r="Q835">
        <v>17821</v>
      </c>
      <c r="R835">
        <v>48282</v>
      </c>
      <c r="S835" t="s">
        <v>44</v>
      </c>
      <c r="T835">
        <v>18729</v>
      </c>
      <c r="U835" t="s">
        <v>57</v>
      </c>
      <c r="V835">
        <v>48</v>
      </c>
      <c r="W835">
        <v>4</v>
      </c>
      <c r="X835" t="s">
        <v>42</v>
      </c>
      <c r="Y835" t="s">
        <v>32</v>
      </c>
      <c r="Z835" t="s">
        <v>39</v>
      </c>
      <c r="AA835" t="s">
        <v>40</v>
      </c>
      <c r="AB835" t="s">
        <v>35</v>
      </c>
      <c r="AC835" t="s">
        <v>44</v>
      </c>
    </row>
    <row r="836" spans="1:29" x14ac:dyDescent="0.25">
      <c r="A836">
        <v>881</v>
      </c>
      <c r="B836">
        <v>13053</v>
      </c>
      <c r="C836">
        <v>340</v>
      </c>
      <c r="D836">
        <v>13393</v>
      </c>
      <c r="E836" t="s">
        <v>29</v>
      </c>
      <c r="F836">
        <v>37</v>
      </c>
      <c r="G836" t="s">
        <v>65</v>
      </c>
      <c r="H836" t="s">
        <v>30</v>
      </c>
      <c r="I836">
        <v>2</v>
      </c>
      <c r="J836" t="s">
        <v>62</v>
      </c>
      <c r="K836">
        <v>613</v>
      </c>
      <c r="L836" t="s">
        <v>55</v>
      </c>
      <c r="M836">
        <v>4</v>
      </c>
      <c r="N836" t="s">
        <v>44</v>
      </c>
      <c r="O836">
        <v>0.15</v>
      </c>
      <c r="P836" t="s">
        <v>59</v>
      </c>
      <c r="Q836">
        <v>19762</v>
      </c>
      <c r="R836">
        <v>26189</v>
      </c>
      <c r="S836" t="s">
        <v>44</v>
      </c>
      <c r="T836">
        <v>21545</v>
      </c>
      <c r="U836" t="s">
        <v>64</v>
      </c>
      <c r="V836">
        <v>36</v>
      </c>
      <c r="W836">
        <v>3</v>
      </c>
      <c r="X836" t="s">
        <v>50</v>
      </c>
      <c r="Y836" t="s">
        <v>45</v>
      </c>
      <c r="Z836" t="s">
        <v>39</v>
      </c>
      <c r="AA836" t="s">
        <v>34</v>
      </c>
      <c r="AB836" t="s">
        <v>35</v>
      </c>
      <c r="AC836" t="s">
        <v>36</v>
      </c>
    </row>
    <row r="837" spans="1:29" x14ac:dyDescent="0.25">
      <c r="A837">
        <v>882</v>
      </c>
      <c r="B837">
        <v>5476</v>
      </c>
      <c r="C837">
        <v>2817</v>
      </c>
      <c r="D837">
        <v>8293</v>
      </c>
      <c r="E837" t="s">
        <v>29</v>
      </c>
      <c r="F837">
        <v>51</v>
      </c>
      <c r="G837" t="s">
        <v>53</v>
      </c>
      <c r="H837" t="s">
        <v>41</v>
      </c>
      <c r="I837">
        <v>0</v>
      </c>
      <c r="J837" t="s">
        <v>54</v>
      </c>
      <c r="K837">
        <v>642</v>
      </c>
      <c r="L837" t="s">
        <v>55</v>
      </c>
      <c r="M837">
        <v>0</v>
      </c>
      <c r="N837" t="s">
        <v>36</v>
      </c>
      <c r="O837">
        <v>0.35</v>
      </c>
      <c r="P837" t="s">
        <v>67</v>
      </c>
      <c r="Q837">
        <v>13665</v>
      </c>
      <c r="R837">
        <v>15531</v>
      </c>
      <c r="S837" t="s">
        <v>44</v>
      </c>
      <c r="T837">
        <v>29204</v>
      </c>
      <c r="U837" t="s">
        <v>64</v>
      </c>
      <c r="V837">
        <v>72</v>
      </c>
      <c r="W837">
        <v>6</v>
      </c>
      <c r="X837" t="s">
        <v>42</v>
      </c>
      <c r="Y837" t="s">
        <v>38</v>
      </c>
      <c r="Z837" t="s">
        <v>39</v>
      </c>
      <c r="AA837" t="s">
        <v>40</v>
      </c>
      <c r="AB837" t="s">
        <v>51</v>
      </c>
      <c r="AC837" t="s">
        <v>36</v>
      </c>
    </row>
    <row r="838" spans="1:29" x14ac:dyDescent="0.25">
      <c r="A838">
        <v>883</v>
      </c>
      <c r="B838">
        <v>5417</v>
      </c>
      <c r="C838">
        <v>2496</v>
      </c>
      <c r="D838">
        <v>7913</v>
      </c>
      <c r="E838" t="s">
        <v>29</v>
      </c>
      <c r="F838">
        <v>28</v>
      </c>
      <c r="G838" t="s">
        <v>61</v>
      </c>
      <c r="H838" t="s">
        <v>30</v>
      </c>
      <c r="I838">
        <v>2</v>
      </c>
      <c r="J838" t="s">
        <v>62</v>
      </c>
      <c r="K838">
        <v>731</v>
      </c>
      <c r="L838" t="s">
        <v>63</v>
      </c>
      <c r="M838">
        <v>0</v>
      </c>
      <c r="N838" t="s">
        <v>36</v>
      </c>
      <c r="O838">
        <v>0.18</v>
      </c>
      <c r="P838" t="s">
        <v>59</v>
      </c>
      <c r="Q838">
        <v>6629</v>
      </c>
      <c r="R838">
        <v>16672</v>
      </c>
      <c r="S838" t="s">
        <v>44</v>
      </c>
      <c r="T838">
        <v>10814</v>
      </c>
      <c r="U838" t="s">
        <v>57</v>
      </c>
      <c r="V838">
        <v>12</v>
      </c>
      <c r="W838">
        <v>1</v>
      </c>
      <c r="X838" t="s">
        <v>42</v>
      </c>
      <c r="Y838" t="s">
        <v>45</v>
      </c>
      <c r="Z838" t="s">
        <v>33</v>
      </c>
      <c r="AA838" t="s">
        <v>40</v>
      </c>
      <c r="AB838" t="s">
        <v>35</v>
      </c>
      <c r="AC838" t="s">
        <v>44</v>
      </c>
    </row>
    <row r="839" spans="1:29" x14ac:dyDescent="0.25">
      <c r="A839">
        <v>884</v>
      </c>
      <c r="B839">
        <v>3645</v>
      </c>
      <c r="C839">
        <v>5962</v>
      </c>
      <c r="D839">
        <v>9607</v>
      </c>
      <c r="E839" t="s">
        <v>46</v>
      </c>
      <c r="F839">
        <v>35</v>
      </c>
      <c r="G839" t="s">
        <v>65</v>
      </c>
      <c r="H839" t="s">
        <v>30</v>
      </c>
      <c r="I839">
        <v>3</v>
      </c>
      <c r="J839" t="s">
        <v>58</v>
      </c>
      <c r="K839">
        <v>674</v>
      </c>
      <c r="L839" t="s">
        <v>63</v>
      </c>
      <c r="M839">
        <v>3</v>
      </c>
      <c r="N839" t="s">
        <v>44</v>
      </c>
      <c r="O839">
        <v>0.59</v>
      </c>
      <c r="P839" t="s">
        <v>56</v>
      </c>
      <c r="Q839">
        <v>13828</v>
      </c>
      <c r="R839">
        <v>0</v>
      </c>
      <c r="S839" t="s">
        <v>36</v>
      </c>
      <c r="T839">
        <v>14890</v>
      </c>
      <c r="U839" t="s">
        <v>57</v>
      </c>
      <c r="V839">
        <v>84</v>
      </c>
      <c r="W839">
        <v>7</v>
      </c>
      <c r="X839" t="s">
        <v>42</v>
      </c>
      <c r="Y839" t="s">
        <v>45</v>
      </c>
      <c r="Z839" t="s">
        <v>33</v>
      </c>
      <c r="AA839" t="s">
        <v>40</v>
      </c>
      <c r="AB839" t="s">
        <v>48</v>
      </c>
      <c r="AC839" t="s">
        <v>36</v>
      </c>
    </row>
    <row r="840" spans="1:29" x14ac:dyDescent="0.25">
      <c r="A840">
        <v>886</v>
      </c>
      <c r="B840">
        <v>5072</v>
      </c>
      <c r="C840">
        <v>9917</v>
      </c>
      <c r="D840">
        <v>14989</v>
      </c>
      <c r="E840" t="s">
        <v>29</v>
      </c>
      <c r="F840">
        <v>50</v>
      </c>
      <c r="G840" t="s">
        <v>53</v>
      </c>
      <c r="H840" t="s">
        <v>30</v>
      </c>
      <c r="I840">
        <v>1</v>
      </c>
      <c r="J840" t="s">
        <v>68</v>
      </c>
      <c r="K840">
        <v>728</v>
      </c>
      <c r="L840" t="s">
        <v>63</v>
      </c>
      <c r="M840">
        <v>4</v>
      </c>
      <c r="N840" t="s">
        <v>44</v>
      </c>
      <c r="O840">
        <v>0.34</v>
      </c>
      <c r="P840" t="s">
        <v>67</v>
      </c>
      <c r="Q840">
        <v>7876</v>
      </c>
      <c r="R840">
        <v>3060</v>
      </c>
      <c r="S840" t="s">
        <v>44</v>
      </c>
      <c r="T840">
        <v>31121</v>
      </c>
      <c r="U840" t="s">
        <v>64</v>
      </c>
      <c r="V840">
        <v>48</v>
      </c>
      <c r="W840">
        <v>4</v>
      </c>
      <c r="X840" t="s">
        <v>47</v>
      </c>
      <c r="Y840" t="s">
        <v>32</v>
      </c>
      <c r="Z840" t="s">
        <v>39</v>
      </c>
      <c r="AA840" t="s">
        <v>40</v>
      </c>
      <c r="AB840" t="s">
        <v>42</v>
      </c>
      <c r="AC840" t="s">
        <v>36</v>
      </c>
    </row>
    <row r="841" spans="1:29" x14ac:dyDescent="0.25">
      <c r="A841">
        <v>887</v>
      </c>
      <c r="B841">
        <v>3854</v>
      </c>
      <c r="C841">
        <v>7574</v>
      </c>
      <c r="D841">
        <v>11428</v>
      </c>
      <c r="E841" t="s">
        <v>29</v>
      </c>
      <c r="F841">
        <v>40</v>
      </c>
      <c r="G841" t="s">
        <v>65</v>
      </c>
      <c r="H841" t="s">
        <v>30</v>
      </c>
      <c r="I841">
        <v>3</v>
      </c>
      <c r="J841" t="s">
        <v>58</v>
      </c>
      <c r="K841">
        <v>588</v>
      </c>
      <c r="L841" t="s">
        <v>55</v>
      </c>
      <c r="M841">
        <v>0</v>
      </c>
      <c r="N841" t="s">
        <v>36</v>
      </c>
      <c r="O841">
        <v>0.28000000000000003</v>
      </c>
      <c r="P841" t="s">
        <v>59</v>
      </c>
      <c r="Q841">
        <v>13311</v>
      </c>
      <c r="R841">
        <v>13731</v>
      </c>
      <c r="S841" t="s">
        <v>44</v>
      </c>
      <c r="T841">
        <v>12218</v>
      </c>
      <c r="U841" t="s">
        <v>57</v>
      </c>
      <c r="V841">
        <v>24</v>
      </c>
      <c r="W841">
        <v>2</v>
      </c>
      <c r="X841" t="s">
        <v>47</v>
      </c>
      <c r="Y841" t="s">
        <v>32</v>
      </c>
      <c r="Z841" t="s">
        <v>33</v>
      </c>
      <c r="AA841" t="s">
        <v>40</v>
      </c>
      <c r="AB841" t="s">
        <v>43</v>
      </c>
      <c r="AC841" t="s">
        <v>36</v>
      </c>
    </row>
    <row r="842" spans="1:29" x14ac:dyDescent="0.25">
      <c r="A842">
        <v>888</v>
      </c>
      <c r="B842">
        <v>0</v>
      </c>
      <c r="C842">
        <v>1689</v>
      </c>
      <c r="D842">
        <v>1689</v>
      </c>
      <c r="E842" t="s">
        <v>46</v>
      </c>
      <c r="F842">
        <v>59</v>
      </c>
      <c r="G842" t="s">
        <v>69</v>
      </c>
      <c r="H842" t="s">
        <v>41</v>
      </c>
      <c r="I842">
        <v>0</v>
      </c>
      <c r="J842" t="s">
        <v>54</v>
      </c>
      <c r="K842">
        <v>553</v>
      </c>
      <c r="L842" t="s">
        <v>66</v>
      </c>
      <c r="M842">
        <v>4</v>
      </c>
      <c r="N842" t="s">
        <v>44</v>
      </c>
      <c r="O842">
        <v>0.42</v>
      </c>
      <c r="P842" t="s">
        <v>70</v>
      </c>
      <c r="Q842">
        <v>14588</v>
      </c>
      <c r="R842">
        <v>12294</v>
      </c>
      <c r="S842" t="s">
        <v>44</v>
      </c>
      <c r="T842">
        <v>0</v>
      </c>
      <c r="U842" t="s">
        <v>73</v>
      </c>
      <c r="V842">
        <v>60</v>
      </c>
      <c r="W842">
        <v>5</v>
      </c>
      <c r="X842" t="s">
        <v>47</v>
      </c>
      <c r="Y842" t="s">
        <v>38</v>
      </c>
      <c r="Z842" t="s">
        <v>33</v>
      </c>
      <c r="AA842" t="s">
        <v>34</v>
      </c>
      <c r="AB842" t="s">
        <v>35</v>
      </c>
      <c r="AC842" t="s">
        <v>36</v>
      </c>
    </row>
    <row r="843" spans="1:29" x14ac:dyDescent="0.25">
      <c r="A843">
        <v>889</v>
      </c>
      <c r="B843">
        <v>8514</v>
      </c>
      <c r="C843">
        <v>3267</v>
      </c>
      <c r="D843">
        <v>11781</v>
      </c>
      <c r="E843" t="s">
        <v>48</v>
      </c>
      <c r="F843">
        <v>32</v>
      </c>
      <c r="G843" t="s">
        <v>61</v>
      </c>
      <c r="H843" t="s">
        <v>30</v>
      </c>
      <c r="I843">
        <v>2</v>
      </c>
      <c r="J843" t="s">
        <v>62</v>
      </c>
      <c r="K843">
        <v>675</v>
      </c>
      <c r="L843" t="s">
        <v>63</v>
      </c>
      <c r="M843">
        <v>1</v>
      </c>
      <c r="N843" t="s">
        <v>44</v>
      </c>
      <c r="O843">
        <v>0.16</v>
      </c>
      <c r="P843" t="s">
        <v>59</v>
      </c>
      <c r="Q843">
        <v>16648</v>
      </c>
      <c r="R843">
        <v>20719</v>
      </c>
      <c r="S843" t="s">
        <v>44</v>
      </c>
      <c r="T843">
        <v>23705</v>
      </c>
      <c r="U843" t="s">
        <v>64</v>
      </c>
      <c r="V843">
        <v>36</v>
      </c>
      <c r="W843">
        <v>3</v>
      </c>
      <c r="X843" t="s">
        <v>50</v>
      </c>
      <c r="Y843" t="s">
        <v>45</v>
      </c>
      <c r="Z843" t="s">
        <v>39</v>
      </c>
      <c r="AA843" t="s">
        <v>34</v>
      </c>
      <c r="AB843" t="s">
        <v>35</v>
      </c>
      <c r="AC843" t="s">
        <v>44</v>
      </c>
    </row>
    <row r="844" spans="1:29" x14ac:dyDescent="0.25">
      <c r="A844">
        <v>890</v>
      </c>
      <c r="B844">
        <v>4708</v>
      </c>
      <c r="C844">
        <v>4406</v>
      </c>
      <c r="D844">
        <v>9114</v>
      </c>
      <c r="E844" t="s">
        <v>29</v>
      </c>
      <c r="F844">
        <v>37</v>
      </c>
      <c r="G844" t="s">
        <v>65</v>
      </c>
      <c r="H844" t="s">
        <v>41</v>
      </c>
      <c r="I844">
        <v>3</v>
      </c>
      <c r="J844" t="s">
        <v>58</v>
      </c>
      <c r="K844">
        <v>552</v>
      </c>
      <c r="L844" t="s">
        <v>66</v>
      </c>
      <c r="M844">
        <v>0</v>
      </c>
      <c r="N844" t="s">
        <v>36</v>
      </c>
      <c r="O844">
        <v>0.32</v>
      </c>
      <c r="P844" t="s">
        <v>67</v>
      </c>
      <c r="Q844">
        <v>12380</v>
      </c>
      <c r="R844">
        <v>47042</v>
      </c>
      <c r="S844" t="s">
        <v>44</v>
      </c>
      <c r="T844">
        <v>35722</v>
      </c>
      <c r="U844" t="s">
        <v>60</v>
      </c>
      <c r="V844">
        <v>60</v>
      </c>
      <c r="W844">
        <v>5</v>
      </c>
      <c r="X844" t="s">
        <v>42</v>
      </c>
      <c r="Y844" t="s">
        <v>45</v>
      </c>
      <c r="Z844" t="s">
        <v>33</v>
      </c>
      <c r="AA844" t="s">
        <v>34</v>
      </c>
      <c r="AB844" t="s">
        <v>48</v>
      </c>
      <c r="AC844" t="s">
        <v>36</v>
      </c>
    </row>
    <row r="845" spans="1:29" x14ac:dyDescent="0.25">
      <c r="A845">
        <v>891</v>
      </c>
      <c r="B845">
        <v>13694</v>
      </c>
      <c r="C845">
        <v>8453</v>
      </c>
      <c r="D845">
        <v>22147</v>
      </c>
      <c r="E845" t="s">
        <v>29</v>
      </c>
      <c r="F845">
        <v>50</v>
      </c>
      <c r="G845" t="s">
        <v>53</v>
      </c>
      <c r="H845" t="s">
        <v>41</v>
      </c>
      <c r="I845">
        <v>0</v>
      </c>
      <c r="J845" t="s">
        <v>54</v>
      </c>
      <c r="K845">
        <v>797</v>
      </c>
      <c r="L845" t="s">
        <v>71</v>
      </c>
      <c r="M845">
        <v>4</v>
      </c>
      <c r="N845" t="s">
        <v>44</v>
      </c>
      <c r="O845">
        <v>0.24</v>
      </c>
      <c r="P845" t="s">
        <v>59</v>
      </c>
      <c r="Q845">
        <v>9877</v>
      </c>
      <c r="R845">
        <v>49116</v>
      </c>
      <c r="S845" t="s">
        <v>44</v>
      </c>
      <c r="T845">
        <v>0</v>
      </c>
      <c r="U845" t="s">
        <v>73</v>
      </c>
      <c r="V845">
        <v>12</v>
      </c>
      <c r="W845">
        <v>1</v>
      </c>
      <c r="X845" t="s">
        <v>47</v>
      </c>
      <c r="Y845" t="s">
        <v>32</v>
      </c>
      <c r="Z845" t="s">
        <v>33</v>
      </c>
      <c r="AA845" t="s">
        <v>34</v>
      </c>
      <c r="AB845" t="s">
        <v>51</v>
      </c>
      <c r="AC845" t="s">
        <v>44</v>
      </c>
    </row>
    <row r="846" spans="1:29" x14ac:dyDescent="0.25">
      <c r="A846">
        <v>892</v>
      </c>
      <c r="B846">
        <v>11524</v>
      </c>
      <c r="C846">
        <v>1442</v>
      </c>
      <c r="D846">
        <v>12966</v>
      </c>
      <c r="E846" t="s">
        <v>29</v>
      </c>
      <c r="F846">
        <v>40</v>
      </c>
      <c r="G846" t="s">
        <v>65</v>
      </c>
      <c r="H846" t="s">
        <v>41</v>
      </c>
      <c r="I846">
        <v>3</v>
      </c>
      <c r="J846" t="s">
        <v>58</v>
      </c>
      <c r="K846">
        <v>613</v>
      </c>
      <c r="L846" t="s">
        <v>55</v>
      </c>
      <c r="M846">
        <v>1</v>
      </c>
      <c r="N846" t="s">
        <v>44</v>
      </c>
      <c r="O846">
        <v>0.54</v>
      </c>
      <c r="P846" t="s">
        <v>56</v>
      </c>
      <c r="Q846">
        <v>17818</v>
      </c>
      <c r="R846">
        <v>26325</v>
      </c>
      <c r="S846" t="s">
        <v>44</v>
      </c>
      <c r="T846">
        <v>31921</v>
      </c>
      <c r="U846" t="s">
        <v>64</v>
      </c>
      <c r="V846">
        <v>24</v>
      </c>
      <c r="W846">
        <v>2</v>
      </c>
      <c r="X846" t="s">
        <v>50</v>
      </c>
      <c r="Y846" t="s">
        <v>38</v>
      </c>
      <c r="Z846" t="s">
        <v>39</v>
      </c>
      <c r="AA846" t="s">
        <v>34</v>
      </c>
      <c r="AB846" t="s">
        <v>42</v>
      </c>
      <c r="AC846" t="s">
        <v>36</v>
      </c>
    </row>
    <row r="847" spans="1:29" x14ac:dyDescent="0.25">
      <c r="A847">
        <v>893</v>
      </c>
      <c r="B847">
        <v>8456</v>
      </c>
      <c r="C847">
        <v>8597</v>
      </c>
      <c r="D847">
        <v>17053</v>
      </c>
      <c r="E847" t="s">
        <v>49</v>
      </c>
      <c r="F847">
        <v>39</v>
      </c>
      <c r="G847" t="s">
        <v>65</v>
      </c>
      <c r="H847" t="s">
        <v>30</v>
      </c>
      <c r="I847">
        <v>1</v>
      </c>
      <c r="J847" t="s">
        <v>68</v>
      </c>
      <c r="K847">
        <v>578</v>
      </c>
      <c r="L847" t="s">
        <v>66</v>
      </c>
      <c r="M847">
        <v>2</v>
      </c>
      <c r="N847" t="s">
        <v>44</v>
      </c>
      <c r="O847">
        <v>0.12</v>
      </c>
      <c r="P847" t="s">
        <v>59</v>
      </c>
      <c r="Q847">
        <v>5097</v>
      </c>
      <c r="R847">
        <v>22597</v>
      </c>
      <c r="S847" t="s">
        <v>44</v>
      </c>
      <c r="T847">
        <v>34729</v>
      </c>
      <c r="U847" t="s">
        <v>64</v>
      </c>
      <c r="V847">
        <v>24</v>
      </c>
      <c r="W847">
        <v>2</v>
      </c>
      <c r="X847" t="s">
        <v>31</v>
      </c>
      <c r="Y847" t="s">
        <v>38</v>
      </c>
      <c r="Z847" t="s">
        <v>33</v>
      </c>
      <c r="AA847" t="s">
        <v>34</v>
      </c>
      <c r="AB847" t="s">
        <v>48</v>
      </c>
      <c r="AC847" t="s">
        <v>36</v>
      </c>
    </row>
    <row r="848" spans="1:29" x14ac:dyDescent="0.25">
      <c r="A848">
        <v>894</v>
      </c>
      <c r="B848">
        <v>6212</v>
      </c>
      <c r="C848">
        <v>4437</v>
      </c>
      <c r="D848">
        <v>10649</v>
      </c>
      <c r="E848" t="s">
        <v>29</v>
      </c>
      <c r="F848">
        <v>31</v>
      </c>
      <c r="G848" t="s">
        <v>61</v>
      </c>
      <c r="H848" t="s">
        <v>30</v>
      </c>
      <c r="I848">
        <v>0</v>
      </c>
      <c r="J848" t="s">
        <v>54</v>
      </c>
      <c r="K848">
        <v>665</v>
      </c>
      <c r="L848" t="s">
        <v>55</v>
      </c>
      <c r="M848">
        <v>0</v>
      </c>
      <c r="N848" t="s">
        <v>36</v>
      </c>
      <c r="O848">
        <v>0.56000000000000005</v>
      </c>
      <c r="P848" t="s">
        <v>56</v>
      </c>
      <c r="Q848">
        <v>18044</v>
      </c>
      <c r="R848">
        <v>1903</v>
      </c>
      <c r="S848" t="s">
        <v>44</v>
      </c>
      <c r="T848">
        <v>24211</v>
      </c>
      <c r="U848" t="s">
        <v>64</v>
      </c>
      <c r="V848">
        <v>60</v>
      </c>
      <c r="W848">
        <v>5</v>
      </c>
      <c r="X848" t="s">
        <v>37</v>
      </c>
      <c r="Y848" t="s">
        <v>32</v>
      </c>
      <c r="Z848" t="s">
        <v>39</v>
      </c>
      <c r="AA848" t="s">
        <v>34</v>
      </c>
      <c r="AB848" t="s">
        <v>35</v>
      </c>
      <c r="AC848" t="s">
        <v>36</v>
      </c>
    </row>
    <row r="849" spans="1:29" x14ac:dyDescent="0.25">
      <c r="A849">
        <v>895</v>
      </c>
      <c r="B849">
        <v>15224</v>
      </c>
      <c r="C849">
        <v>5435</v>
      </c>
      <c r="D849">
        <v>20659</v>
      </c>
      <c r="E849" t="s">
        <v>52</v>
      </c>
      <c r="F849">
        <v>54</v>
      </c>
      <c r="G849" t="s">
        <v>53</v>
      </c>
      <c r="H849" t="s">
        <v>30</v>
      </c>
      <c r="I849">
        <v>3</v>
      </c>
      <c r="J849" t="s">
        <v>58</v>
      </c>
      <c r="K849">
        <v>560</v>
      </c>
      <c r="L849" t="s">
        <v>66</v>
      </c>
      <c r="M849">
        <v>4</v>
      </c>
      <c r="N849" t="s">
        <v>44</v>
      </c>
      <c r="O849">
        <v>0.52</v>
      </c>
      <c r="P849" t="s">
        <v>56</v>
      </c>
      <c r="Q849">
        <v>18738</v>
      </c>
      <c r="R849">
        <v>14551</v>
      </c>
      <c r="S849" t="s">
        <v>44</v>
      </c>
      <c r="T849">
        <v>31614</v>
      </c>
      <c r="U849" t="s">
        <v>64</v>
      </c>
      <c r="V849">
        <v>12</v>
      </c>
      <c r="W849">
        <v>1</v>
      </c>
      <c r="X849" t="s">
        <v>42</v>
      </c>
      <c r="Y849" t="s">
        <v>38</v>
      </c>
      <c r="Z849" t="s">
        <v>39</v>
      </c>
      <c r="AA849" t="s">
        <v>40</v>
      </c>
      <c r="AB849" t="s">
        <v>35</v>
      </c>
      <c r="AC849" t="s">
        <v>36</v>
      </c>
    </row>
    <row r="850" spans="1:29" x14ac:dyDescent="0.25">
      <c r="A850">
        <v>896</v>
      </c>
      <c r="B850">
        <v>9970</v>
      </c>
      <c r="C850">
        <v>8435</v>
      </c>
      <c r="D850">
        <v>18405</v>
      </c>
      <c r="E850" t="s">
        <v>46</v>
      </c>
      <c r="F850">
        <v>27</v>
      </c>
      <c r="G850" t="s">
        <v>61</v>
      </c>
      <c r="H850" t="s">
        <v>30</v>
      </c>
      <c r="I850">
        <v>3</v>
      </c>
      <c r="J850" t="s">
        <v>58</v>
      </c>
      <c r="K850">
        <v>646</v>
      </c>
      <c r="L850" t="s">
        <v>55</v>
      </c>
      <c r="M850">
        <v>0</v>
      </c>
      <c r="N850" t="s">
        <v>36</v>
      </c>
      <c r="O850">
        <v>0.25</v>
      </c>
      <c r="P850" t="s">
        <v>59</v>
      </c>
      <c r="Q850">
        <v>6461</v>
      </c>
      <c r="R850">
        <v>27751</v>
      </c>
      <c r="S850" t="s">
        <v>44</v>
      </c>
      <c r="T850">
        <v>18601</v>
      </c>
      <c r="U850" t="s">
        <v>57</v>
      </c>
      <c r="V850">
        <v>60</v>
      </c>
      <c r="W850">
        <v>5</v>
      </c>
      <c r="X850" t="s">
        <v>42</v>
      </c>
      <c r="Y850" t="s">
        <v>32</v>
      </c>
      <c r="Z850" t="s">
        <v>39</v>
      </c>
      <c r="AA850" t="s">
        <v>40</v>
      </c>
      <c r="AB850" t="s">
        <v>35</v>
      </c>
      <c r="AC850" t="s">
        <v>36</v>
      </c>
    </row>
    <row r="851" spans="1:29" x14ac:dyDescent="0.25">
      <c r="A851">
        <v>897</v>
      </c>
      <c r="B851">
        <v>18920</v>
      </c>
      <c r="C851">
        <v>4107</v>
      </c>
      <c r="D851">
        <v>23027</v>
      </c>
      <c r="E851" t="s">
        <v>49</v>
      </c>
      <c r="F851">
        <v>54</v>
      </c>
      <c r="G851" t="s">
        <v>53</v>
      </c>
      <c r="H851" t="s">
        <v>30</v>
      </c>
      <c r="I851">
        <v>3</v>
      </c>
      <c r="J851" t="s">
        <v>58</v>
      </c>
      <c r="K851">
        <v>651</v>
      </c>
      <c r="L851" t="s">
        <v>55</v>
      </c>
      <c r="M851">
        <v>3</v>
      </c>
      <c r="N851" t="s">
        <v>44</v>
      </c>
      <c r="O851">
        <v>0.49</v>
      </c>
      <c r="P851" t="s">
        <v>70</v>
      </c>
      <c r="Q851">
        <v>7044</v>
      </c>
      <c r="R851">
        <v>24278</v>
      </c>
      <c r="S851" t="s">
        <v>44</v>
      </c>
      <c r="T851">
        <v>28796</v>
      </c>
      <c r="U851" t="s">
        <v>64</v>
      </c>
      <c r="V851">
        <v>48</v>
      </c>
      <c r="W851">
        <v>4</v>
      </c>
      <c r="X851" t="s">
        <v>31</v>
      </c>
      <c r="Y851" t="s">
        <v>32</v>
      </c>
      <c r="Z851" t="s">
        <v>33</v>
      </c>
      <c r="AA851" t="s">
        <v>40</v>
      </c>
      <c r="AB851" t="s">
        <v>42</v>
      </c>
      <c r="AC851" t="s">
        <v>36</v>
      </c>
    </row>
    <row r="852" spans="1:29" x14ac:dyDescent="0.25">
      <c r="A852">
        <v>898</v>
      </c>
      <c r="B852">
        <v>0</v>
      </c>
      <c r="C852">
        <v>560</v>
      </c>
      <c r="D852">
        <v>560</v>
      </c>
      <c r="E852" t="s">
        <v>29</v>
      </c>
      <c r="F852">
        <v>40</v>
      </c>
      <c r="G852" t="s">
        <v>65</v>
      </c>
      <c r="H852" t="s">
        <v>30</v>
      </c>
      <c r="I852">
        <v>3</v>
      </c>
      <c r="J852" t="s">
        <v>58</v>
      </c>
      <c r="K852">
        <v>735</v>
      </c>
      <c r="L852" t="s">
        <v>63</v>
      </c>
      <c r="M852">
        <v>0</v>
      </c>
      <c r="N852" t="s">
        <v>36</v>
      </c>
      <c r="O852">
        <v>0.12</v>
      </c>
      <c r="P852" t="s">
        <v>59</v>
      </c>
      <c r="Q852">
        <v>5497</v>
      </c>
      <c r="R852">
        <v>25653</v>
      </c>
      <c r="S852" t="s">
        <v>44</v>
      </c>
      <c r="T852">
        <v>7007</v>
      </c>
      <c r="U852" t="s">
        <v>57</v>
      </c>
      <c r="V852">
        <v>24</v>
      </c>
      <c r="W852">
        <v>2</v>
      </c>
      <c r="X852" t="s">
        <v>42</v>
      </c>
      <c r="Y852" t="s">
        <v>32</v>
      </c>
      <c r="Z852" t="s">
        <v>33</v>
      </c>
      <c r="AA852" t="s">
        <v>40</v>
      </c>
      <c r="AB852" t="s">
        <v>51</v>
      </c>
      <c r="AC852" t="s">
        <v>36</v>
      </c>
    </row>
    <row r="853" spans="1:29" x14ac:dyDescent="0.25">
      <c r="A853">
        <v>899</v>
      </c>
      <c r="B853">
        <v>12314</v>
      </c>
      <c r="C853">
        <v>8785</v>
      </c>
      <c r="D853">
        <v>21099</v>
      </c>
      <c r="E853" t="s">
        <v>49</v>
      </c>
      <c r="F853">
        <v>58</v>
      </c>
      <c r="G853" t="s">
        <v>69</v>
      </c>
      <c r="H853" t="s">
        <v>30</v>
      </c>
      <c r="I853">
        <v>0</v>
      </c>
      <c r="J853" t="s">
        <v>54</v>
      </c>
      <c r="K853">
        <v>752</v>
      </c>
      <c r="L853" t="s">
        <v>71</v>
      </c>
      <c r="M853">
        <v>1</v>
      </c>
      <c r="N853" t="s">
        <v>44</v>
      </c>
      <c r="O853">
        <v>0.57999999999999996</v>
      </c>
      <c r="P853" t="s">
        <v>56</v>
      </c>
      <c r="Q853">
        <v>13751</v>
      </c>
      <c r="R853">
        <v>15141</v>
      </c>
      <c r="S853" t="s">
        <v>44</v>
      </c>
      <c r="T853">
        <v>21514</v>
      </c>
      <c r="U853" t="s">
        <v>64</v>
      </c>
      <c r="V853">
        <v>24</v>
      </c>
      <c r="W853">
        <v>2</v>
      </c>
      <c r="X853" t="s">
        <v>42</v>
      </c>
      <c r="Y853" t="s">
        <v>38</v>
      </c>
      <c r="Z853" t="s">
        <v>39</v>
      </c>
      <c r="AA853" t="s">
        <v>34</v>
      </c>
      <c r="AB853" t="s">
        <v>42</v>
      </c>
      <c r="AC853" t="s">
        <v>36</v>
      </c>
    </row>
    <row r="854" spans="1:29" x14ac:dyDescent="0.25">
      <c r="A854">
        <v>900</v>
      </c>
      <c r="B854">
        <v>9973</v>
      </c>
      <c r="C854">
        <v>0</v>
      </c>
      <c r="D854">
        <v>9973</v>
      </c>
      <c r="E854" t="s">
        <v>29</v>
      </c>
      <c r="F854">
        <v>44</v>
      </c>
      <c r="G854" t="s">
        <v>65</v>
      </c>
      <c r="H854" t="s">
        <v>30</v>
      </c>
      <c r="I854">
        <v>1</v>
      </c>
      <c r="J854" t="s">
        <v>68</v>
      </c>
      <c r="K854">
        <v>704</v>
      </c>
      <c r="L854" t="s">
        <v>63</v>
      </c>
      <c r="M854">
        <v>0</v>
      </c>
      <c r="N854" t="s">
        <v>36</v>
      </c>
      <c r="O854">
        <v>0.36</v>
      </c>
      <c r="P854" t="s">
        <v>67</v>
      </c>
      <c r="Q854">
        <v>9304</v>
      </c>
      <c r="R854">
        <v>2377</v>
      </c>
      <c r="S854" t="s">
        <v>44</v>
      </c>
      <c r="T854">
        <v>18776</v>
      </c>
      <c r="U854" t="s">
        <v>57</v>
      </c>
      <c r="V854">
        <v>48</v>
      </c>
      <c r="W854">
        <v>4</v>
      </c>
      <c r="X854" t="s">
        <v>42</v>
      </c>
      <c r="Y854" t="s">
        <v>38</v>
      </c>
      <c r="Z854" t="s">
        <v>39</v>
      </c>
      <c r="AA854" t="s">
        <v>40</v>
      </c>
      <c r="AB854" t="s">
        <v>48</v>
      </c>
      <c r="AC854" t="s">
        <v>44</v>
      </c>
    </row>
    <row r="855" spans="1:29" x14ac:dyDescent="0.25">
      <c r="A855">
        <v>901</v>
      </c>
      <c r="B855">
        <v>10577</v>
      </c>
      <c r="C855">
        <v>1826</v>
      </c>
      <c r="D855">
        <v>12403</v>
      </c>
      <c r="E855" t="s">
        <v>46</v>
      </c>
      <c r="F855">
        <v>30</v>
      </c>
      <c r="G855" t="s">
        <v>61</v>
      </c>
      <c r="H855" t="s">
        <v>30</v>
      </c>
      <c r="I855">
        <v>3</v>
      </c>
      <c r="J855" t="s">
        <v>58</v>
      </c>
      <c r="K855">
        <v>774</v>
      </c>
      <c r="L855" t="s">
        <v>71</v>
      </c>
      <c r="M855">
        <v>0</v>
      </c>
      <c r="N855" t="s">
        <v>36</v>
      </c>
      <c r="O855">
        <v>0.25</v>
      </c>
      <c r="P855" t="s">
        <v>59</v>
      </c>
      <c r="Q855">
        <v>0</v>
      </c>
      <c r="R855">
        <v>33615</v>
      </c>
      <c r="S855" t="s">
        <v>44</v>
      </c>
      <c r="T855">
        <v>3076</v>
      </c>
      <c r="U855" t="s">
        <v>73</v>
      </c>
      <c r="V855">
        <v>12</v>
      </c>
      <c r="W855">
        <v>1</v>
      </c>
      <c r="X855" t="s">
        <v>42</v>
      </c>
      <c r="Y855" t="s">
        <v>32</v>
      </c>
      <c r="Z855" t="s">
        <v>39</v>
      </c>
      <c r="AA855" t="s">
        <v>34</v>
      </c>
      <c r="AB855" t="s">
        <v>42</v>
      </c>
      <c r="AC855" t="s">
        <v>44</v>
      </c>
    </row>
    <row r="856" spans="1:29" x14ac:dyDescent="0.25">
      <c r="A856">
        <v>902</v>
      </c>
      <c r="B856">
        <v>10070</v>
      </c>
      <c r="C856">
        <v>7629</v>
      </c>
      <c r="D856">
        <v>17699</v>
      </c>
      <c r="E856" t="s">
        <v>52</v>
      </c>
      <c r="F856">
        <v>52</v>
      </c>
      <c r="G856" t="s">
        <v>53</v>
      </c>
      <c r="H856" t="s">
        <v>30</v>
      </c>
      <c r="I856">
        <v>0</v>
      </c>
      <c r="J856" t="s">
        <v>54</v>
      </c>
      <c r="K856">
        <v>570</v>
      </c>
      <c r="L856" t="s">
        <v>66</v>
      </c>
      <c r="M856">
        <v>0</v>
      </c>
      <c r="N856" t="s">
        <v>36</v>
      </c>
      <c r="O856">
        <v>0.28000000000000003</v>
      </c>
      <c r="P856" t="s">
        <v>59</v>
      </c>
      <c r="Q856">
        <v>11058</v>
      </c>
      <c r="R856">
        <v>47148</v>
      </c>
      <c r="S856" t="s">
        <v>44</v>
      </c>
      <c r="T856">
        <v>26350</v>
      </c>
      <c r="U856" t="s">
        <v>64</v>
      </c>
      <c r="V856">
        <v>48</v>
      </c>
      <c r="W856">
        <v>4</v>
      </c>
      <c r="X856" t="s">
        <v>50</v>
      </c>
      <c r="Y856" t="s">
        <v>45</v>
      </c>
      <c r="Z856" t="s">
        <v>33</v>
      </c>
      <c r="AA856" t="s">
        <v>40</v>
      </c>
      <c r="AB856" t="s">
        <v>35</v>
      </c>
      <c r="AC856" t="s">
        <v>36</v>
      </c>
    </row>
    <row r="857" spans="1:29" x14ac:dyDescent="0.25">
      <c r="A857">
        <v>903</v>
      </c>
      <c r="B857">
        <v>10666</v>
      </c>
      <c r="C857">
        <v>8325</v>
      </c>
      <c r="D857">
        <v>18991</v>
      </c>
      <c r="E857" t="s">
        <v>49</v>
      </c>
      <c r="F857">
        <v>35</v>
      </c>
      <c r="G857" t="s">
        <v>65</v>
      </c>
      <c r="H857" t="s">
        <v>41</v>
      </c>
      <c r="I857">
        <v>1</v>
      </c>
      <c r="J857" t="s">
        <v>68</v>
      </c>
      <c r="K857">
        <v>588</v>
      </c>
      <c r="L857" t="s">
        <v>55</v>
      </c>
      <c r="M857">
        <v>2</v>
      </c>
      <c r="N857" t="s">
        <v>44</v>
      </c>
      <c r="O857">
        <v>0.13</v>
      </c>
      <c r="P857" t="s">
        <v>59</v>
      </c>
      <c r="Q857">
        <v>11260</v>
      </c>
      <c r="R857">
        <v>27452</v>
      </c>
      <c r="S857" t="s">
        <v>44</v>
      </c>
      <c r="T857">
        <v>39964</v>
      </c>
      <c r="U857" t="s">
        <v>60</v>
      </c>
      <c r="V857">
        <v>84</v>
      </c>
      <c r="W857">
        <v>7</v>
      </c>
      <c r="X857" t="s">
        <v>50</v>
      </c>
      <c r="Y857" t="s">
        <v>45</v>
      </c>
      <c r="Z857" t="s">
        <v>33</v>
      </c>
      <c r="AA857" t="s">
        <v>40</v>
      </c>
      <c r="AB857" t="s">
        <v>35</v>
      </c>
      <c r="AC857" t="s">
        <v>36</v>
      </c>
    </row>
    <row r="858" spans="1:29" x14ac:dyDescent="0.25">
      <c r="A858">
        <v>904</v>
      </c>
      <c r="B858">
        <v>5600</v>
      </c>
      <c r="C858">
        <v>3138</v>
      </c>
      <c r="D858">
        <v>8738</v>
      </c>
      <c r="E858" t="s">
        <v>29</v>
      </c>
      <c r="F858">
        <v>57</v>
      </c>
      <c r="G858" t="s">
        <v>69</v>
      </c>
      <c r="H858" t="s">
        <v>30</v>
      </c>
      <c r="I858">
        <v>3</v>
      </c>
      <c r="J858" t="s">
        <v>58</v>
      </c>
      <c r="K858">
        <v>550</v>
      </c>
      <c r="L858" t="s">
        <v>66</v>
      </c>
      <c r="M858">
        <v>2</v>
      </c>
      <c r="N858" t="s">
        <v>44</v>
      </c>
      <c r="O858">
        <v>0.59</v>
      </c>
      <c r="P858" t="s">
        <v>56</v>
      </c>
      <c r="Q858">
        <v>18563</v>
      </c>
      <c r="R858">
        <v>22725</v>
      </c>
      <c r="S858" t="s">
        <v>44</v>
      </c>
      <c r="T858">
        <v>17292</v>
      </c>
      <c r="U858" t="s">
        <v>57</v>
      </c>
      <c r="V858">
        <v>72</v>
      </c>
      <c r="W858">
        <v>6</v>
      </c>
      <c r="X858" t="s">
        <v>37</v>
      </c>
      <c r="Y858" t="s">
        <v>38</v>
      </c>
      <c r="Z858" t="s">
        <v>39</v>
      </c>
      <c r="AA858" t="s">
        <v>40</v>
      </c>
      <c r="AB858" t="s">
        <v>48</v>
      </c>
      <c r="AC858" t="s">
        <v>36</v>
      </c>
    </row>
    <row r="859" spans="1:29" x14ac:dyDescent="0.25">
      <c r="A859">
        <v>905</v>
      </c>
      <c r="B859">
        <v>8783</v>
      </c>
      <c r="C859">
        <v>7693</v>
      </c>
      <c r="D859">
        <v>16476</v>
      </c>
      <c r="E859" t="s">
        <v>49</v>
      </c>
      <c r="F859">
        <v>40</v>
      </c>
      <c r="G859" t="s">
        <v>65</v>
      </c>
      <c r="H859" t="s">
        <v>30</v>
      </c>
      <c r="I859">
        <v>1</v>
      </c>
      <c r="J859" t="s">
        <v>68</v>
      </c>
      <c r="K859">
        <v>550</v>
      </c>
      <c r="L859" t="s">
        <v>66</v>
      </c>
      <c r="M859">
        <v>3</v>
      </c>
      <c r="N859" t="s">
        <v>44</v>
      </c>
      <c r="O859">
        <v>0.12</v>
      </c>
      <c r="P859" t="s">
        <v>59</v>
      </c>
      <c r="Q859">
        <v>634</v>
      </c>
      <c r="R859">
        <v>9524</v>
      </c>
      <c r="S859" t="s">
        <v>44</v>
      </c>
      <c r="T859">
        <v>32510</v>
      </c>
      <c r="U859" t="s">
        <v>64</v>
      </c>
      <c r="V859">
        <v>72</v>
      </c>
      <c r="W859">
        <v>6</v>
      </c>
      <c r="X859" t="s">
        <v>42</v>
      </c>
      <c r="Y859" t="s">
        <v>32</v>
      </c>
      <c r="Z859" t="s">
        <v>39</v>
      </c>
      <c r="AA859" t="s">
        <v>40</v>
      </c>
      <c r="AB859" t="s">
        <v>35</v>
      </c>
      <c r="AC859" t="s">
        <v>44</v>
      </c>
    </row>
    <row r="860" spans="1:29" x14ac:dyDescent="0.25">
      <c r="A860">
        <v>906</v>
      </c>
      <c r="B860">
        <v>15226</v>
      </c>
      <c r="C860">
        <v>8264</v>
      </c>
      <c r="D860">
        <v>23490</v>
      </c>
      <c r="E860" t="s">
        <v>49</v>
      </c>
      <c r="F860">
        <v>23</v>
      </c>
      <c r="G860" t="s">
        <v>72</v>
      </c>
      <c r="H860" t="s">
        <v>41</v>
      </c>
      <c r="I860">
        <v>1</v>
      </c>
      <c r="J860" t="s">
        <v>68</v>
      </c>
      <c r="K860">
        <v>595</v>
      </c>
      <c r="L860" t="s">
        <v>55</v>
      </c>
      <c r="M860">
        <v>1</v>
      </c>
      <c r="N860" t="s">
        <v>44</v>
      </c>
      <c r="O860">
        <v>0.43</v>
      </c>
      <c r="P860" t="s">
        <v>70</v>
      </c>
      <c r="Q860">
        <v>10057</v>
      </c>
      <c r="R860">
        <v>47999</v>
      </c>
      <c r="S860" t="s">
        <v>44</v>
      </c>
      <c r="T860">
        <v>29000</v>
      </c>
      <c r="U860" t="s">
        <v>64</v>
      </c>
      <c r="V860">
        <v>72</v>
      </c>
      <c r="W860">
        <v>6</v>
      </c>
      <c r="X860" t="s">
        <v>31</v>
      </c>
      <c r="Y860" t="s">
        <v>45</v>
      </c>
      <c r="Z860" t="s">
        <v>39</v>
      </c>
      <c r="AA860" t="s">
        <v>40</v>
      </c>
      <c r="AB860" t="s">
        <v>43</v>
      </c>
      <c r="AC860" t="s">
        <v>36</v>
      </c>
    </row>
    <row r="861" spans="1:29" x14ac:dyDescent="0.25">
      <c r="A861">
        <v>907</v>
      </c>
      <c r="B861">
        <v>11146</v>
      </c>
      <c r="C861">
        <v>7842</v>
      </c>
      <c r="D861">
        <v>18988</v>
      </c>
      <c r="E861" t="s">
        <v>46</v>
      </c>
      <c r="F861">
        <v>57</v>
      </c>
      <c r="G861" t="s">
        <v>69</v>
      </c>
      <c r="H861" t="s">
        <v>30</v>
      </c>
      <c r="I861">
        <v>0</v>
      </c>
      <c r="J861" t="s">
        <v>54</v>
      </c>
      <c r="K861">
        <v>615</v>
      </c>
      <c r="L861" t="s">
        <v>55</v>
      </c>
      <c r="M861">
        <v>0</v>
      </c>
      <c r="N861" t="s">
        <v>36</v>
      </c>
      <c r="O861">
        <v>0.32</v>
      </c>
      <c r="P861" t="s">
        <v>67</v>
      </c>
      <c r="Q861">
        <v>13345</v>
      </c>
      <c r="R861">
        <v>11698</v>
      </c>
      <c r="S861" t="s">
        <v>44</v>
      </c>
      <c r="T861">
        <v>31383</v>
      </c>
      <c r="U861" t="s">
        <v>64</v>
      </c>
      <c r="V861">
        <v>36</v>
      </c>
      <c r="W861">
        <v>3</v>
      </c>
      <c r="X861" t="s">
        <v>47</v>
      </c>
      <c r="Y861" t="s">
        <v>45</v>
      </c>
      <c r="Z861" t="s">
        <v>39</v>
      </c>
      <c r="AA861" t="s">
        <v>40</v>
      </c>
      <c r="AB861" t="s">
        <v>35</v>
      </c>
      <c r="AC861" t="s">
        <v>36</v>
      </c>
    </row>
    <row r="862" spans="1:29" x14ac:dyDescent="0.25">
      <c r="A862">
        <v>908</v>
      </c>
      <c r="B862">
        <v>6971</v>
      </c>
      <c r="C862">
        <v>6721</v>
      </c>
      <c r="D862">
        <v>13692</v>
      </c>
      <c r="E862" t="s">
        <v>49</v>
      </c>
      <c r="F862">
        <v>28</v>
      </c>
      <c r="G862" t="s">
        <v>61</v>
      </c>
      <c r="H862" t="s">
        <v>30</v>
      </c>
      <c r="I862">
        <v>1</v>
      </c>
      <c r="J862" t="s">
        <v>68</v>
      </c>
      <c r="K862">
        <v>640</v>
      </c>
      <c r="L862" t="s">
        <v>55</v>
      </c>
      <c r="M862">
        <v>0</v>
      </c>
      <c r="N862" t="s">
        <v>36</v>
      </c>
      <c r="O862">
        <v>0.56999999999999995</v>
      </c>
      <c r="P862" t="s">
        <v>56</v>
      </c>
      <c r="Q862">
        <v>10147</v>
      </c>
      <c r="R862">
        <v>43339</v>
      </c>
      <c r="S862" t="s">
        <v>44</v>
      </c>
      <c r="T862">
        <v>0</v>
      </c>
      <c r="U862" t="s">
        <v>73</v>
      </c>
      <c r="V862">
        <v>84</v>
      </c>
      <c r="W862">
        <v>7</v>
      </c>
      <c r="X862" t="s">
        <v>37</v>
      </c>
      <c r="Y862" t="s">
        <v>32</v>
      </c>
      <c r="Z862" t="s">
        <v>39</v>
      </c>
      <c r="AA862" t="s">
        <v>40</v>
      </c>
      <c r="AB862" t="s">
        <v>35</v>
      </c>
      <c r="AC862" t="s">
        <v>36</v>
      </c>
    </row>
    <row r="863" spans="1:29" x14ac:dyDescent="0.25">
      <c r="A863">
        <v>909</v>
      </c>
      <c r="B863">
        <v>15490</v>
      </c>
      <c r="C863">
        <v>7002</v>
      </c>
      <c r="D863">
        <v>22492</v>
      </c>
      <c r="E863" t="s">
        <v>49</v>
      </c>
      <c r="F863">
        <v>43</v>
      </c>
      <c r="G863" t="s">
        <v>65</v>
      </c>
      <c r="H863" t="s">
        <v>30</v>
      </c>
      <c r="I863">
        <v>0</v>
      </c>
      <c r="J863" t="s">
        <v>54</v>
      </c>
      <c r="K863">
        <v>713</v>
      </c>
      <c r="L863" t="s">
        <v>63</v>
      </c>
      <c r="M863">
        <v>0</v>
      </c>
      <c r="N863" t="s">
        <v>36</v>
      </c>
      <c r="O863">
        <v>0.22</v>
      </c>
      <c r="P863" t="s">
        <v>59</v>
      </c>
      <c r="Q863">
        <v>18602</v>
      </c>
      <c r="R863">
        <v>21175</v>
      </c>
      <c r="S863" t="s">
        <v>44</v>
      </c>
      <c r="T863">
        <v>25855</v>
      </c>
      <c r="U863" t="s">
        <v>64</v>
      </c>
      <c r="V863">
        <v>36</v>
      </c>
      <c r="W863">
        <v>3</v>
      </c>
      <c r="X863" t="s">
        <v>47</v>
      </c>
      <c r="Y863" t="s">
        <v>32</v>
      </c>
      <c r="Z863" t="s">
        <v>33</v>
      </c>
      <c r="AA863" t="s">
        <v>40</v>
      </c>
      <c r="AB863" t="s">
        <v>35</v>
      </c>
      <c r="AC863" t="s">
        <v>44</v>
      </c>
    </row>
    <row r="864" spans="1:29" x14ac:dyDescent="0.25">
      <c r="A864">
        <v>910</v>
      </c>
      <c r="B864">
        <v>19589</v>
      </c>
      <c r="C864">
        <v>4225</v>
      </c>
      <c r="D864">
        <v>23814</v>
      </c>
      <c r="E864" t="s">
        <v>29</v>
      </c>
      <c r="F864">
        <v>31</v>
      </c>
      <c r="G864" t="s">
        <v>61</v>
      </c>
      <c r="H864" t="s">
        <v>41</v>
      </c>
      <c r="I864">
        <v>3</v>
      </c>
      <c r="J864" t="s">
        <v>58</v>
      </c>
      <c r="K864">
        <v>752</v>
      </c>
      <c r="L864" t="s">
        <v>71</v>
      </c>
      <c r="M864">
        <v>0</v>
      </c>
      <c r="N864" t="s">
        <v>36</v>
      </c>
      <c r="O864">
        <v>0.37</v>
      </c>
      <c r="P864" t="s">
        <v>67</v>
      </c>
      <c r="Q864">
        <v>1389</v>
      </c>
      <c r="R864">
        <v>12314</v>
      </c>
      <c r="S864" t="s">
        <v>44</v>
      </c>
      <c r="T864">
        <v>25281</v>
      </c>
      <c r="U864" t="s">
        <v>64</v>
      </c>
      <c r="V864">
        <v>12</v>
      </c>
      <c r="W864">
        <v>1</v>
      </c>
      <c r="X864" t="s">
        <v>47</v>
      </c>
      <c r="Y864" t="s">
        <v>45</v>
      </c>
      <c r="Z864" t="s">
        <v>39</v>
      </c>
      <c r="AA864" t="s">
        <v>34</v>
      </c>
      <c r="AB864" t="s">
        <v>35</v>
      </c>
      <c r="AC864" t="s">
        <v>44</v>
      </c>
    </row>
    <row r="865" spans="1:29" x14ac:dyDescent="0.25">
      <c r="A865">
        <v>911</v>
      </c>
      <c r="B865">
        <v>14951</v>
      </c>
      <c r="C865">
        <v>2978</v>
      </c>
      <c r="D865">
        <v>17929</v>
      </c>
      <c r="E865" t="s">
        <v>29</v>
      </c>
      <c r="F865">
        <v>28</v>
      </c>
      <c r="G865" t="s">
        <v>61</v>
      </c>
      <c r="H865" t="s">
        <v>30</v>
      </c>
      <c r="I865">
        <v>1</v>
      </c>
      <c r="J865" t="s">
        <v>68</v>
      </c>
      <c r="K865">
        <v>660</v>
      </c>
      <c r="L865" t="s">
        <v>55</v>
      </c>
      <c r="M865">
        <v>2</v>
      </c>
      <c r="N865" t="s">
        <v>44</v>
      </c>
      <c r="O865">
        <v>0.34</v>
      </c>
      <c r="P865" t="s">
        <v>67</v>
      </c>
      <c r="Q865">
        <v>13071</v>
      </c>
      <c r="R865">
        <v>44197</v>
      </c>
      <c r="S865" t="s">
        <v>44</v>
      </c>
      <c r="T865">
        <v>5841</v>
      </c>
      <c r="U865" t="s">
        <v>57</v>
      </c>
      <c r="V865">
        <v>48</v>
      </c>
      <c r="W865">
        <v>4</v>
      </c>
      <c r="X865" t="s">
        <v>42</v>
      </c>
      <c r="Y865" t="s">
        <v>32</v>
      </c>
      <c r="Z865" t="s">
        <v>39</v>
      </c>
      <c r="AA865" t="s">
        <v>40</v>
      </c>
      <c r="AB865" t="s">
        <v>48</v>
      </c>
      <c r="AC865" t="s">
        <v>44</v>
      </c>
    </row>
    <row r="866" spans="1:29" x14ac:dyDescent="0.25">
      <c r="A866">
        <v>912</v>
      </c>
      <c r="B866">
        <v>14312</v>
      </c>
      <c r="C866">
        <v>7373</v>
      </c>
      <c r="D866">
        <v>21685</v>
      </c>
      <c r="E866" t="s">
        <v>48</v>
      </c>
      <c r="F866">
        <v>49</v>
      </c>
      <c r="G866" t="s">
        <v>53</v>
      </c>
      <c r="H866" t="s">
        <v>30</v>
      </c>
      <c r="I866">
        <v>1</v>
      </c>
      <c r="J866" t="s">
        <v>68</v>
      </c>
      <c r="K866">
        <v>631</v>
      </c>
      <c r="L866" t="s">
        <v>55</v>
      </c>
      <c r="M866">
        <v>3</v>
      </c>
      <c r="N866" t="s">
        <v>44</v>
      </c>
      <c r="O866">
        <v>0.45</v>
      </c>
      <c r="P866" t="s">
        <v>70</v>
      </c>
      <c r="Q866">
        <v>11322</v>
      </c>
      <c r="R866">
        <v>2365</v>
      </c>
      <c r="S866" t="s">
        <v>44</v>
      </c>
      <c r="T866">
        <v>32668</v>
      </c>
      <c r="U866" t="s">
        <v>64</v>
      </c>
      <c r="V866">
        <v>60</v>
      </c>
      <c r="W866">
        <v>5</v>
      </c>
      <c r="X866" t="s">
        <v>31</v>
      </c>
      <c r="Y866" t="s">
        <v>38</v>
      </c>
      <c r="Z866" t="s">
        <v>39</v>
      </c>
      <c r="AA866" t="s">
        <v>40</v>
      </c>
      <c r="AB866" t="s">
        <v>43</v>
      </c>
      <c r="AC866" t="s">
        <v>36</v>
      </c>
    </row>
    <row r="867" spans="1:29" x14ac:dyDescent="0.25">
      <c r="A867">
        <v>913</v>
      </c>
      <c r="B867">
        <v>3990</v>
      </c>
      <c r="C867">
        <v>5907</v>
      </c>
      <c r="D867">
        <v>9897</v>
      </c>
      <c r="E867" t="s">
        <v>29</v>
      </c>
      <c r="F867">
        <v>50</v>
      </c>
      <c r="G867" t="s">
        <v>53</v>
      </c>
      <c r="H867" t="s">
        <v>30</v>
      </c>
      <c r="I867">
        <v>2</v>
      </c>
      <c r="J867" t="s">
        <v>62</v>
      </c>
      <c r="K867">
        <v>672</v>
      </c>
      <c r="L867" t="s">
        <v>63</v>
      </c>
      <c r="M867">
        <v>4</v>
      </c>
      <c r="N867" t="s">
        <v>44</v>
      </c>
      <c r="O867">
        <v>0.13</v>
      </c>
      <c r="P867" t="s">
        <v>59</v>
      </c>
      <c r="Q867">
        <v>4276</v>
      </c>
      <c r="R867">
        <v>32017</v>
      </c>
      <c r="S867" t="s">
        <v>44</v>
      </c>
      <c r="T867">
        <v>27918</v>
      </c>
      <c r="U867" t="s">
        <v>64</v>
      </c>
      <c r="V867">
        <v>84</v>
      </c>
      <c r="W867">
        <v>7</v>
      </c>
      <c r="X867" t="s">
        <v>47</v>
      </c>
      <c r="Y867" t="s">
        <v>32</v>
      </c>
      <c r="Z867" t="s">
        <v>39</v>
      </c>
      <c r="AA867" t="s">
        <v>40</v>
      </c>
      <c r="AB867" t="s">
        <v>42</v>
      </c>
      <c r="AC867" t="s">
        <v>36</v>
      </c>
    </row>
    <row r="868" spans="1:29" x14ac:dyDescent="0.25">
      <c r="A868">
        <v>914</v>
      </c>
      <c r="B868">
        <v>7299</v>
      </c>
      <c r="C868">
        <v>6097</v>
      </c>
      <c r="D868">
        <v>13396</v>
      </c>
      <c r="E868" t="s">
        <v>49</v>
      </c>
      <c r="F868">
        <v>30</v>
      </c>
      <c r="G868" t="s">
        <v>61</v>
      </c>
      <c r="H868" t="s">
        <v>41</v>
      </c>
      <c r="I868">
        <v>3</v>
      </c>
      <c r="J868" t="s">
        <v>58</v>
      </c>
      <c r="K868">
        <v>742</v>
      </c>
      <c r="L868" t="s">
        <v>71</v>
      </c>
      <c r="M868">
        <v>1</v>
      </c>
      <c r="N868" t="s">
        <v>44</v>
      </c>
      <c r="O868">
        <v>0.2</v>
      </c>
      <c r="P868" t="s">
        <v>59</v>
      </c>
      <c r="Q868">
        <v>0</v>
      </c>
      <c r="R868">
        <v>32126</v>
      </c>
      <c r="S868" t="s">
        <v>44</v>
      </c>
      <c r="T868">
        <v>18443</v>
      </c>
      <c r="U868" t="s">
        <v>57</v>
      </c>
      <c r="V868">
        <v>12</v>
      </c>
      <c r="W868">
        <v>1</v>
      </c>
      <c r="X868" t="s">
        <v>47</v>
      </c>
      <c r="Y868" t="s">
        <v>38</v>
      </c>
      <c r="Z868" t="s">
        <v>39</v>
      </c>
      <c r="AA868" t="s">
        <v>40</v>
      </c>
      <c r="AB868" t="s">
        <v>42</v>
      </c>
      <c r="AC868" t="s">
        <v>44</v>
      </c>
    </row>
    <row r="869" spans="1:29" x14ac:dyDescent="0.25">
      <c r="A869">
        <v>915</v>
      </c>
      <c r="B869">
        <v>14997</v>
      </c>
      <c r="C869">
        <v>5656</v>
      </c>
      <c r="D869">
        <v>20653</v>
      </c>
      <c r="E869" t="s">
        <v>48</v>
      </c>
      <c r="F869">
        <v>59</v>
      </c>
      <c r="G869" t="s">
        <v>69</v>
      </c>
      <c r="H869" t="s">
        <v>30</v>
      </c>
      <c r="I869">
        <v>3</v>
      </c>
      <c r="J869" t="s">
        <v>58</v>
      </c>
      <c r="K869">
        <v>740</v>
      </c>
      <c r="L869" t="s">
        <v>63</v>
      </c>
      <c r="M869">
        <v>0</v>
      </c>
      <c r="N869" t="s">
        <v>36</v>
      </c>
      <c r="O869">
        <v>0.21</v>
      </c>
      <c r="P869" t="s">
        <v>59</v>
      </c>
      <c r="Q869">
        <v>1249</v>
      </c>
      <c r="R869">
        <v>43372</v>
      </c>
      <c r="S869" t="s">
        <v>44</v>
      </c>
      <c r="T869">
        <v>33250</v>
      </c>
      <c r="U869" t="s">
        <v>64</v>
      </c>
      <c r="V869">
        <v>60</v>
      </c>
      <c r="W869">
        <v>5</v>
      </c>
      <c r="X869" t="s">
        <v>37</v>
      </c>
      <c r="Y869" t="s">
        <v>32</v>
      </c>
      <c r="Z869" t="s">
        <v>39</v>
      </c>
      <c r="AA869" t="s">
        <v>40</v>
      </c>
      <c r="AB869" t="s">
        <v>42</v>
      </c>
      <c r="AC869" t="s">
        <v>44</v>
      </c>
    </row>
    <row r="870" spans="1:29" x14ac:dyDescent="0.25">
      <c r="A870">
        <v>916</v>
      </c>
      <c r="B870">
        <v>15472</v>
      </c>
      <c r="C870">
        <v>8984</v>
      </c>
      <c r="D870">
        <v>24456</v>
      </c>
      <c r="E870" t="s">
        <v>29</v>
      </c>
      <c r="F870">
        <v>48</v>
      </c>
      <c r="G870" t="s">
        <v>53</v>
      </c>
      <c r="H870" t="s">
        <v>30</v>
      </c>
      <c r="I870">
        <v>2</v>
      </c>
      <c r="J870" t="s">
        <v>62</v>
      </c>
      <c r="K870">
        <v>648</v>
      </c>
      <c r="L870" t="s">
        <v>55</v>
      </c>
      <c r="M870">
        <v>3</v>
      </c>
      <c r="N870" t="s">
        <v>44</v>
      </c>
      <c r="O870">
        <v>0.47</v>
      </c>
      <c r="P870" t="s">
        <v>70</v>
      </c>
      <c r="Q870">
        <v>17629</v>
      </c>
      <c r="R870">
        <v>44134</v>
      </c>
      <c r="S870" t="s">
        <v>44</v>
      </c>
      <c r="T870">
        <v>2922</v>
      </c>
      <c r="U870" t="s">
        <v>73</v>
      </c>
      <c r="V870">
        <v>12</v>
      </c>
      <c r="W870">
        <v>1</v>
      </c>
      <c r="X870" t="s">
        <v>31</v>
      </c>
      <c r="Y870" t="s">
        <v>32</v>
      </c>
      <c r="Z870" t="s">
        <v>39</v>
      </c>
      <c r="AA870" t="s">
        <v>40</v>
      </c>
      <c r="AB870" t="s">
        <v>48</v>
      </c>
      <c r="AC870" t="s">
        <v>36</v>
      </c>
    </row>
    <row r="871" spans="1:29" x14ac:dyDescent="0.25">
      <c r="A871">
        <v>918</v>
      </c>
      <c r="B871">
        <v>6757</v>
      </c>
      <c r="C871">
        <v>8286</v>
      </c>
      <c r="D871">
        <v>15043</v>
      </c>
      <c r="E871" t="s">
        <v>29</v>
      </c>
      <c r="F871">
        <v>33</v>
      </c>
      <c r="G871" t="s">
        <v>61</v>
      </c>
      <c r="H871" t="s">
        <v>30</v>
      </c>
      <c r="I871">
        <v>0</v>
      </c>
      <c r="J871" t="s">
        <v>54</v>
      </c>
      <c r="K871">
        <v>708</v>
      </c>
      <c r="L871" t="s">
        <v>63</v>
      </c>
      <c r="M871">
        <v>3</v>
      </c>
      <c r="N871" t="s">
        <v>44</v>
      </c>
      <c r="O871">
        <v>0.39</v>
      </c>
      <c r="P871" t="s">
        <v>67</v>
      </c>
      <c r="Q871">
        <v>11102</v>
      </c>
      <c r="R871">
        <v>5622</v>
      </c>
      <c r="S871" t="s">
        <v>44</v>
      </c>
      <c r="T871">
        <v>12991</v>
      </c>
      <c r="U871" t="s">
        <v>57</v>
      </c>
      <c r="V871">
        <v>72</v>
      </c>
      <c r="W871">
        <v>6</v>
      </c>
      <c r="X871" t="s">
        <v>47</v>
      </c>
      <c r="Y871" t="s">
        <v>45</v>
      </c>
      <c r="Z871" t="s">
        <v>39</v>
      </c>
      <c r="AA871" t="s">
        <v>34</v>
      </c>
      <c r="AB871" t="s">
        <v>35</v>
      </c>
      <c r="AC871" t="s">
        <v>44</v>
      </c>
    </row>
    <row r="872" spans="1:29" x14ac:dyDescent="0.25">
      <c r="A872">
        <v>919</v>
      </c>
      <c r="B872">
        <v>12395</v>
      </c>
      <c r="C872">
        <v>5901</v>
      </c>
      <c r="D872">
        <v>18296</v>
      </c>
      <c r="E872" t="s">
        <v>46</v>
      </c>
      <c r="F872">
        <v>52</v>
      </c>
      <c r="G872" t="s">
        <v>53</v>
      </c>
      <c r="H872" t="s">
        <v>41</v>
      </c>
      <c r="I872">
        <v>0</v>
      </c>
      <c r="J872" t="s">
        <v>54</v>
      </c>
      <c r="K872">
        <v>705</v>
      </c>
      <c r="L872" t="s">
        <v>63</v>
      </c>
      <c r="M872">
        <v>2</v>
      </c>
      <c r="N872" t="s">
        <v>44</v>
      </c>
      <c r="O872">
        <v>0.21</v>
      </c>
      <c r="P872" t="s">
        <v>59</v>
      </c>
      <c r="Q872">
        <v>16226</v>
      </c>
      <c r="R872">
        <v>30540</v>
      </c>
      <c r="S872" t="s">
        <v>44</v>
      </c>
      <c r="T872">
        <v>39869</v>
      </c>
      <c r="U872" t="s">
        <v>60</v>
      </c>
      <c r="V872">
        <v>48</v>
      </c>
      <c r="W872">
        <v>4</v>
      </c>
      <c r="X872" t="s">
        <v>31</v>
      </c>
      <c r="Y872" t="s">
        <v>45</v>
      </c>
      <c r="Z872" t="s">
        <v>33</v>
      </c>
      <c r="AA872" t="s">
        <v>40</v>
      </c>
      <c r="AB872" t="s">
        <v>35</v>
      </c>
      <c r="AC872" t="s">
        <v>44</v>
      </c>
    </row>
    <row r="873" spans="1:29" x14ac:dyDescent="0.25">
      <c r="A873">
        <v>920</v>
      </c>
      <c r="B873">
        <v>18241</v>
      </c>
      <c r="C873">
        <v>9325</v>
      </c>
      <c r="D873">
        <v>27566</v>
      </c>
      <c r="E873" t="s">
        <v>29</v>
      </c>
      <c r="F873">
        <v>56</v>
      </c>
      <c r="G873" t="s">
        <v>69</v>
      </c>
      <c r="H873" t="s">
        <v>30</v>
      </c>
      <c r="I873">
        <v>1</v>
      </c>
      <c r="J873" t="s">
        <v>68</v>
      </c>
      <c r="K873">
        <v>652</v>
      </c>
      <c r="L873" t="s">
        <v>55</v>
      </c>
      <c r="M873">
        <v>4</v>
      </c>
      <c r="N873" t="s">
        <v>44</v>
      </c>
      <c r="O873">
        <v>0.53</v>
      </c>
      <c r="P873" t="s">
        <v>56</v>
      </c>
      <c r="Q873">
        <v>10588</v>
      </c>
      <c r="R873">
        <v>49524</v>
      </c>
      <c r="S873" t="s">
        <v>44</v>
      </c>
      <c r="T873">
        <v>23733</v>
      </c>
      <c r="U873" t="s">
        <v>64</v>
      </c>
      <c r="V873">
        <v>36</v>
      </c>
      <c r="W873">
        <v>3</v>
      </c>
      <c r="X873" t="s">
        <v>37</v>
      </c>
      <c r="Y873" t="s">
        <v>32</v>
      </c>
      <c r="Z873" t="s">
        <v>39</v>
      </c>
      <c r="AA873" t="s">
        <v>40</v>
      </c>
      <c r="AB873" t="s">
        <v>51</v>
      </c>
      <c r="AC873" t="s">
        <v>36</v>
      </c>
    </row>
    <row r="874" spans="1:29" x14ac:dyDescent="0.25">
      <c r="A874">
        <v>921</v>
      </c>
      <c r="B874">
        <v>7588</v>
      </c>
      <c r="C874">
        <v>4917</v>
      </c>
      <c r="D874">
        <v>12505</v>
      </c>
      <c r="E874" t="s">
        <v>29</v>
      </c>
      <c r="F874">
        <v>57</v>
      </c>
      <c r="G874" t="s">
        <v>69</v>
      </c>
      <c r="H874" t="s">
        <v>41</v>
      </c>
      <c r="I874">
        <v>1</v>
      </c>
      <c r="J874" t="s">
        <v>68</v>
      </c>
      <c r="K874">
        <v>678</v>
      </c>
      <c r="L874" t="s">
        <v>63</v>
      </c>
      <c r="M874">
        <v>3</v>
      </c>
      <c r="N874" t="s">
        <v>44</v>
      </c>
      <c r="O874">
        <v>0.56999999999999995</v>
      </c>
      <c r="P874" t="s">
        <v>56</v>
      </c>
      <c r="Q874">
        <v>0</v>
      </c>
      <c r="R874">
        <v>40551</v>
      </c>
      <c r="S874" t="s">
        <v>44</v>
      </c>
      <c r="T874">
        <v>3473</v>
      </c>
      <c r="U874" t="s">
        <v>73</v>
      </c>
      <c r="V874">
        <v>48</v>
      </c>
      <c r="W874">
        <v>4</v>
      </c>
      <c r="X874" t="s">
        <v>37</v>
      </c>
      <c r="Y874" t="s">
        <v>32</v>
      </c>
      <c r="Z874" t="s">
        <v>39</v>
      </c>
      <c r="AA874" t="s">
        <v>40</v>
      </c>
      <c r="AB874" t="s">
        <v>48</v>
      </c>
      <c r="AC874" t="s">
        <v>36</v>
      </c>
    </row>
    <row r="875" spans="1:29" x14ac:dyDescent="0.25">
      <c r="A875">
        <v>922</v>
      </c>
      <c r="B875">
        <v>19350</v>
      </c>
      <c r="C875">
        <v>8429</v>
      </c>
      <c r="D875">
        <v>27779</v>
      </c>
      <c r="E875" t="s">
        <v>46</v>
      </c>
      <c r="F875">
        <v>46</v>
      </c>
      <c r="G875" t="s">
        <v>53</v>
      </c>
      <c r="H875" t="s">
        <v>30</v>
      </c>
      <c r="I875">
        <v>1</v>
      </c>
      <c r="J875" t="s">
        <v>68</v>
      </c>
      <c r="K875">
        <v>574</v>
      </c>
      <c r="L875" t="s">
        <v>66</v>
      </c>
      <c r="M875">
        <v>2</v>
      </c>
      <c r="N875" t="s">
        <v>44</v>
      </c>
      <c r="O875">
        <v>0.36</v>
      </c>
      <c r="P875" t="s">
        <v>67</v>
      </c>
      <c r="Q875">
        <v>6976</v>
      </c>
      <c r="R875">
        <v>1949</v>
      </c>
      <c r="S875" t="s">
        <v>44</v>
      </c>
      <c r="T875">
        <v>9108</v>
      </c>
      <c r="U875" t="s">
        <v>57</v>
      </c>
      <c r="V875">
        <v>84</v>
      </c>
      <c r="W875">
        <v>7</v>
      </c>
      <c r="X875" t="s">
        <v>37</v>
      </c>
      <c r="Y875" t="s">
        <v>45</v>
      </c>
      <c r="Z875" t="s">
        <v>39</v>
      </c>
      <c r="AA875" t="s">
        <v>40</v>
      </c>
      <c r="AB875" t="s">
        <v>35</v>
      </c>
      <c r="AC875" t="s">
        <v>36</v>
      </c>
    </row>
    <row r="876" spans="1:29" x14ac:dyDescent="0.25">
      <c r="A876">
        <v>923</v>
      </c>
      <c r="B876">
        <v>6944</v>
      </c>
      <c r="C876">
        <v>2530</v>
      </c>
      <c r="D876">
        <v>9474</v>
      </c>
      <c r="E876" t="s">
        <v>49</v>
      </c>
      <c r="F876">
        <v>42</v>
      </c>
      <c r="G876" t="s">
        <v>65</v>
      </c>
      <c r="H876" t="s">
        <v>41</v>
      </c>
      <c r="I876">
        <v>1</v>
      </c>
      <c r="J876" t="s">
        <v>68</v>
      </c>
      <c r="K876">
        <v>592</v>
      </c>
      <c r="L876" t="s">
        <v>55</v>
      </c>
      <c r="M876">
        <v>3</v>
      </c>
      <c r="N876" t="s">
        <v>44</v>
      </c>
      <c r="O876">
        <v>0.28000000000000003</v>
      </c>
      <c r="P876" t="s">
        <v>59</v>
      </c>
      <c r="Q876">
        <v>4675</v>
      </c>
      <c r="R876">
        <v>49396</v>
      </c>
      <c r="S876" t="s">
        <v>44</v>
      </c>
      <c r="T876">
        <v>29715</v>
      </c>
      <c r="U876" t="s">
        <v>64</v>
      </c>
      <c r="V876">
        <v>60</v>
      </c>
      <c r="W876">
        <v>5</v>
      </c>
      <c r="X876" t="s">
        <v>42</v>
      </c>
      <c r="Y876" t="s">
        <v>32</v>
      </c>
      <c r="Z876" t="s">
        <v>33</v>
      </c>
      <c r="AA876" t="s">
        <v>40</v>
      </c>
      <c r="AB876" t="s">
        <v>42</v>
      </c>
      <c r="AC876" t="s">
        <v>36</v>
      </c>
    </row>
    <row r="877" spans="1:29" x14ac:dyDescent="0.25">
      <c r="A877">
        <v>924</v>
      </c>
      <c r="B877">
        <v>15395</v>
      </c>
      <c r="C877">
        <v>1960</v>
      </c>
      <c r="D877">
        <v>17355</v>
      </c>
      <c r="E877" t="s">
        <v>49</v>
      </c>
      <c r="F877">
        <v>24</v>
      </c>
      <c r="G877" t="s">
        <v>72</v>
      </c>
      <c r="H877" t="s">
        <v>41</v>
      </c>
      <c r="I877">
        <v>0</v>
      </c>
      <c r="J877" t="s">
        <v>54</v>
      </c>
      <c r="K877">
        <v>779</v>
      </c>
      <c r="L877" t="s">
        <v>71</v>
      </c>
      <c r="M877">
        <v>3</v>
      </c>
      <c r="N877" t="s">
        <v>44</v>
      </c>
      <c r="O877">
        <v>0.22</v>
      </c>
      <c r="P877" t="s">
        <v>59</v>
      </c>
      <c r="Q877">
        <v>0</v>
      </c>
      <c r="R877">
        <v>42800</v>
      </c>
      <c r="S877" t="s">
        <v>44</v>
      </c>
      <c r="T877">
        <v>33210</v>
      </c>
      <c r="U877" t="s">
        <v>64</v>
      </c>
      <c r="V877">
        <v>12</v>
      </c>
      <c r="W877">
        <v>1</v>
      </c>
      <c r="X877" t="s">
        <v>47</v>
      </c>
      <c r="Y877" t="s">
        <v>45</v>
      </c>
      <c r="Z877" t="s">
        <v>39</v>
      </c>
      <c r="AA877" t="s">
        <v>34</v>
      </c>
      <c r="AB877" t="s">
        <v>35</v>
      </c>
      <c r="AC877" t="s">
        <v>44</v>
      </c>
    </row>
    <row r="878" spans="1:29" x14ac:dyDescent="0.25">
      <c r="A878">
        <v>925</v>
      </c>
      <c r="B878">
        <v>19072</v>
      </c>
      <c r="C878">
        <v>7045</v>
      </c>
      <c r="D878">
        <v>26117</v>
      </c>
      <c r="E878" t="s">
        <v>46</v>
      </c>
      <c r="F878">
        <v>51</v>
      </c>
      <c r="G878" t="s">
        <v>53</v>
      </c>
      <c r="H878" t="s">
        <v>30</v>
      </c>
      <c r="I878">
        <v>3</v>
      </c>
      <c r="J878" t="s">
        <v>58</v>
      </c>
      <c r="K878">
        <v>633</v>
      </c>
      <c r="L878" t="s">
        <v>55</v>
      </c>
      <c r="M878">
        <v>4</v>
      </c>
      <c r="N878" t="s">
        <v>44</v>
      </c>
      <c r="O878">
        <v>0.12</v>
      </c>
      <c r="P878" t="s">
        <v>59</v>
      </c>
      <c r="Q878">
        <v>7953</v>
      </c>
      <c r="R878">
        <v>31912</v>
      </c>
      <c r="S878" t="s">
        <v>44</v>
      </c>
      <c r="T878">
        <v>38317</v>
      </c>
      <c r="U878" t="s">
        <v>60</v>
      </c>
      <c r="V878">
        <v>24</v>
      </c>
      <c r="W878">
        <v>2</v>
      </c>
      <c r="X878" t="s">
        <v>31</v>
      </c>
      <c r="Y878" t="s">
        <v>32</v>
      </c>
      <c r="Z878" t="s">
        <v>39</v>
      </c>
      <c r="AA878" t="s">
        <v>34</v>
      </c>
      <c r="AB878" t="s">
        <v>35</v>
      </c>
      <c r="AC878" t="s">
        <v>36</v>
      </c>
    </row>
    <row r="879" spans="1:29" x14ac:dyDescent="0.25">
      <c r="A879">
        <v>926</v>
      </c>
      <c r="B879">
        <v>6243</v>
      </c>
      <c r="C879">
        <v>1048</v>
      </c>
      <c r="D879">
        <v>7291</v>
      </c>
      <c r="E879" t="s">
        <v>29</v>
      </c>
      <c r="F879">
        <v>38</v>
      </c>
      <c r="G879" t="s">
        <v>65</v>
      </c>
      <c r="H879" t="s">
        <v>30</v>
      </c>
      <c r="I879">
        <v>1</v>
      </c>
      <c r="J879" t="s">
        <v>68</v>
      </c>
      <c r="K879">
        <v>744</v>
      </c>
      <c r="L879" t="s">
        <v>71</v>
      </c>
      <c r="M879">
        <v>2</v>
      </c>
      <c r="N879" t="s">
        <v>44</v>
      </c>
      <c r="O879">
        <v>0.23</v>
      </c>
      <c r="P879" t="s">
        <v>59</v>
      </c>
      <c r="Q879">
        <v>4377</v>
      </c>
      <c r="R879">
        <v>32161</v>
      </c>
      <c r="S879" t="s">
        <v>44</v>
      </c>
      <c r="T879">
        <v>34362</v>
      </c>
      <c r="U879" t="s">
        <v>64</v>
      </c>
      <c r="V879">
        <v>24</v>
      </c>
      <c r="W879">
        <v>2</v>
      </c>
      <c r="X879" t="s">
        <v>37</v>
      </c>
      <c r="Y879" t="s">
        <v>45</v>
      </c>
      <c r="Z879" t="s">
        <v>33</v>
      </c>
      <c r="AA879" t="s">
        <v>40</v>
      </c>
      <c r="AB879" t="s">
        <v>42</v>
      </c>
      <c r="AC879" t="s">
        <v>36</v>
      </c>
    </row>
    <row r="880" spans="1:29" x14ac:dyDescent="0.25">
      <c r="A880">
        <v>927</v>
      </c>
      <c r="B880">
        <v>11916</v>
      </c>
      <c r="C880">
        <v>5772</v>
      </c>
      <c r="D880">
        <v>17688</v>
      </c>
      <c r="E880" t="s">
        <v>46</v>
      </c>
      <c r="F880">
        <v>58</v>
      </c>
      <c r="G880" t="s">
        <v>69</v>
      </c>
      <c r="H880" t="s">
        <v>30</v>
      </c>
      <c r="I880">
        <v>3</v>
      </c>
      <c r="J880" t="s">
        <v>58</v>
      </c>
      <c r="K880">
        <v>550</v>
      </c>
      <c r="L880" t="s">
        <v>66</v>
      </c>
      <c r="M880">
        <v>0</v>
      </c>
      <c r="N880" t="s">
        <v>36</v>
      </c>
      <c r="O880">
        <v>0.43</v>
      </c>
      <c r="P880" t="s">
        <v>70</v>
      </c>
      <c r="Q880">
        <v>10599</v>
      </c>
      <c r="R880">
        <v>44387</v>
      </c>
      <c r="S880" t="s">
        <v>44</v>
      </c>
      <c r="T880">
        <v>5889</v>
      </c>
      <c r="U880" t="s">
        <v>57</v>
      </c>
      <c r="V880">
        <v>48</v>
      </c>
      <c r="W880">
        <v>4</v>
      </c>
      <c r="X880" t="s">
        <v>47</v>
      </c>
      <c r="Y880" t="s">
        <v>45</v>
      </c>
      <c r="Z880" t="s">
        <v>39</v>
      </c>
      <c r="AA880" t="s">
        <v>34</v>
      </c>
      <c r="AB880" t="s">
        <v>35</v>
      </c>
      <c r="AC880" t="s">
        <v>36</v>
      </c>
    </row>
    <row r="881" spans="1:29" x14ac:dyDescent="0.25">
      <c r="A881">
        <v>928</v>
      </c>
      <c r="B881">
        <v>11984</v>
      </c>
      <c r="C881">
        <v>0</v>
      </c>
      <c r="D881">
        <v>11984</v>
      </c>
      <c r="E881" t="s">
        <v>29</v>
      </c>
      <c r="F881">
        <v>44</v>
      </c>
      <c r="G881" t="s">
        <v>65</v>
      </c>
      <c r="H881" t="s">
        <v>30</v>
      </c>
      <c r="I881">
        <v>1</v>
      </c>
      <c r="J881" t="s">
        <v>68</v>
      </c>
      <c r="K881">
        <v>600</v>
      </c>
      <c r="L881" t="s">
        <v>55</v>
      </c>
      <c r="M881">
        <v>1</v>
      </c>
      <c r="N881" t="s">
        <v>44</v>
      </c>
      <c r="O881">
        <v>0.37</v>
      </c>
      <c r="P881" t="s">
        <v>67</v>
      </c>
      <c r="Q881">
        <v>7058</v>
      </c>
      <c r="R881">
        <v>16508</v>
      </c>
      <c r="S881" t="s">
        <v>44</v>
      </c>
      <c r="T881">
        <v>25021</v>
      </c>
      <c r="U881" t="s">
        <v>64</v>
      </c>
      <c r="V881">
        <v>72</v>
      </c>
      <c r="W881">
        <v>6</v>
      </c>
      <c r="X881" t="s">
        <v>47</v>
      </c>
      <c r="Y881" t="s">
        <v>38</v>
      </c>
      <c r="Z881" t="s">
        <v>33</v>
      </c>
      <c r="AA881" t="s">
        <v>40</v>
      </c>
      <c r="AB881" t="s">
        <v>43</v>
      </c>
      <c r="AC881" t="s">
        <v>36</v>
      </c>
    </row>
    <row r="882" spans="1:29" x14ac:dyDescent="0.25">
      <c r="A882">
        <v>929</v>
      </c>
      <c r="B882">
        <v>0</v>
      </c>
      <c r="C882">
        <v>2964</v>
      </c>
      <c r="D882">
        <v>2964</v>
      </c>
      <c r="E882" t="s">
        <v>48</v>
      </c>
      <c r="F882">
        <v>43</v>
      </c>
      <c r="G882" t="s">
        <v>65</v>
      </c>
      <c r="H882" t="s">
        <v>30</v>
      </c>
      <c r="I882">
        <v>2</v>
      </c>
      <c r="J882" t="s">
        <v>62</v>
      </c>
      <c r="K882">
        <v>679</v>
      </c>
      <c r="L882" t="s">
        <v>63</v>
      </c>
      <c r="M882">
        <v>4</v>
      </c>
      <c r="N882" t="s">
        <v>44</v>
      </c>
      <c r="O882">
        <v>0.56999999999999995</v>
      </c>
      <c r="P882" t="s">
        <v>56</v>
      </c>
      <c r="Q882">
        <v>17206</v>
      </c>
      <c r="R882">
        <v>45592</v>
      </c>
      <c r="S882" t="s">
        <v>44</v>
      </c>
      <c r="T882">
        <v>9212</v>
      </c>
      <c r="U882" t="s">
        <v>57</v>
      </c>
      <c r="V882">
        <v>72</v>
      </c>
      <c r="W882">
        <v>6</v>
      </c>
      <c r="X882" t="s">
        <v>42</v>
      </c>
      <c r="Y882" t="s">
        <v>45</v>
      </c>
      <c r="Z882" t="s">
        <v>39</v>
      </c>
      <c r="AA882" t="s">
        <v>34</v>
      </c>
      <c r="AB882" t="s">
        <v>42</v>
      </c>
      <c r="AC882" t="s">
        <v>36</v>
      </c>
    </row>
    <row r="883" spans="1:29" x14ac:dyDescent="0.25">
      <c r="A883">
        <v>930</v>
      </c>
      <c r="B883">
        <v>11181</v>
      </c>
      <c r="C883">
        <v>7137</v>
      </c>
      <c r="D883">
        <v>18318</v>
      </c>
      <c r="E883" t="s">
        <v>49</v>
      </c>
      <c r="F883">
        <v>42</v>
      </c>
      <c r="G883" t="s">
        <v>65</v>
      </c>
      <c r="H883" t="s">
        <v>30</v>
      </c>
      <c r="I883">
        <v>1</v>
      </c>
      <c r="J883" t="s">
        <v>68</v>
      </c>
      <c r="K883">
        <v>759</v>
      </c>
      <c r="L883" t="s">
        <v>71</v>
      </c>
      <c r="M883">
        <v>2</v>
      </c>
      <c r="N883" t="s">
        <v>44</v>
      </c>
      <c r="O883">
        <v>0.3</v>
      </c>
      <c r="P883" t="s">
        <v>59</v>
      </c>
      <c r="Q883">
        <v>11894</v>
      </c>
      <c r="R883">
        <v>43713</v>
      </c>
      <c r="S883" t="s">
        <v>44</v>
      </c>
      <c r="T883">
        <v>32971</v>
      </c>
      <c r="U883" t="s">
        <v>64</v>
      </c>
      <c r="V883">
        <v>48</v>
      </c>
      <c r="W883">
        <v>4</v>
      </c>
      <c r="X883" t="s">
        <v>31</v>
      </c>
      <c r="Y883" t="s">
        <v>32</v>
      </c>
      <c r="Z883" t="s">
        <v>39</v>
      </c>
      <c r="AA883" t="s">
        <v>34</v>
      </c>
      <c r="AB883" t="s">
        <v>51</v>
      </c>
      <c r="AC883" t="s">
        <v>44</v>
      </c>
    </row>
    <row r="884" spans="1:29" x14ac:dyDescent="0.25">
      <c r="A884">
        <v>931</v>
      </c>
      <c r="B884">
        <v>4482</v>
      </c>
      <c r="C884">
        <v>963</v>
      </c>
      <c r="D884">
        <v>5445</v>
      </c>
      <c r="E884" t="s">
        <v>49</v>
      </c>
      <c r="F884">
        <v>22</v>
      </c>
      <c r="G884" t="s">
        <v>72</v>
      </c>
      <c r="H884" t="s">
        <v>30</v>
      </c>
      <c r="I884">
        <v>1</v>
      </c>
      <c r="J884" t="s">
        <v>68</v>
      </c>
      <c r="K884">
        <v>675</v>
      </c>
      <c r="L884" t="s">
        <v>63</v>
      </c>
      <c r="M884">
        <v>3</v>
      </c>
      <c r="N884" t="s">
        <v>44</v>
      </c>
      <c r="O884">
        <v>0.45</v>
      </c>
      <c r="P884" t="s">
        <v>70</v>
      </c>
      <c r="Q884">
        <v>2939</v>
      </c>
      <c r="R884">
        <v>1919</v>
      </c>
      <c r="S884" t="s">
        <v>44</v>
      </c>
      <c r="T884">
        <v>4201</v>
      </c>
      <c r="U884" t="s">
        <v>73</v>
      </c>
      <c r="V884">
        <v>36</v>
      </c>
      <c r="W884">
        <v>3</v>
      </c>
      <c r="X884" t="s">
        <v>31</v>
      </c>
      <c r="Y884" t="s">
        <v>32</v>
      </c>
      <c r="Z884" t="s">
        <v>39</v>
      </c>
      <c r="AA884" t="s">
        <v>34</v>
      </c>
      <c r="AB884" t="s">
        <v>43</v>
      </c>
      <c r="AC884" t="s">
        <v>36</v>
      </c>
    </row>
    <row r="885" spans="1:29" x14ac:dyDescent="0.25">
      <c r="A885">
        <v>932</v>
      </c>
      <c r="B885">
        <v>2951</v>
      </c>
      <c r="C885">
        <v>536</v>
      </c>
      <c r="D885">
        <v>3487</v>
      </c>
      <c r="E885" t="s">
        <v>52</v>
      </c>
      <c r="F885">
        <v>51</v>
      </c>
      <c r="G885" t="s">
        <v>53</v>
      </c>
      <c r="H885" t="s">
        <v>30</v>
      </c>
      <c r="I885">
        <v>1</v>
      </c>
      <c r="J885" t="s">
        <v>68</v>
      </c>
      <c r="K885">
        <v>785</v>
      </c>
      <c r="L885" t="s">
        <v>71</v>
      </c>
      <c r="M885">
        <v>2</v>
      </c>
      <c r="N885" t="s">
        <v>44</v>
      </c>
      <c r="O885">
        <v>0.34</v>
      </c>
      <c r="P885" t="s">
        <v>67</v>
      </c>
      <c r="Q885">
        <v>1031</v>
      </c>
      <c r="R885">
        <v>42595</v>
      </c>
      <c r="S885" t="s">
        <v>44</v>
      </c>
      <c r="T885">
        <v>25346</v>
      </c>
      <c r="U885" t="s">
        <v>64</v>
      </c>
      <c r="V885">
        <v>24</v>
      </c>
      <c r="W885">
        <v>2</v>
      </c>
      <c r="X885" t="s">
        <v>37</v>
      </c>
      <c r="Y885" t="s">
        <v>45</v>
      </c>
      <c r="Z885" t="s">
        <v>33</v>
      </c>
      <c r="AA885" t="s">
        <v>40</v>
      </c>
      <c r="AB885" t="s">
        <v>42</v>
      </c>
      <c r="AC885" t="s">
        <v>36</v>
      </c>
    </row>
    <row r="886" spans="1:29" x14ac:dyDescent="0.25">
      <c r="A886">
        <v>934</v>
      </c>
      <c r="B886">
        <v>4717</v>
      </c>
      <c r="C886">
        <v>7179</v>
      </c>
      <c r="D886">
        <v>11896</v>
      </c>
      <c r="E886" t="s">
        <v>49</v>
      </c>
      <c r="F886">
        <v>48</v>
      </c>
      <c r="G886" t="s">
        <v>53</v>
      </c>
      <c r="H886" t="s">
        <v>41</v>
      </c>
      <c r="I886">
        <v>2</v>
      </c>
      <c r="J886" t="s">
        <v>62</v>
      </c>
      <c r="K886">
        <v>751</v>
      </c>
      <c r="L886" t="s">
        <v>71</v>
      </c>
      <c r="M886">
        <v>1</v>
      </c>
      <c r="N886" t="s">
        <v>44</v>
      </c>
      <c r="O886">
        <v>0.23</v>
      </c>
      <c r="P886" t="s">
        <v>59</v>
      </c>
      <c r="Q886">
        <v>562</v>
      </c>
      <c r="R886">
        <v>0</v>
      </c>
      <c r="S886" t="s">
        <v>36</v>
      </c>
      <c r="T886">
        <v>14715</v>
      </c>
      <c r="U886" t="s">
        <v>57</v>
      </c>
      <c r="V886">
        <v>60</v>
      </c>
      <c r="W886">
        <v>5</v>
      </c>
      <c r="X886" t="s">
        <v>47</v>
      </c>
      <c r="Y886" t="s">
        <v>38</v>
      </c>
      <c r="Z886" t="s">
        <v>39</v>
      </c>
      <c r="AA886" t="s">
        <v>40</v>
      </c>
      <c r="AB886" t="s">
        <v>35</v>
      </c>
      <c r="AC886" t="s">
        <v>44</v>
      </c>
    </row>
    <row r="887" spans="1:29" x14ac:dyDescent="0.25">
      <c r="A887">
        <v>935</v>
      </c>
      <c r="B887">
        <v>11692</v>
      </c>
      <c r="C887">
        <v>7967</v>
      </c>
      <c r="D887">
        <v>19659</v>
      </c>
      <c r="E887" t="s">
        <v>29</v>
      </c>
      <c r="F887">
        <v>52</v>
      </c>
      <c r="G887" t="s">
        <v>53</v>
      </c>
      <c r="H887" t="s">
        <v>30</v>
      </c>
      <c r="I887">
        <v>1</v>
      </c>
      <c r="J887" t="s">
        <v>68</v>
      </c>
      <c r="K887">
        <v>618</v>
      </c>
      <c r="L887" t="s">
        <v>55</v>
      </c>
      <c r="M887">
        <v>0</v>
      </c>
      <c r="N887" t="s">
        <v>36</v>
      </c>
      <c r="O887">
        <v>0.33</v>
      </c>
      <c r="P887" t="s">
        <v>67</v>
      </c>
      <c r="Q887">
        <v>10730</v>
      </c>
      <c r="R887">
        <v>33298</v>
      </c>
      <c r="S887" t="s">
        <v>44</v>
      </c>
      <c r="T887">
        <v>6681</v>
      </c>
      <c r="U887" t="s">
        <v>57</v>
      </c>
      <c r="V887">
        <v>24</v>
      </c>
      <c r="W887">
        <v>2</v>
      </c>
      <c r="X887" t="s">
        <v>31</v>
      </c>
      <c r="Y887" t="s">
        <v>45</v>
      </c>
      <c r="Z887" t="s">
        <v>39</v>
      </c>
      <c r="AA887" t="s">
        <v>40</v>
      </c>
      <c r="AB887" t="s">
        <v>42</v>
      </c>
      <c r="AC887" t="s">
        <v>36</v>
      </c>
    </row>
    <row r="888" spans="1:29" x14ac:dyDescent="0.25">
      <c r="A888">
        <v>936</v>
      </c>
      <c r="B888">
        <v>9311</v>
      </c>
      <c r="C888">
        <v>8734</v>
      </c>
      <c r="D888">
        <v>18045</v>
      </c>
      <c r="E888" t="s">
        <v>48</v>
      </c>
      <c r="F888">
        <v>25</v>
      </c>
      <c r="G888" t="s">
        <v>61</v>
      </c>
      <c r="H888" t="s">
        <v>30</v>
      </c>
      <c r="I888">
        <v>1</v>
      </c>
      <c r="J888" t="s">
        <v>68</v>
      </c>
      <c r="K888">
        <v>558</v>
      </c>
      <c r="L888" t="s">
        <v>66</v>
      </c>
      <c r="M888">
        <v>0</v>
      </c>
      <c r="N888" t="s">
        <v>36</v>
      </c>
      <c r="O888">
        <v>0.34</v>
      </c>
      <c r="P888" t="s">
        <v>67</v>
      </c>
      <c r="Q888">
        <v>16724</v>
      </c>
      <c r="R888">
        <v>40617</v>
      </c>
      <c r="S888" t="s">
        <v>44</v>
      </c>
      <c r="T888">
        <v>37446</v>
      </c>
      <c r="U888" t="s">
        <v>60</v>
      </c>
      <c r="V888">
        <v>60</v>
      </c>
      <c r="W888">
        <v>5</v>
      </c>
      <c r="X888" t="s">
        <v>31</v>
      </c>
      <c r="Y888" t="s">
        <v>45</v>
      </c>
      <c r="Z888" t="s">
        <v>39</v>
      </c>
      <c r="AA888" t="s">
        <v>40</v>
      </c>
      <c r="AB888" t="s">
        <v>35</v>
      </c>
      <c r="AC888" t="s">
        <v>36</v>
      </c>
    </row>
    <row r="889" spans="1:29" x14ac:dyDescent="0.25">
      <c r="A889">
        <v>937</v>
      </c>
      <c r="B889">
        <v>2768</v>
      </c>
      <c r="C889">
        <v>845</v>
      </c>
      <c r="D889">
        <v>3613</v>
      </c>
      <c r="E889" t="s">
        <v>29</v>
      </c>
      <c r="F889">
        <v>58</v>
      </c>
      <c r="G889" t="s">
        <v>69</v>
      </c>
      <c r="H889" t="s">
        <v>30</v>
      </c>
      <c r="I889">
        <v>3</v>
      </c>
      <c r="J889" t="s">
        <v>58</v>
      </c>
      <c r="K889">
        <v>551</v>
      </c>
      <c r="L889" t="s">
        <v>66</v>
      </c>
      <c r="M889">
        <v>1</v>
      </c>
      <c r="N889" t="s">
        <v>44</v>
      </c>
      <c r="O889">
        <v>0.45</v>
      </c>
      <c r="P889" t="s">
        <v>70</v>
      </c>
      <c r="Q889">
        <v>16152</v>
      </c>
      <c r="R889">
        <v>6929</v>
      </c>
      <c r="S889" t="s">
        <v>44</v>
      </c>
      <c r="T889">
        <v>17720</v>
      </c>
      <c r="U889" t="s">
        <v>57</v>
      </c>
      <c r="V889">
        <v>12</v>
      </c>
      <c r="W889">
        <v>1</v>
      </c>
      <c r="X889" t="s">
        <v>37</v>
      </c>
      <c r="Y889" t="s">
        <v>32</v>
      </c>
      <c r="Z889" t="s">
        <v>33</v>
      </c>
      <c r="AA889" t="s">
        <v>40</v>
      </c>
      <c r="AB889" t="s">
        <v>35</v>
      </c>
      <c r="AC889" t="s">
        <v>36</v>
      </c>
    </row>
    <row r="890" spans="1:29" x14ac:dyDescent="0.25">
      <c r="A890">
        <v>938</v>
      </c>
      <c r="B890">
        <v>7490</v>
      </c>
      <c r="C890">
        <v>5777</v>
      </c>
      <c r="D890">
        <v>13267</v>
      </c>
      <c r="E890" t="s">
        <v>52</v>
      </c>
      <c r="F890">
        <v>30</v>
      </c>
      <c r="G890" t="s">
        <v>61</v>
      </c>
      <c r="H890" t="s">
        <v>30</v>
      </c>
      <c r="I890">
        <v>2</v>
      </c>
      <c r="J890" t="s">
        <v>62</v>
      </c>
      <c r="K890">
        <v>711</v>
      </c>
      <c r="L890" t="s">
        <v>63</v>
      </c>
      <c r="M890">
        <v>4</v>
      </c>
      <c r="N890" t="s">
        <v>44</v>
      </c>
      <c r="O890">
        <v>0.56999999999999995</v>
      </c>
      <c r="P890" t="s">
        <v>56</v>
      </c>
      <c r="Q890">
        <v>13998</v>
      </c>
      <c r="R890">
        <v>37117</v>
      </c>
      <c r="S890" t="s">
        <v>44</v>
      </c>
      <c r="T890">
        <v>2667</v>
      </c>
      <c r="U890" t="s">
        <v>73</v>
      </c>
      <c r="V890">
        <v>36</v>
      </c>
      <c r="W890">
        <v>3</v>
      </c>
      <c r="X890" t="s">
        <v>50</v>
      </c>
      <c r="Y890" t="s">
        <v>32</v>
      </c>
      <c r="Z890" t="s">
        <v>39</v>
      </c>
      <c r="AA890" t="s">
        <v>40</v>
      </c>
      <c r="AB890" t="s">
        <v>43</v>
      </c>
      <c r="AC890" t="s">
        <v>36</v>
      </c>
    </row>
    <row r="891" spans="1:29" x14ac:dyDescent="0.25">
      <c r="A891">
        <v>939</v>
      </c>
      <c r="B891">
        <v>17534</v>
      </c>
      <c r="C891">
        <v>3036</v>
      </c>
      <c r="D891">
        <v>20570</v>
      </c>
      <c r="E891" t="s">
        <v>49</v>
      </c>
      <c r="F891">
        <v>44</v>
      </c>
      <c r="G891" t="s">
        <v>65</v>
      </c>
      <c r="H891" t="s">
        <v>30</v>
      </c>
      <c r="I891">
        <v>1</v>
      </c>
      <c r="J891" t="s">
        <v>68</v>
      </c>
      <c r="K891">
        <v>737</v>
      </c>
      <c r="L891" t="s">
        <v>63</v>
      </c>
      <c r="M891">
        <v>4</v>
      </c>
      <c r="N891" t="s">
        <v>44</v>
      </c>
      <c r="O891">
        <v>0.26</v>
      </c>
      <c r="P891" t="s">
        <v>59</v>
      </c>
      <c r="Q891">
        <v>18680</v>
      </c>
      <c r="R891">
        <v>0</v>
      </c>
      <c r="S891" t="s">
        <v>36</v>
      </c>
      <c r="T891">
        <v>29152</v>
      </c>
      <c r="U891" t="s">
        <v>64</v>
      </c>
      <c r="V891">
        <v>48</v>
      </c>
      <c r="W891">
        <v>4</v>
      </c>
      <c r="X891" t="s">
        <v>47</v>
      </c>
      <c r="Y891" t="s">
        <v>32</v>
      </c>
      <c r="Z891" t="s">
        <v>39</v>
      </c>
      <c r="AA891" t="s">
        <v>34</v>
      </c>
      <c r="AB891" t="s">
        <v>51</v>
      </c>
      <c r="AC891" t="s">
        <v>36</v>
      </c>
    </row>
    <row r="892" spans="1:29" x14ac:dyDescent="0.25">
      <c r="A892">
        <v>940</v>
      </c>
      <c r="B892">
        <v>8645</v>
      </c>
      <c r="C892">
        <v>5947</v>
      </c>
      <c r="D892">
        <v>14592</v>
      </c>
      <c r="E892" t="s">
        <v>29</v>
      </c>
      <c r="F892">
        <v>55</v>
      </c>
      <c r="G892" t="s">
        <v>69</v>
      </c>
      <c r="H892" t="s">
        <v>30</v>
      </c>
      <c r="I892">
        <v>3</v>
      </c>
      <c r="J892" t="s">
        <v>58</v>
      </c>
      <c r="K892">
        <v>779</v>
      </c>
      <c r="L892" t="s">
        <v>71</v>
      </c>
      <c r="M892">
        <v>3</v>
      </c>
      <c r="N892" t="s">
        <v>44</v>
      </c>
      <c r="O892">
        <v>0.12</v>
      </c>
      <c r="P892" t="s">
        <v>59</v>
      </c>
      <c r="Q892">
        <v>16618</v>
      </c>
      <c r="R892">
        <v>44063</v>
      </c>
      <c r="S892" t="s">
        <v>44</v>
      </c>
      <c r="T892">
        <v>9204</v>
      </c>
      <c r="U892" t="s">
        <v>57</v>
      </c>
      <c r="V892">
        <v>48</v>
      </c>
      <c r="W892">
        <v>4</v>
      </c>
      <c r="X892" t="s">
        <v>31</v>
      </c>
      <c r="Y892" t="s">
        <v>32</v>
      </c>
      <c r="Z892" t="s">
        <v>39</v>
      </c>
      <c r="AA892" t="s">
        <v>40</v>
      </c>
      <c r="AB892" t="s">
        <v>35</v>
      </c>
      <c r="AC892" t="s">
        <v>44</v>
      </c>
    </row>
    <row r="893" spans="1:29" x14ac:dyDescent="0.25">
      <c r="A893">
        <v>941</v>
      </c>
      <c r="B893">
        <v>7232</v>
      </c>
      <c r="C893">
        <v>2494</v>
      </c>
      <c r="D893">
        <v>9726</v>
      </c>
      <c r="E893" t="s">
        <v>29</v>
      </c>
      <c r="F893">
        <v>43</v>
      </c>
      <c r="G893" t="s">
        <v>65</v>
      </c>
      <c r="H893" t="s">
        <v>30</v>
      </c>
      <c r="I893">
        <v>3</v>
      </c>
      <c r="J893" t="s">
        <v>58</v>
      </c>
      <c r="K893">
        <v>738</v>
      </c>
      <c r="L893" t="s">
        <v>63</v>
      </c>
      <c r="M893">
        <v>0</v>
      </c>
      <c r="N893" t="s">
        <v>36</v>
      </c>
      <c r="O893">
        <v>0.35</v>
      </c>
      <c r="P893" t="s">
        <v>67</v>
      </c>
      <c r="Q893">
        <v>9308</v>
      </c>
      <c r="R893">
        <v>21140</v>
      </c>
      <c r="S893" t="s">
        <v>44</v>
      </c>
      <c r="T893">
        <v>38890</v>
      </c>
      <c r="U893" t="s">
        <v>60</v>
      </c>
      <c r="V893">
        <v>36</v>
      </c>
      <c r="W893">
        <v>3</v>
      </c>
      <c r="X893" t="s">
        <v>42</v>
      </c>
      <c r="Y893" t="s">
        <v>45</v>
      </c>
      <c r="Z893" t="s">
        <v>39</v>
      </c>
      <c r="AA893" t="s">
        <v>34</v>
      </c>
      <c r="AB893" t="s">
        <v>35</v>
      </c>
      <c r="AC893" t="s">
        <v>36</v>
      </c>
    </row>
    <row r="894" spans="1:29" x14ac:dyDescent="0.25">
      <c r="A894">
        <v>942</v>
      </c>
      <c r="B894">
        <v>13485</v>
      </c>
      <c r="C894">
        <v>2719</v>
      </c>
      <c r="D894">
        <v>16204</v>
      </c>
      <c r="E894" t="s">
        <v>49</v>
      </c>
      <c r="F894">
        <v>37</v>
      </c>
      <c r="G894" t="s">
        <v>65</v>
      </c>
      <c r="H894" t="s">
        <v>41</v>
      </c>
      <c r="I894">
        <v>0</v>
      </c>
      <c r="J894" t="s">
        <v>54</v>
      </c>
      <c r="K894">
        <v>708</v>
      </c>
      <c r="L894" t="s">
        <v>63</v>
      </c>
      <c r="M894">
        <v>3</v>
      </c>
      <c r="N894" t="s">
        <v>44</v>
      </c>
      <c r="O894">
        <v>0.37</v>
      </c>
      <c r="P894" t="s">
        <v>67</v>
      </c>
      <c r="Q894">
        <v>9609</v>
      </c>
      <c r="R894">
        <v>18185</v>
      </c>
      <c r="S894" t="s">
        <v>44</v>
      </c>
      <c r="T894">
        <v>25537</v>
      </c>
      <c r="U894" t="s">
        <v>64</v>
      </c>
      <c r="V894">
        <v>48</v>
      </c>
      <c r="W894">
        <v>4</v>
      </c>
      <c r="X894" t="s">
        <v>42</v>
      </c>
      <c r="Y894" t="s">
        <v>32</v>
      </c>
      <c r="Z894" t="s">
        <v>39</v>
      </c>
      <c r="AA894" t="s">
        <v>40</v>
      </c>
      <c r="AB894" t="s">
        <v>35</v>
      </c>
      <c r="AC894" t="s">
        <v>44</v>
      </c>
    </row>
    <row r="895" spans="1:29" x14ac:dyDescent="0.25">
      <c r="A895">
        <v>943</v>
      </c>
      <c r="B895">
        <v>7797</v>
      </c>
      <c r="C895">
        <v>1884</v>
      </c>
      <c r="D895">
        <v>9681</v>
      </c>
      <c r="E895" t="s">
        <v>29</v>
      </c>
      <c r="F895">
        <v>21</v>
      </c>
      <c r="G895" t="s">
        <v>72</v>
      </c>
      <c r="H895" t="s">
        <v>30</v>
      </c>
      <c r="I895">
        <v>3</v>
      </c>
      <c r="J895" t="s">
        <v>58</v>
      </c>
      <c r="K895">
        <v>559</v>
      </c>
      <c r="L895" t="s">
        <v>66</v>
      </c>
      <c r="M895">
        <v>0</v>
      </c>
      <c r="N895" t="s">
        <v>36</v>
      </c>
      <c r="O895">
        <v>0.18</v>
      </c>
      <c r="P895" t="s">
        <v>59</v>
      </c>
      <c r="Q895">
        <v>17675</v>
      </c>
      <c r="R895">
        <v>37924</v>
      </c>
      <c r="S895" t="s">
        <v>44</v>
      </c>
      <c r="T895">
        <v>0</v>
      </c>
      <c r="U895" t="s">
        <v>73</v>
      </c>
      <c r="V895">
        <v>12</v>
      </c>
      <c r="W895">
        <v>1</v>
      </c>
      <c r="X895" t="s">
        <v>50</v>
      </c>
      <c r="Y895" t="s">
        <v>32</v>
      </c>
      <c r="Z895" t="s">
        <v>39</v>
      </c>
      <c r="AA895" t="s">
        <v>34</v>
      </c>
      <c r="AB895" t="s">
        <v>35</v>
      </c>
      <c r="AC895" t="s">
        <v>36</v>
      </c>
    </row>
    <row r="896" spans="1:29" x14ac:dyDescent="0.25">
      <c r="A896">
        <v>944</v>
      </c>
      <c r="B896">
        <v>14342</v>
      </c>
      <c r="C896">
        <v>4349</v>
      </c>
      <c r="D896">
        <v>18691</v>
      </c>
      <c r="E896" t="s">
        <v>29</v>
      </c>
      <c r="F896">
        <v>51</v>
      </c>
      <c r="G896" t="s">
        <v>53</v>
      </c>
      <c r="H896" t="s">
        <v>41</v>
      </c>
      <c r="I896">
        <v>1</v>
      </c>
      <c r="J896" t="s">
        <v>68</v>
      </c>
      <c r="K896">
        <v>663</v>
      </c>
      <c r="L896" t="s">
        <v>55</v>
      </c>
      <c r="M896">
        <v>1</v>
      </c>
      <c r="N896" t="s">
        <v>44</v>
      </c>
      <c r="O896">
        <v>0.48</v>
      </c>
      <c r="P896" t="s">
        <v>70</v>
      </c>
      <c r="Q896">
        <v>8720</v>
      </c>
      <c r="R896">
        <v>24240</v>
      </c>
      <c r="S896" t="s">
        <v>44</v>
      </c>
      <c r="T896">
        <v>34741</v>
      </c>
      <c r="U896" t="s">
        <v>64</v>
      </c>
      <c r="V896">
        <v>24</v>
      </c>
      <c r="W896">
        <v>2</v>
      </c>
      <c r="X896" t="s">
        <v>37</v>
      </c>
      <c r="Y896" t="s">
        <v>32</v>
      </c>
      <c r="Z896" t="s">
        <v>33</v>
      </c>
      <c r="AA896" t="s">
        <v>40</v>
      </c>
      <c r="AB896" t="s">
        <v>43</v>
      </c>
      <c r="AC896" t="s">
        <v>36</v>
      </c>
    </row>
    <row r="897" spans="1:29" x14ac:dyDescent="0.25">
      <c r="A897">
        <v>945</v>
      </c>
      <c r="B897">
        <v>10038</v>
      </c>
      <c r="C897">
        <v>5179</v>
      </c>
      <c r="D897">
        <v>15217</v>
      </c>
      <c r="E897" t="s">
        <v>29</v>
      </c>
      <c r="F897">
        <v>51</v>
      </c>
      <c r="G897" t="s">
        <v>53</v>
      </c>
      <c r="H897" t="s">
        <v>41</v>
      </c>
      <c r="I897">
        <v>0</v>
      </c>
      <c r="J897" t="s">
        <v>54</v>
      </c>
      <c r="K897">
        <v>625</v>
      </c>
      <c r="L897" t="s">
        <v>55</v>
      </c>
      <c r="M897">
        <v>4</v>
      </c>
      <c r="N897" t="s">
        <v>44</v>
      </c>
      <c r="O897">
        <v>0.59</v>
      </c>
      <c r="P897" t="s">
        <v>56</v>
      </c>
      <c r="Q897">
        <v>10172</v>
      </c>
      <c r="R897">
        <v>21845</v>
      </c>
      <c r="S897" t="s">
        <v>44</v>
      </c>
      <c r="T897">
        <v>21654</v>
      </c>
      <c r="U897" t="s">
        <v>64</v>
      </c>
      <c r="V897">
        <v>60</v>
      </c>
      <c r="W897">
        <v>5</v>
      </c>
      <c r="X897" t="s">
        <v>37</v>
      </c>
      <c r="Y897" t="s">
        <v>32</v>
      </c>
      <c r="Z897" t="s">
        <v>33</v>
      </c>
      <c r="AA897" t="s">
        <v>40</v>
      </c>
      <c r="AB897" t="s">
        <v>35</v>
      </c>
      <c r="AC897" t="s">
        <v>36</v>
      </c>
    </row>
    <row r="898" spans="1:29" x14ac:dyDescent="0.25">
      <c r="A898">
        <v>946</v>
      </c>
      <c r="B898">
        <v>18002</v>
      </c>
      <c r="C898">
        <v>6610</v>
      </c>
      <c r="D898">
        <v>24612</v>
      </c>
      <c r="E898" t="s">
        <v>29</v>
      </c>
      <c r="F898">
        <v>54</v>
      </c>
      <c r="G898" t="s">
        <v>53</v>
      </c>
      <c r="H898" t="s">
        <v>41</v>
      </c>
      <c r="I898">
        <v>0</v>
      </c>
      <c r="J898" t="s">
        <v>54</v>
      </c>
      <c r="K898">
        <v>713</v>
      </c>
      <c r="L898" t="s">
        <v>63</v>
      </c>
      <c r="M898">
        <v>4</v>
      </c>
      <c r="N898" t="s">
        <v>44</v>
      </c>
      <c r="O898">
        <v>0.56999999999999995</v>
      </c>
      <c r="P898" t="s">
        <v>56</v>
      </c>
      <c r="Q898">
        <v>14457</v>
      </c>
      <c r="R898">
        <v>9228</v>
      </c>
      <c r="S898" t="s">
        <v>44</v>
      </c>
      <c r="T898">
        <v>2408</v>
      </c>
      <c r="U898" t="s">
        <v>73</v>
      </c>
      <c r="V898">
        <v>12</v>
      </c>
      <c r="W898">
        <v>1</v>
      </c>
      <c r="X898" t="s">
        <v>42</v>
      </c>
      <c r="Y898" t="s">
        <v>32</v>
      </c>
      <c r="Z898" t="s">
        <v>39</v>
      </c>
      <c r="AA898" t="s">
        <v>34</v>
      </c>
      <c r="AB898" t="s">
        <v>51</v>
      </c>
      <c r="AC898" t="s">
        <v>36</v>
      </c>
    </row>
    <row r="899" spans="1:29" x14ac:dyDescent="0.25">
      <c r="A899">
        <v>947</v>
      </c>
      <c r="B899">
        <v>15087</v>
      </c>
      <c r="C899">
        <v>6430</v>
      </c>
      <c r="D899">
        <v>21517</v>
      </c>
      <c r="E899" t="s">
        <v>49</v>
      </c>
      <c r="F899">
        <v>29</v>
      </c>
      <c r="G899" t="s">
        <v>61</v>
      </c>
      <c r="H899" t="s">
        <v>41</v>
      </c>
      <c r="I899">
        <v>1</v>
      </c>
      <c r="J899" t="s">
        <v>68</v>
      </c>
      <c r="K899">
        <v>795</v>
      </c>
      <c r="L899" t="s">
        <v>71</v>
      </c>
      <c r="M899">
        <v>1</v>
      </c>
      <c r="N899" t="s">
        <v>44</v>
      </c>
      <c r="O899">
        <v>0.2</v>
      </c>
      <c r="P899" t="s">
        <v>59</v>
      </c>
      <c r="Q899">
        <v>2939</v>
      </c>
      <c r="R899">
        <v>21686</v>
      </c>
      <c r="S899" t="s">
        <v>44</v>
      </c>
      <c r="T899">
        <v>19672</v>
      </c>
      <c r="U899" t="s">
        <v>57</v>
      </c>
      <c r="V899">
        <v>72</v>
      </c>
      <c r="W899">
        <v>6</v>
      </c>
      <c r="X899" t="s">
        <v>42</v>
      </c>
      <c r="Y899" t="s">
        <v>45</v>
      </c>
      <c r="Z899" t="s">
        <v>33</v>
      </c>
      <c r="AA899" t="s">
        <v>40</v>
      </c>
      <c r="AB899" t="s">
        <v>51</v>
      </c>
      <c r="AC899" t="s">
        <v>44</v>
      </c>
    </row>
    <row r="900" spans="1:29" x14ac:dyDescent="0.25">
      <c r="A900">
        <v>948</v>
      </c>
      <c r="B900">
        <v>6873</v>
      </c>
      <c r="C900">
        <v>7154</v>
      </c>
      <c r="D900">
        <v>14027</v>
      </c>
      <c r="E900" t="s">
        <v>46</v>
      </c>
      <c r="F900">
        <v>42</v>
      </c>
      <c r="G900" t="s">
        <v>65</v>
      </c>
      <c r="H900" t="s">
        <v>30</v>
      </c>
      <c r="I900">
        <v>2</v>
      </c>
      <c r="J900" t="s">
        <v>62</v>
      </c>
      <c r="K900">
        <v>634</v>
      </c>
      <c r="L900" t="s">
        <v>55</v>
      </c>
      <c r="M900">
        <v>3</v>
      </c>
      <c r="N900" t="s">
        <v>44</v>
      </c>
      <c r="O900">
        <v>0.54</v>
      </c>
      <c r="P900" t="s">
        <v>56</v>
      </c>
      <c r="Q900">
        <v>14345</v>
      </c>
      <c r="R900">
        <v>11920</v>
      </c>
      <c r="S900" t="s">
        <v>44</v>
      </c>
      <c r="T900">
        <v>2218</v>
      </c>
      <c r="U900" t="s">
        <v>73</v>
      </c>
      <c r="V900">
        <v>48</v>
      </c>
      <c r="W900">
        <v>4</v>
      </c>
      <c r="X900" t="s">
        <v>37</v>
      </c>
      <c r="Y900" t="s">
        <v>32</v>
      </c>
      <c r="Z900" t="s">
        <v>39</v>
      </c>
      <c r="AA900" t="s">
        <v>40</v>
      </c>
      <c r="AB900" t="s">
        <v>42</v>
      </c>
      <c r="AC900" t="s">
        <v>36</v>
      </c>
    </row>
    <row r="901" spans="1:29" x14ac:dyDescent="0.25">
      <c r="A901">
        <v>949</v>
      </c>
      <c r="B901">
        <v>3481</v>
      </c>
      <c r="C901">
        <v>6488</v>
      </c>
      <c r="D901">
        <v>9969</v>
      </c>
      <c r="E901" t="s">
        <v>29</v>
      </c>
      <c r="F901">
        <v>33</v>
      </c>
      <c r="G901" t="s">
        <v>61</v>
      </c>
      <c r="H901" t="s">
        <v>30</v>
      </c>
      <c r="I901">
        <v>3</v>
      </c>
      <c r="J901" t="s">
        <v>58</v>
      </c>
      <c r="K901">
        <v>598</v>
      </c>
      <c r="L901" t="s">
        <v>55</v>
      </c>
      <c r="M901">
        <v>3</v>
      </c>
      <c r="N901" t="s">
        <v>44</v>
      </c>
      <c r="O901">
        <v>0.45</v>
      </c>
      <c r="P901" t="s">
        <v>70</v>
      </c>
      <c r="Q901">
        <v>16158</v>
      </c>
      <c r="R901">
        <v>7432</v>
      </c>
      <c r="S901" t="s">
        <v>44</v>
      </c>
      <c r="T901">
        <v>37145</v>
      </c>
      <c r="U901" t="s">
        <v>60</v>
      </c>
      <c r="V901">
        <v>24</v>
      </c>
      <c r="W901">
        <v>2</v>
      </c>
      <c r="X901" t="s">
        <v>42</v>
      </c>
      <c r="Y901" t="s">
        <v>32</v>
      </c>
      <c r="Z901" t="s">
        <v>39</v>
      </c>
      <c r="AA901" t="s">
        <v>40</v>
      </c>
      <c r="AB901" t="s">
        <v>43</v>
      </c>
      <c r="AC901" t="s">
        <v>36</v>
      </c>
    </row>
    <row r="902" spans="1:29" x14ac:dyDescent="0.25">
      <c r="A902">
        <v>950</v>
      </c>
      <c r="B902">
        <v>0</v>
      </c>
      <c r="C902">
        <v>4737</v>
      </c>
      <c r="D902">
        <v>4737</v>
      </c>
      <c r="E902" t="s">
        <v>29</v>
      </c>
      <c r="F902">
        <v>45</v>
      </c>
      <c r="G902" t="s">
        <v>53</v>
      </c>
      <c r="H902" t="s">
        <v>41</v>
      </c>
      <c r="I902">
        <v>0</v>
      </c>
      <c r="J902" t="s">
        <v>54</v>
      </c>
      <c r="K902">
        <v>788</v>
      </c>
      <c r="L902" t="s">
        <v>71</v>
      </c>
      <c r="M902">
        <v>2</v>
      </c>
      <c r="N902" t="s">
        <v>44</v>
      </c>
      <c r="O902">
        <v>0.33</v>
      </c>
      <c r="P902" t="s">
        <v>67</v>
      </c>
      <c r="Q902">
        <v>5435</v>
      </c>
      <c r="R902">
        <v>44971</v>
      </c>
      <c r="S902" t="s">
        <v>44</v>
      </c>
      <c r="T902">
        <v>0</v>
      </c>
      <c r="U902" t="s">
        <v>73</v>
      </c>
      <c r="V902">
        <v>24</v>
      </c>
      <c r="W902">
        <v>2</v>
      </c>
      <c r="X902" t="s">
        <v>50</v>
      </c>
      <c r="Y902" t="s">
        <v>45</v>
      </c>
      <c r="Z902" t="s">
        <v>39</v>
      </c>
      <c r="AA902" t="s">
        <v>40</v>
      </c>
      <c r="AB902" t="s">
        <v>35</v>
      </c>
      <c r="AC902" t="s">
        <v>44</v>
      </c>
    </row>
    <row r="903" spans="1:29" x14ac:dyDescent="0.25">
      <c r="A903">
        <v>951</v>
      </c>
      <c r="B903">
        <v>16422</v>
      </c>
      <c r="C903">
        <v>6525</v>
      </c>
      <c r="D903">
        <v>22947</v>
      </c>
      <c r="E903" t="s">
        <v>29</v>
      </c>
      <c r="F903">
        <v>38</v>
      </c>
      <c r="G903" t="s">
        <v>65</v>
      </c>
      <c r="H903" t="s">
        <v>30</v>
      </c>
      <c r="I903">
        <v>2</v>
      </c>
      <c r="J903" t="s">
        <v>62</v>
      </c>
      <c r="K903">
        <v>619</v>
      </c>
      <c r="L903" t="s">
        <v>55</v>
      </c>
      <c r="M903">
        <v>0</v>
      </c>
      <c r="N903" t="s">
        <v>36</v>
      </c>
      <c r="O903">
        <v>0.37</v>
      </c>
      <c r="P903" t="s">
        <v>67</v>
      </c>
      <c r="Q903">
        <v>5392</v>
      </c>
      <c r="R903">
        <v>6189</v>
      </c>
      <c r="S903" t="s">
        <v>44</v>
      </c>
      <c r="T903">
        <v>5098</v>
      </c>
      <c r="U903" t="s">
        <v>57</v>
      </c>
      <c r="V903">
        <v>84</v>
      </c>
      <c r="W903">
        <v>7</v>
      </c>
      <c r="X903" t="s">
        <v>42</v>
      </c>
      <c r="Y903" t="s">
        <v>38</v>
      </c>
      <c r="Z903" t="s">
        <v>39</v>
      </c>
      <c r="AA903" t="s">
        <v>40</v>
      </c>
      <c r="AB903" t="s">
        <v>35</v>
      </c>
      <c r="AC903" t="s">
        <v>36</v>
      </c>
    </row>
    <row r="904" spans="1:29" x14ac:dyDescent="0.25">
      <c r="A904">
        <v>952</v>
      </c>
      <c r="B904">
        <v>18438</v>
      </c>
      <c r="C904">
        <v>3850</v>
      </c>
      <c r="D904">
        <v>22288</v>
      </c>
      <c r="E904" t="s">
        <v>29</v>
      </c>
      <c r="F904">
        <v>32</v>
      </c>
      <c r="G904" t="s">
        <v>61</v>
      </c>
      <c r="H904" t="s">
        <v>30</v>
      </c>
      <c r="I904">
        <v>1</v>
      </c>
      <c r="J904" t="s">
        <v>68</v>
      </c>
      <c r="K904">
        <v>789</v>
      </c>
      <c r="L904" t="s">
        <v>71</v>
      </c>
      <c r="M904">
        <v>3</v>
      </c>
      <c r="N904" t="s">
        <v>44</v>
      </c>
      <c r="O904">
        <v>0.52</v>
      </c>
      <c r="P904" t="s">
        <v>56</v>
      </c>
      <c r="Q904">
        <v>7972</v>
      </c>
      <c r="R904">
        <v>0</v>
      </c>
      <c r="S904" t="s">
        <v>36</v>
      </c>
      <c r="T904">
        <v>8619</v>
      </c>
      <c r="U904" t="s">
        <v>57</v>
      </c>
      <c r="V904">
        <v>84</v>
      </c>
      <c r="W904">
        <v>7</v>
      </c>
      <c r="X904" t="s">
        <v>31</v>
      </c>
      <c r="Y904" t="s">
        <v>32</v>
      </c>
      <c r="Z904" t="s">
        <v>39</v>
      </c>
      <c r="AA904" t="s">
        <v>40</v>
      </c>
      <c r="AB904" t="s">
        <v>43</v>
      </c>
      <c r="AC904" t="s">
        <v>36</v>
      </c>
    </row>
    <row r="905" spans="1:29" x14ac:dyDescent="0.25">
      <c r="A905">
        <v>953</v>
      </c>
      <c r="B905">
        <v>9643</v>
      </c>
      <c r="C905">
        <v>689</v>
      </c>
      <c r="D905">
        <v>10332</v>
      </c>
      <c r="E905" t="s">
        <v>29</v>
      </c>
      <c r="F905">
        <v>37</v>
      </c>
      <c r="G905" t="s">
        <v>65</v>
      </c>
      <c r="H905" t="s">
        <v>30</v>
      </c>
      <c r="I905">
        <v>3</v>
      </c>
      <c r="J905" t="s">
        <v>58</v>
      </c>
      <c r="K905">
        <v>726</v>
      </c>
      <c r="L905" t="s">
        <v>63</v>
      </c>
      <c r="M905">
        <v>1</v>
      </c>
      <c r="N905" t="s">
        <v>44</v>
      </c>
      <c r="O905">
        <v>0.34</v>
      </c>
      <c r="P905" t="s">
        <v>67</v>
      </c>
      <c r="Q905">
        <v>0</v>
      </c>
      <c r="R905">
        <v>33910</v>
      </c>
      <c r="S905" t="s">
        <v>44</v>
      </c>
      <c r="T905">
        <v>12939</v>
      </c>
      <c r="U905" t="s">
        <v>57</v>
      </c>
      <c r="V905">
        <v>12</v>
      </c>
      <c r="W905">
        <v>1</v>
      </c>
      <c r="X905" t="s">
        <v>50</v>
      </c>
      <c r="Y905" t="s">
        <v>32</v>
      </c>
      <c r="Z905" t="s">
        <v>39</v>
      </c>
      <c r="AA905" t="s">
        <v>34</v>
      </c>
      <c r="AB905" t="s">
        <v>35</v>
      </c>
      <c r="AC905" t="s">
        <v>44</v>
      </c>
    </row>
    <row r="906" spans="1:29" x14ac:dyDescent="0.25">
      <c r="A906">
        <v>954</v>
      </c>
      <c r="B906">
        <v>17708</v>
      </c>
      <c r="C906">
        <v>5175</v>
      </c>
      <c r="D906">
        <v>22883</v>
      </c>
      <c r="E906" t="s">
        <v>29</v>
      </c>
      <c r="F906">
        <v>35</v>
      </c>
      <c r="G906" t="s">
        <v>65</v>
      </c>
      <c r="H906" t="s">
        <v>41</v>
      </c>
      <c r="I906">
        <v>3</v>
      </c>
      <c r="J906" t="s">
        <v>58</v>
      </c>
      <c r="K906">
        <v>680</v>
      </c>
      <c r="L906" t="s">
        <v>63</v>
      </c>
      <c r="M906">
        <v>3</v>
      </c>
      <c r="N906" t="s">
        <v>44</v>
      </c>
      <c r="O906">
        <v>0.28999999999999998</v>
      </c>
      <c r="P906" t="s">
        <v>59</v>
      </c>
      <c r="Q906">
        <v>19184</v>
      </c>
      <c r="R906">
        <v>30226</v>
      </c>
      <c r="S906" t="s">
        <v>44</v>
      </c>
      <c r="T906">
        <v>19226</v>
      </c>
      <c r="U906" t="s">
        <v>57</v>
      </c>
      <c r="V906">
        <v>24</v>
      </c>
      <c r="W906">
        <v>2</v>
      </c>
      <c r="X906" t="s">
        <v>42</v>
      </c>
      <c r="Y906" t="s">
        <v>32</v>
      </c>
      <c r="Z906" t="s">
        <v>33</v>
      </c>
      <c r="AA906" t="s">
        <v>34</v>
      </c>
      <c r="AB906" t="s">
        <v>42</v>
      </c>
      <c r="AC906" t="s">
        <v>44</v>
      </c>
    </row>
    <row r="907" spans="1:29" x14ac:dyDescent="0.25">
      <c r="A907">
        <v>955</v>
      </c>
      <c r="B907">
        <v>13271</v>
      </c>
      <c r="C907">
        <v>8648</v>
      </c>
      <c r="D907">
        <v>21919</v>
      </c>
      <c r="E907" t="s">
        <v>29</v>
      </c>
      <c r="F907">
        <v>35</v>
      </c>
      <c r="G907" t="s">
        <v>65</v>
      </c>
      <c r="H907" t="s">
        <v>41</v>
      </c>
      <c r="I907">
        <v>0</v>
      </c>
      <c r="J907" t="s">
        <v>54</v>
      </c>
      <c r="K907">
        <v>751</v>
      </c>
      <c r="L907" t="s">
        <v>71</v>
      </c>
      <c r="M907">
        <v>4</v>
      </c>
      <c r="N907" t="s">
        <v>44</v>
      </c>
      <c r="O907">
        <v>0.35</v>
      </c>
      <c r="P907" t="s">
        <v>67</v>
      </c>
      <c r="Q907">
        <v>14799</v>
      </c>
      <c r="R907">
        <v>7614</v>
      </c>
      <c r="S907" t="s">
        <v>44</v>
      </c>
      <c r="T907">
        <v>26322</v>
      </c>
      <c r="U907" t="s">
        <v>64</v>
      </c>
      <c r="V907">
        <v>48</v>
      </c>
      <c r="W907">
        <v>4</v>
      </c>
      <c r="X907" t="s">
        <v>50</v>
      </c>
      <c r="Y907" t="s">
        <v>32</v>
      </c>
      <c r="Z907" t="s">
        <v>39</v>
      </c>
      <c r="AA907" t="s">
        <v>40</v>
      </c>
      <c r="AB907" t="s">
        <v>35</v>
      </c>
      <c r="AC907" t="s">
        <v>44</v>
      </c>
    </row>
    <row r="908" spans="1:29" x14ac:dyDescent="0.25">
      <c r="A908">
        <v>956</v>
      </c>
      <c r="B908">
        <v>19216</v>
      </c>
      <c r="C908">
        <v>5078</v>
      </c>
      <c r="D908">
        <v>24294</v>
      </c>
      <c r="E908" t="s">
        <v>49</v>
      </c>
      <c r="F908">
        <v>40</v>
      </c>
      <c r="G908" t="s">
        <v>65</v>
      </c>
      <c r="H908" t="s">
        <v>41</v>
      </c>
      <c r="I908">
        <v>3</v>
      </c>
      <c r="J908" t="s">
        <v>58</v>
      </c>
      <c r="K908">
        <v>682</v>
      </c>
      <c r="L908" t="s">
        <v>63</v>
      </c>
      <c r="M908">
        <v>0</v>
      </c>
      <c r="N908" t="s">
        <v>36</v>
      </c>
      <c r="O908">
        <v>0.39</v>
      </c>
      <c r="P908" t="s">
        <v>67</v>
      </c>
      <c r="Q908">
        <v>19159</v>
      </c>
      <c r="R908">
        <v>47021</v>
      </c>
      <c r="S908" t="s">
        <v>44</v>
      </c>
      <c r="T908">
        <v>17878</v>
      </c>
      <c r="U908" t="s">
        <v>57</v>
      </c>
      <c r="V908">
        <v>12</v>
      </c>
      <c r="W908">
        <v>1</v>
      </c>
      <c r="X908" t="s">
        <v>31</v>
      </c>
      <c r="Y908" t="s">
        <v>38</v>
      </c>
      <c r="Z908" t="s">
        <v>39</v>
      </c>
      <c r="AA908" t="s">
        <v>34</v>
      </c>
      <c r="AB908" t="s">
        <v>35</v>
      </c>
      <c r="AC908" t="s">
        <v>44</v>
      </c>
    </row>
    <row r="909" spans="1:29" x14ac:dyDescent="0.25">
      <c r="A909">
        <v>957</v>
      </c>
      <c r="B909">
        <v>14600</v>
      </c>
      <c r="C909">
        <v>5448</v>
      </c>
      <c r="D909">
        <v>20048</v>
      </c>
      <c r="E909" t="s">
        <v>29</v>
      </c>
      <c r="F909">
        <v>59</v>
      </c>
      <c r="G909" t="s">
        <v>69</v>
      </c>
      <c r="H909" t="s">
        <v>41</v>
      </c>
      <c r="I909">
        <v>3</v>
      </c>
      <c r="J909" t="s">
        <v>58</v>
      </c>
      <c r="K909">
        <v>787</v>
      </c>
      <c r="L909" t="s">
        <v>71</v>
      </c>
      <c r="M909">
        <v>2</v>
      </c>
      <c r="N909" t="s">
        <v>44</v>
      </c>
      <c r="O909">
        <v>0.19</v>
      </c>
      <c r="P909" t="s">
        <v>59</v>
      </c>
      <c r="Q909">
        <v>15052</v>
      </c>
      <c r="R909">
        <v>21224</v>
      </c>
      <c r="S909" t="s">
        <v>44</v>
      </c>
      <c r="T909">
        <v>7560</v>
      </c>
      <c r="U909" t="s">
        <v>57</v>
      </c>
      <c r="V909">
        <v>60</v>
      </c>
      <c r="W909">
        <v>5</v>
      </c>
      <c r="X909" t="s">
        <v>47</v>
      </c>
      <c r="Y909" t="s">
        <v>45</v>
      </c>
      <c r="Z909" t="s">
        <v>39</v>
      </c>
      <c r="AA909" t="s">
        <v>40</v>
      </c>
      <c r="AB909" t="s">
        <v>35</v>
      </c>
      <c r="AC909" t="s">
        <v>44</v>
      </c>
    </row>
    <row r="910" spans="1:29" x14ac:dyDescent="0.25">
      <c r="A910">
        <v>958</v>
      </c>
      <c r="B910">
        <v>12998</v>
      </c>
      <c r="C910">
        <v>1179</v>
      </c>
      <c r="D910">
        <v>14177</v>
      </c>
      <c r="E910" t="s">
        <v>46</v>
      </c>
      <c r="F910">
        <v>33</v>
      </c>
      <c r="G910" t="s">
        <v>61</v>
      </c>
      <c r="H910" t="s">
        <v>30</v>
      </c>
      <c r="I910">
        <v>3</v>
      </c>
      <c r="J910" t="s">
        <v>58</v>
      </c>
      <c r="K910">
        <v>767</v>
      </c>
      <c r="L910" t="s">
        <v>71</v>
      </c>
      <c r="M910">
        <v>0</v>
      </c>
      <c r="N910" t="s">
        <v>36</v>
      </c>
      <c r="O910">
        <v>0.55000000000000004</v>
      </c>
      <c r="P910" t="s">
        <v>56</v>
      </c>
      <c r="Q910">
        <v>6044</v>
      </c>
      <c r="R910">
        <v>18013</v>
      </c>
      <c r="S910" t="s">
        <v>44</v>
      </c>
      <c r="T910">
        <v>39278</v>
      </c>
      <c r="U910" t="s">
        <v>60</v>
      </c>
      <c r="V910">
        <v>12</v>
      </c>
      <c r="W910">
        <v>1</v>
      </c>
      <c r="X910" t="s">
        <v>31</v>
      </c>
      <c r="Y910" t="s">
        <v>45</v>
      </c>
      <c r="Z910" t="s">
        <v>39</v>
      </c>
      <c r="AA910" t="s">
        <v>40</v>
      </c>
      <c r="AB910" t="s">
        <v>35</v>
      </c>
      <c r="AC910" t="s">
        <v>36</v>
      </c>
    </row>
    <row r="911" spans="1:29" x14ac:dyDescent="0.25">
      <c r="A911">
        <v>959</v>
      </c>
      <c r="B911">
        <v>16295</v>
      </c>
      <c r="C911">
        <v>9074</v>
      </c>
      <c r="D911">
        <v>25369</v>
      </c>
      <c r="E911" t="s">
        <v>46</v>
      </c>
      <c r="F911">
        <v>37</v>
      </c>
      <c r="G911" t="s">
        <v>65</v>
      </c>
      <c r="H911" t="s">
        <v>41</v>
      </c>
      <c r="I911">
        <v>3</v>
      </c>
      <c r="J911" t="s">
        <v>58</v>
      </c>
      <c r="K911">
        <v>738</v>
      </c>
      <c r="L911" t="s">
        <v>63</v>
      </c>
      <c r="M911">
        <v>4</v>
      </c>
      <c r="N911" t="s">
        <v>44</v>
      </c>
      <c r="O911">
        <v>0.44</v>
      </c>
      <c r="P911" t="s">
        <v>70</v>
      </c>
      <c r="Q911">
        <v>19871</v>
      </c>
      <c r="R911">
        <v>21446</v>
      </c>
      <c r="S911" t="s">
        <v>44</v>
      </c>
      <c r="T911">
        <v>37212</v>
      </c>
      <c r="U911" t="s">
        <v>60</v>
      </c>
      <c r="V911">
        <v>12</v>
      </c>
      <c r="W911">
        <v>1</v>
      </c>
      <c r="X911" t="s">
        <v>42</v>
      </c>
      <c r="Y911" t="s">
        <v>32</v>
      </c>
      <c r="Z911" t="s">
        <v>39</v>
      </c>
      <c r="AA911" t="s">
        <v>40</v>
      </c>
      <c r="AB911" t="s">
        <v>48</v>
      </c>
      <c r="AC911" t="s">
        <v>36</v>
      </c>
    </row>
    <row r="912" spans="1:29" x14ac:dyDescent="0.25">
      <c r="A912">
        <v>960</v>
      </c>
      <c r="B912">
        <v>0</v>
      </c>
      <c r="C912">
        <v>6406</v>
      </c>
      <c r="D912">
        <v>6406</v>
      </c>
      <c r="E912" t="s">
        <v>52</v>
      </c>
      <c r="F912">
        <v>52</v>
      </c>
      <c r="G912" t="s">
        <v>53</v>
      </c>
      <c r="H912" t="s">
        <v>30</v>
      </c>
      <c r="I912">
        <v>1</v>
      </c>
      <c r="J912" t="s">
        <v>68</v>
      </c>
      <c r="K912">
        <v>762</v>
      </c>
      <c r="L912" t="s">
        <v>71</v>
      </c>
      <c r="M912">
        <v>4</v>
      </c>
      <c r="N912" t="s">
        <v>44</v>
      </c>
      <c r="O912">
        <v>0.42</v>
      </c>
      <c r="P912" t="s">
        <v>70</v>
      </c>
      <c r="Q912">
        <v>14415</v>
      </c>
      <c r="R912">
        <v>0</v>
      </c>
      <c r="S912" t="s">
        <v>36</v>
      </c>
      <c r="T912">
        <v>30299</v>
      </c>
      <c r="U912" t="s">
        <v>64</v>
      </c>
      <c r="V912">
        <v>60</v>
      </c>
      <c r="W912">
        <v>5</v>
      </c>
      <c r="X912" t="s">
        <v>31</v>
      </c>
      <c r="Y912" t="s">
        <v>45</v>
      </c>
      <c r="Z912" t="s">
        <v>39</v>
      </c>
      <c r="AA912" t="s">
        <v>34</v>
      </c>
      <c r="AB912" t="s">
        <v>35</v>
      </c>
      <c r="AC912" t="s">
        <v>36</v>
      </c>
    </row>
    <row r="913" spans="1:29" x14ac:dyDescent="0.25">
      <c r="A913">
        <v>961</v>
      </c>
      <c r="B913">
        <v>18380</v>
      </c>
      <c r="C913">
        <v>8591</v>
      </c>
      <c r="D913">
        <v>26971</v>
      </c>
      <c r="E913" t="s">
        <v>46</v>
      </c>
      <c r="F913">
        <v>29</v>
      </c>
      <c r="G913" t="s">
        <v>61</v>
      </c>
      <c r="H913" t="s">
        <v>30</v>
      </c>
      <c r="I913">
        <v>2</v>
      </c>
      <c r="J913" t="s">
        <v>62</v>
      </c>
      <c r="K913">
        <v>786</v>
      </c>
      <c r="L913" t="s">
        <v>71</v>
      </c>
      <c r="M913">
        <v>4</v>
      </c>
      <c r="N913" t="s">
        <v>44</v>
      </c>
      <c r="O913">
        <v>0.15</v>
      </c>
      <c r="P913" t="s">
        <v>59</v>
      </c>
      <c r="Q913">
        <v>17274</v>
      </c>
      <c r="R913">
        <v>39673</v>
      </c>
      <c r="S913" t="s">
        <v>44</v>
      </c>
      <c r="T913">
        <v>8543</v>
      </c>
      <c r="U913" t="s">
        <v>57</v>
      </c>
      <c r="V913">
        <v>72</v>
      </c>
      <c r="W913">
        <v>6</v>
      </c>
      <c r="X913" t="s">
        <v>42</v>
      </c>
      <c r="Y913" t="s">
        <v>32</v>
      </c>
      <c r="Z913" t="s">
        <v>39</v>
      </c>
      <c r="AA913" t="s">
        <v>40</v>
      </c>
      <c r="AB913" t="s">
        <v>51</v>
      </c>
      <c r="AC913" t="s">
        <v>36</v>
      </c>
    </row>
    <row r="914" spans="1:29" x14ac:dyDescent="0.25">
      <c r="A914">
        <v>962</v>
      </c>
      <c r="B914">
        <v>10519</v>
      </c>
      <c r="C914">
        <v>6907</v>
      </c>
      <c r="D914">
        <v>17426</v>
      </c>
      <c r="E914" t="s">
        <v>46</v>
      </c>
      <c r="F914">
        <v>40</v>
      </c>
      <c r="G914" t="s">
        <v>65</v>
      </c>
      <c r="H914" t="s">
        <v>41</v>
      </c>
      <c r="I914">
        <v>0</v>
      </c>
      <c r="J914" t="s">
        <v>54</v>
      </c>
      <c r="K914">
        <v>639</v>
      </c>
      <c r="L914" t="s">
        <v>55</v>
      </c>
      <c r="M914">
        <v>4</v>
      </c>
      <c r="N914" t="s">
        <v>44</v>
      </c>
      <c r="O914">
        <v>0.4</v>
      </c>
      <c r="P914" t="s">
        <v>67</v>
      </c>
      <c r="Q914">
        <v>13858</v>
      </c>
      <c r="R914">
        <v>37657</v>
      </c>
      <c r="S914" t="s">
        <v>44</v>
      </c>
      <c r="T914">
        <v>24946</v>
      </c>
      <c r="U914" t="s">
        <v>64</v>
      </c>
      <c r="V914">
        <v>84</v>
      </c>
      <c r="W914">
        <v>7</v>
      </c>
      <c r="X914" t="s">
        <v>37</v>
      </c>
      <c r="Y914" t="s">
        <v>45</v>
      </c>
      <c r="Z914" t="s">
        <v>39</v>
      </c>
      <c r="AA914" t="s">
        <v>40</v>
      </c>
      <c r="AB914" t="s">
        <v>35</v>
      </c>
      <c r="AC914" t="s">
        <v>36</v>
      </c>
    </row>
    <row r="915" spans="1:29" x14ac:dyDescent="0.25">
      <c r="A915">
        <v>963</v>
      </c>
      <c r="B915">
        <v>5300</v>
      </c>
      <c r="C915">
        <v>8800</v>
      </c>
      <c r="D915">
        <v>14100</v>
      </c>
      <c r="E915" t="s">
        <v>49</v>
      </c>
      <c r="F915">
        <v>46</v>
      </c>
      <c r="G915" t="s">
        <v>53</v>
      </c>
      <c r="H915" t="s">
        <v>30</v>
      </c>
      <c r="I915">
        <v>1</v>
      </c>
      <c r="J915" t="s">
        <v>68</v>
      </c>
      <c r="K915">
        <v>779</v>
      </c>
      <c r="L915" t="s">
        <v>71</v>
      </c>
      <c r="M915">
        <v>1</v>
      </c>
      <c r="N915" t="s">
        <v>44</v>
      </c>
      <c r="O915">
        <v>0.16</v>
      </c>
      <c r="P915" t="s">
        <v>59</v>
      </c>
      <c r="Q915">
        <v>17572</v>
      </c>
      <c r="R915">
        <v>4839</v>
      </c>
      <c r="S915" t="s">
        <v>44</v>
      </c>
      <c r="T915">
        <v>32740</v>
      </c>
      <c r="U915" t="s">
        <v>64</v>
      </c>
      <c r="V915">
        <v>48</v>
      </c>
      <c r="W915">
        <v>4</v>
      </c>
      <c r="X915" t="s">
        <v>50</v>
      </c>
      <c r="Y915" t="s">
        <v>45</v>
      </c>
      <c r="Z915" t="s">
        <v>39</v>
      </c>
      <c r="AA915" t="s">
        <v>40</v>
      </c>
      <c r="AB915" t="s">
        <v>51</v>
      </c>
      <c r="AC915" t="s">
        <v>36</v>
      </c>
    </row>
    <row r="916" spans="1:29" x14ac:dyDescent="0.25">
      <c r="A916">
        <v>964</v>
      </c>
      <c r="B916">
        <v>8722</v>
      </c>
      <c r="C916">
        <v>1638</v>
      </c>
      <c r="D916">
        <v>10360</v>
      </c>
      <c r="E916" t="s">
        <v>46</v>
      </c>
      <c r="F916">
        <v>47</v>
      </c>
      <c r="G916" t="s">
        <v>53</v>
      </c>
      <c r="H916" t="s">
        <v>30</v>
      </c>
      <c r="I916">
        <v>0</v>
      </c>
      <c r="J916" t="s">
        <v>54</v>
      </c>
      <c r="K916">
        <v>550</v>
      </c>
      <c r="L916" t="s">
        <v>66</v>
      </c>
      <c r="M916">
        <v>2</v>
      </c>
      <c r="N916" t="s">
        <v>44</v>
      </c>
      <c r="O916">
        <v>0.14000000000000001</v>
      </c>
      <c r="P916" t="s">
        <v>59</v>
      </c>
      <c r="Q916">
        <v>5644</v>
      </c>
      <c r="R916">
        <v>36725</v>
      </c>
      <c r="S916" t="s">
        <v>44</v>
      </c>
      <c r="T916">
        <v>8253</v>
      </c>
      <c r="U916" t="s">
        <v>57</v>
      </c>
      <c r="V916">
        <v>72</v>
      </c>
      <c r="W916">
        <v>6</v>
      </c>
      <c r="X916" t="s">
        <v>42</v>
      </c>
      <c r="Y916" t="s">
        <v>32</v>
      </c>
      <c r="Z916" t="s">
        <v>33</v>
      </c>
      <c r="AA916" t="s">
        <v>40</v>
      </c>
      <c r="AB916" t="s">
        <v>43</v>
      </c>
      <c r="AC916" t="s">
        <v>44</v>
      </c>
    </row>
    <row r="917" spans="1:29" x14ac:dyDescent="0.25">
      <c r="A917">
        <v>965</v>
      </c>
      <c r="B917">
        <v>9218</v>
      </c>
      <c r="C917">
        <v>5671</v>
      </c>
      <c r="D917">
        <v>14889</v>
      </c>
      <c r="E917" t="s">
        <v>46</v>
      </c>
      <c r="F917">
        <v>41</v>
      </c>
      <c r="G917" t="s">
        <v>65</v>
      </c>
      <c r="H917" t="s">
        <v>30</v>
      </c>
      <c r="I917">
        <v>3</v>
      </c>
      <c r="J917" t="s">
        <v>58</v>
      </c>
      <c r="K917">
        <v>575</v>
      </c>
      <c r="L917" t="s">
        <v>66</v>
      </c>
      <c r="M917">
        <v>4</v>
      </c>
      <c r="N917" t="s">
        <v>44</v>
      </c>
      <c r="O917">
        <v>0.36</v>
      </c>
      <c r="P917" t="s">
        <v>67</v>
      </c>
      <c r="Q917">
        <v>17124</v>
      </c>
      <c r="R917">
        <v>30203</v>
      </c>
      <c r="S917" t="s">
        <v>44</v>
      </c>
      <c r="T917">
        <v>0</v>
      </c>
      <c r="U917" t="s">
        <v>73</v>
      </c>
      <c r="V917">
        <v>72</v>
      </c>
      <c r="W917">
        <v>6</v>
      </c>
      <c r="X917" t="s">
        <v>42</v>
      </c>
      <c r="Y917" t="s">
        <v>32</v>
      </c>
      <c r="Z917" t="s">
        <v>39</v>
      </c>
      <c r="AA917" t="s">
        <v>34</v>
      </c>
      <c r="AB917" t="s">
        <v>48</v>
      </c>
      <c r="AC917" t="s">
        <v>36</v>
      </c>
    </row>
    <row r="918" spans="1:29" x14ac:dyDescent="0.25">
      <c r="A918">
        <v>966</v>
      </c>
      <c r="B918">
        <v>5054</v>
      </c>
      <c r="C918">
        <v>6928</v>
      </c>
      <c r="D918">
        <v>11982</v>
      </c>
      <c r="E918" t="s">
        <v>49</v>
      </c>
      <c r="F918">
        <v>38</v>
      </c>
      <c r="G918" t="s">
        <v>65</v>
      </c>
      <c r="H918" t="s">
        <v>41</v>
      </c>
      <c r="I918">
        <v>1</v>
      </c>
      <c r="J918" t="s">
        <v>68</v>
      </c>
      <c r="K918">
        <v>621</v>
      </c>
      <c r="L918" t="s">
        <v>55</v>
      </c>
      <c r="M918">
        <v>4</v>
      </c>
      <c r="N918" t="s">
        <v>44</v>
      </c>
      <c r="O918">
        <v>0.3</v>
      </c>
      <c r="P918" t="s">
        <v>59</v>
      </c>
      <c r="Q918">
        <v>17753</v>
      </c>
      <c r="R918">
        <v>557</v>
      </c>
      <c r="S918" t="s">
        <v>44</v>
      </c>
      <c r="T918">
        <v>33813</v>
      </c>
      <c r="U918" t="s">
        <v>64</v>
      </c>
      <c r="V918">
        <v>72</v>
      </c>
      <c r="W918">
        <v>6</v>
      </c>
      <c r="X918" t="s">
        <v>31</v>
      </c>
      <c r="Y918" t="s">
        <v>38</v>
      </c>
      <c r="Z918" t="s">
        <v>33</v>
      </c>
      <c r="AA918" t="s">
        <v>40</v>
      </c>
      <c r="AB918" t="s">
        <v>35</v>
      </c>
      <c r="AC918" t="s">
        <v>36</v>
      </c>
    </row>
    <row r="919" spans="1:29" x14ac:dyDescent="0.25">
      <c r="A919">
        <v>967</v>
      </c>
      <c r="B919">
        <v>15575</v>
      </c>
      <c r="C919">
        <v>1382</v>
      </c>
      <c r="D919">
        <v>16957</v>
      </c>
      <c r="E919" t="s">
        <v>46</v>
      </c>
      <c r="F919">
        <v>33</v>
      </c>
      <c r="G919" t="s">
        <v>61</v>
      </c>
      <c r="H919" t="s">
        <v>30</v>
      </c>
      <c r="I919">
        <v>3</v>
      </c>
      <c r="J919" t="s">
        <v>58</v>
      </c>
      <c r="K919">
        <v>554</v>
      </c>
      <c r="L919" t="s">
        <v>66</v>
      </c>
      <c r="M919">
        <v>3</v>
      </c>
      <c r="N919" t="s">
        <v>44</v>
      </c>
      <c r="O919">
        <v>0.39</v>
      </c>
      <c r="P919" t="s">
        <v>67</v>
      </c>
      <c r="Q919">
        <v>18384</v>
      </c>
      <c r="R919">
        <v>30666</v>
      </c>
      <c r="S919" t="s">
        <v>44</v>
      </c>
      <c r="T919">
        <v>28632</v>
      </c>
      <c r="U919" t="s">
        <v>64</v>
      </c>
      <c r="V919">
        <v>84</v>
      </c>
      <c r="W919">
        <v>7</v>
      </c>
      <c r="X919" t="s">
        <v>47</v>
      </c>
      <c r="Y919" t="s">
        <v>32</v>
      </c>
      <c r="Z919" t="s">
        <v>39</v>
      </c>
      <c r="AA919" t="s">
        <v>34</v>
      </c>
      <c r="AB919" t="s">
        <v>43</v>
      </c>
      <c r="AC919" t="s">
        <v>36</v>
      </c>
    </row>
    <row r="920" spans="1:29" x14ac:dyDescent="0.25">
      <c r="A920">
        <v>968</v>
      </c>
      <c r="B920">
        <v>9970</v>
      </c>
      <c r="C920">
        <v>1403</v>
      </c>
      <c r="D920">
        <v>11373</v>
      </c>
      <c r="E920" t="s">
        <v>29</v>
      </c>
      <c r="F920">
        <v>36</v>
      </c>
      <c r="G920" t="s">
        <v>65</v>
      </c>
      <c r="H920" t="s">
        <v>41</v>
      </c>
      <c r="I920">
        <v>1</v>
      </c>
      <c r="J920" t="s">
        <v>68</v>
      </c>
      <c r="K920">
        <v>564</v>
      </c>
      <c r="L920" t="s">
        <v>66</v>
      </c>
      <c r="M920">
        <v>2</v>
      </c>
      <c r="N920" t="s">
        <v>44</v>
      </c>
      <c r="O920">
        <v>0.14000000000000001</v>
      </c>
      <c r="P920" t="s">
        <v>59</v>
      </c>
      <c r="Q920">
        <v>17855</v>
      </c>
      <c r="R920">
        <v>37389</v>
      </c>
      <c r="S920" t="s">
        <v>44</v>
      </c>
      <c r="T920">
        <v>3057</v>
      </c>
      <c r="U920" t="s">
        <v>73</v>
      </c>
      <c r="V920">
        <v>36</v>
      </c>
      <c r="W920">
        <v>3</v>
      </c>
      <c r="X920" t="s">
        <v>42</v>
      </c>
      <c r="Y920" t="s">
        <v>32</v>
      </c>
      <c r="Z920" t="s">
        <v>39</v>
      </c>
      <c r="AA920" t="s">
        <v>40</v>
      </c>
      <c r="AB920" t="s">
        <v>35</v>
      </c>
      <c r="AC920" t="s">
        <v>36</v>
      </c>
    </row>
    <row r="921" spans="1:29" x14ac:dyDescent="0.25">
      <c r="A921">
        <v>969</v>
      </c>
      <c r="B921">
        <v>4143</v>
      </c>
      <c r="C921">
        <v>0</v>
      </c>
      <c r="D921">
        <v>4143</v>
      </c>
      <c r="E921" t="s">
        <v>29</v>
      </c>
      <c r="F921">
        <v>29</v>
      </c>
      <c r="G921" t="s">
        <v>61</v>
      </c>
      <c r="H921" t="s">
        <v>30</v>
      </c>
      <c r="I921">
        <v>1</v>
      </c>
      <c r="J921" t="s">
        <v>68</v>
      </c>
      <c r="K921">
        <v>672</v>
      </c>
      <c r="L921" t="s">
        <v>63</v>
      </c>
      <c r="M921">
        <v>0</v>
      </c>
      <c r="N921" t="s">
        <v>36</v>
      </c>
      <c r="O921">
        <v>0.32</v>
      </c>
      <c r="P921" t="s">
        <v>67</v>
      </c>
      <c r="Q921">
        <v>17920</v>
      </c>
      <c r="R921">
        <v>47700</v>
      </c>
      <c r="S921" t="s">
        <v>44</v>
      </c>
      <c r="T921">
        <v>34431</v>
      </c>
      <c r="U921" t="s">
        <v>64</v>
      </c>
      <c r="V921">
        <v>84</v>
      </c>
      <c r="W921">
        <v>7</v>
      </c>
      <c r="X921" t="s">
        <v>31</v>
      </c>
      <c r="Y921" t="s">
        <v>32</v>
      </c>
      <c r="Z921" t="s">
        <v>33</v>
      </c>
      <c r="AA921" t="s">
        <v>40</v>
      </c>
      <c r="AB921" t="s">
        <v>43</v>
      </c>
      <c r="AC921" t="s">
        <v>36</v>
      </c>
    </row>
    <row r="922" spans="1:29" x14ac:dyDescent="0.25">
      <c r="A922">
        <v>970</v>
      </c>
      <c r="B922">
        <v>11503</v>
      </c>
      <c r="C922">
        <v>3292</v>
      </c>
      <c r="D922">
        <v>14795</v>
      </c>
      <c r="E922" t="s">
        <v>29</v>
      </c>
      <c r="F922">
        <v>32</v>
      </c>
      <c r="G922" t="s">
        <v>61</v>
      </c>
      <c r="H922" t="s">
        <v>41</v>
      </c>
      <c r="I922">
        <v>0</v>
      </c>
      <c r="J922" t="s">
        <v>54</v>
      </c>
      <c r="K922">
        <v>693</v>
      </c>
      <c r="L922" t="s">
        <v>63</v>
      </c>
      <c r="M922">
        <v>2</v>
      </c>
      <c r="N922" t="s">
        <v>44</v>
      </c>
      <c r="O922">
        <v>0.19</v>
      </c>
      <c r="P922" t="s">
        <v>59</v>
      </c>
      <c r="Q922">
        <v>16702</v>
      </c>
      <c r="R922">
        <v>33607</v>
      </c>
      <c r="S922" t="s">
        <v>44</v>
      </c>
      <c r="T922">
        <v>38436</v>
      </c>
      <c r="U922" t="s">
        <v>60</v>
      </c>
      <c r="V922">
        <v>72</v>
      </c>
      <c r="W922">
        <v>6</v>
      </c>
      <c r="X922" t="s">
        <v>50</v>
      </c>
      <c r="Y922" t="s">
        <v>32</v>
      </c>
      <c r="Z922" t="s">
        <v>39</v>
      </c>
      <c r="AA922" t="s">
        <v>40</v>
      </c>
      <c r="AB922" t="s">
        <v>43</v>
      </c>
      <c r="AC922" t="s">
        <v>36</v>
      </c>
    </row>
    <row r="923" spans="1:29" x14ac:dyDescent="0.25">
      <c r="A923">
        <v>971</v>
      </c>
      <c r="B923">
        <v>17149</v>
      </c>
      <c r="C923">
        <v>9011</v>
      </c>
      <c r="D923">
        <v>26160</v>
      </c>
      <c r="E923" t="s">
        <v>49</v>
      </c>
      <c r="F923">
        <v>58</v>
      </c>
      <c r="G923" t="s">
        <v>69</v>
      </c>
      <c r="H923" t="s">
        <v>41</v>
      </c>
      <c r="I923">
        <v>2</v>
      </c>
      <c r="J923" t="s">
        <v>62</v>
      </c>
      <c r="K923">
        <v>550</v>
      </c>
      <c r="L923" t="s">
        <v>66</v>
      </c>
      <c r="M923">
        <v>2</v>
      </c>
      <c r="N923" t="s">
        <v>44</v>
      </c>
      <c r="O923">
        <v>0.59</v>
      </c>
      <c r="P923" t="s">
        <v>56</v>
      </c>
      <c r="Q923">
        <v>5153</v>
      </c>
      <c r="R923">
        <v>24578</v>
      </c>
      <c r="S923" t="s">
        <v>44</v>
      </c>
      <c r="T923">
        <v>19413</v>
      </c>
      <c r="U923" t="s">
        <v>57</v>
      </c>
      <c r="V923">
        <v>36</v>
      </c>
      <c r="W923">
        <v>3</v>
      </c>
      <c r="X923" t="s">
        <v>50</v>
      </c>
      <c r="Y923" t="s">
        <v>45</v>
      </c>
      <c r="Z923" t="s">
        <v>39</v>
      </c>
      <c r="AA923" t="s">
        <v>40</v>
      </c>
      <c r="AB923" t="s">
        <v>42</v>
      </c>
      <c r="AC923" t="s">
        <v>36</v>
      </c>
    </row>
    <row r="924" spans="1:29" x14ac:dyDescent="0.25">
      <c r="A924">
        <v>972</v>
      </c>
      <c r="B924">
        <v>14175</v>
      </c>
      <c r="C924">
        <v>419</v>
      </c>
      <c r="D924">
        <v>14594</v>
      </c>
      <c r="E924" t="s">
        <v>49</v>
      </c>
      <c r="F924">
        <v>39</v>
      </c>
      <c r="G924" t="s">
        <v>65</v>
      </c>
      <c r="H924" t="s">
        <v>30</v>
      </c>
      <c r="I924">
        <v>2</v>
      </c>
      <c r="J924" t="s">
        <v>62</v>
      </c>
      <c r="K924">
        <v>693</v>
      </c>
      <c r="L924" t="s">
        <v>63</v>
      </c>
      <c r="M924">
        <v>2</v>
      </c>
      <c r="N924" t="s">
        <v>44</v>
      </c>
      <c r="O924">
        <v>0.38</v>
      </c>
      <c r="P924" t="s">
        <v>67</v>
      </c>
      <c r="Q924">
        <v>1894</v>
      </c>
      <c r="R924">
        <v>9243</v>
      </c>
      <c r="S924" t="s">
        <v>44</v>
      </c>
      <c r="T924">
        <v>31225</v>
      </c>
      <c r="U924" t="s">
        <v>64</v>
      </c>
      <c r="V924">
        <v>60</v>
      </c>
      <c r="W924">
        <v>5</v>
      </c>
      <c r="X924" t="s">
        <v>42</v>
      </c>
      <c r="Y924" t="s">
        <v>45</v>
      </c>
      <c r="Z924" t="s">
        <v>39</v>
      </c>
      <c r="AA924" t="s">
        <v>34</v>
      </c>
      <c r="AB924" t="s">
        <v>35</v>
      </c>
      <c r="AC924" t="s">
        <v>44</v>
      </c>
    </row>
    <row r="925" spans="1:29" x14ac:dyDescent="0.25">
      <c r="A925">
        <v>973</v>
      </c>
      <c r="B925">
        <v>10356</v>
      </c>
      <c r="C925">
        <v>4517</v>
      </c>
      <c r="D925">
        <v>14873</v>
      </c>
      <c r="E925" t="s">
        <v>48</v>
      </c>
      <c r="F925">
        <v>27</v>
      </c>
      <c r="G925" t="s">
        <v>61</v>
      </c>
      <c r="H925" t="s">
        <v>30</v>
      </c>
      <c r="I925">
        <v>0</v>
      </c>
      <c r="J925" t="s">
        <v>54</v>
      </c>
      <c r="K925">
        <v>714</v>
      </c>
      <c r="L925" t="s">
        <v>63</v>
      </c>
      <c r="M925">
        <v>4</v>
      </c>
      <c r="N925" t="s">
        <v>44</v>
      </c>
      <c r="O925">
        <v>0.44</v>
      </c>
      <c r="P925" t="s">
        <v>70</v>
      </c>
      <c r="Q925">
        <v>7991</v>
      </c>
      <c r="R925">
        <v>9596</v>
      </c>
      <c r="S925" t="s">
        <v>44</v>
      </c>
      <c r="T925">
        <v>39485</v>
      </c>
      <c r="U925" t="s">
        <v>60</v>
      </c>
      <c r="V925">
        <v>84</v>
      </c>
      <c r="W925">
        <v>7</v>
      </c>
      <c r="X925" t="s">
        <v>31</v>
      </c>
      <c r="Y925" t="s">
        <v>45</v>
      </c>
      <c r="Z925" t="s">
        <v>33</v>
      </c>
      <c r="AA925" t="s">
        <v>40</v>
      </c>
      <c r="AB925" t="s">
        <v>35</v>
      </c>
      <c r="AC925" t="s">
        <v>36</v>
      </c>
    </row>
    <row r="926" spans="1:29" x14ac:dyDescent="0.25">
      <c r="A926">
        <v>974</v>
      </c>
      <c r="B926">
        <v>17070</v>
      </c>
      <c r="C926">
        <v>3302</v>
      </c>
      <c r="D926">
        <v>20372</v>
      </c>
      <c r="E926" t="s">
        <v>46</v>
      </c>
      <c r="F926">
        <v>55</v>
      </c>
      <c r="G926" t="s">
        <v>69</v>
      </c>
      <c r="H926" t="s">
        <v>30</v>
      </c>
      <c r="I926">
        <v>0</v>
      </c>
      <c r="J926" t="s">
        <v>54</v>
      </c>
      <c r="K926">
        <v>552</v>
      </c>
      <c r="L926" t="s">
        <v>66</v>
      </c>
      <c r="M926">
        <v>4</v>
      </c>
      <c r="N926" t="s">
        <v>44</v>
      </c>
      <c r="O926">
        <v>0.26</v>
      </c>
      <c r="P926" t="s">
        <v>59</v>
      </c>
      <c r="Q926">
        <v>15439</v>
      </c>
      <c r="R926">
        <v>6998</v>
      </c>
      <c r="S926" t="s">
        <v>44</v>
      </c>
      <c r="T926">
        <v>3696</v>
      </c>
      <c r="U926" t="s">
        <v>73</v>
      </c>
      <c r="V926">
        <v>48</v>
      </c>
      <c r="W926">
        <v>4</v>
      </c>
      <c r="X926" t="s">
        <v>50</v>
      </c>
      <c r="Y926" t="s">
        <v>32</v>
      </c>
      <c r="Z926" t="s">
        <v>33</v>
      </c>
      <c r="AA926" t="s">
        <v>40</v>
      </c>
      <c r="AB926" t="s">
        <v>42</v>
      </c>
      <c r="AC926" t="s">
        <v>36</v>
      </c>
    </row>
    <row r="927" spans="1:29" x14ac:dyDescent="0.25">
      <c r="A927">
        <v>975</v>
      </c>
      <c r="B927">
        <v>2822</v>
      </c>
      <c r="C927">
        <v>7857</v>
      </c>
      <c r="D927">
        <v>10679</v>
      </c>
      <c r="E927" t="s">
        <v>29</v>
      </c>
      <c r="F927">
        <v>38</v>
      </c>
      <c r="G927" t="s">
        <v>65</v>
      </c>
      <c r="H927" t="s">
        <v>41</v>
      </c>
      <c r="I927">
        <v>3</v>
      </c>
      <c r="J927" t="s">
        <v>58</v>
      </c>
      <c r="K927">
        <v>729</v>
      </c>
      <c r="L927" t="s">
        <v>63</v>
      </c>
      <c r="M927">
        <v>1</v>
      </c>
      <c r="N927" t="s">
        <v>44</v>
      </c>
      <c r="O927">
        <v>0.15</v>
      </c>
      <c r="P927" t="s">
        <v>59</v>
      </c>
      <c r="Q927">
        <v>9467</v>
      </c>
      <c r="R927">
        <v>10129</v>
      </c>
      <c r="S927" t="s">
        <v>44</v>
      </c>
      <c r="T927">
        <v>17101</v>
      </c>
      <c r="U927" t="s">
        <v>57</v>
      </c>
      <c r="V927">
        <v>72</v>
      </c>
      <c r="W927">
        <v>6</v>
      </c>
      <c r="X927" t="s">
        <v>42</v>
      </c>
      <c r="Y927" t="s">
        <v>32</v>
      </c>
      <c r="Z927" t="s">
        <v>33</v>
      </c>
      <c r="AA927" t="s">
        <v>40</v>
      </c>
      <c r="AB927" t="s">
        <v>43</v>
      </c>
      <c r="AC927" t="s">
        <v>36</v>
      </c>
    </row>
    <row r="928" spans="1:29" x14ac:dyDescent="0.25">
      <c r="A928">
        <v>976</v>
      </c>
      <c r="B928">
        <v>19327</v>
      </c>
      <c r="C928">
        <v>0</v>
      </c>
      <c r="D928">
        <v>19327</v>
      </c>
      <c r="E928" t="s">
        <v>29</v>
      </c>
      <c r="F928">
        <v>36</v>
      </c>
      <c r="G928" t="s">
        <v>65</v>
      </c>
      <c r="H928" t="s">
        <v>41</v>
      </c>
      <c r="I928">
        <v>3</v>
      </c>
      <c r="J928" t="s">
        <v>58</v>
      </c>
      <c r="K928">
        <v>596</v>
      </c>
      <c r="L928" t="s">
        <v>55</v>
      </c>
      <c r="M928">
        <v>0</v>
      </c>
      <c r="N928" t="s">
        <v>36</v>
      </c>
      <c r="O928">
        <v>0.59</v>
      </c>
      <c r="P928" t="s">
        <v>56</v>
      </c>
      <c r="Q928">
        <v>5935</v>
      </c>
      <c r="R928">
        <v>510</v>
      </c>
      <c r="S928" t="s">
        <v>44</v>
      </c>
      <c r="T928">
        <v>9831</v>
      </c>
      <c r="U928" t="s">
        <v>57</v>
      </c>
      <c r="V928">
        <v>24</v>
      </c>
      <c r="W928">
        <v>2</v>
      </c>
      <c r="X928" t="s">
        <v>42</v>
      </c>
      <c r="Y928" t="s">
        <v>38</v>
      </c>
      <c r="Z928" t="s">
        <v>39</v>
      </c>
      <c r="AA928" t="s">
        <v>40</v>
      </c>
      <c r="AB928" t="s">
        <v>35</v>
      </c>
      <c r="AC928" t="s">
        <v>36</v>
      </c>
    </row>
    <row r="929" spans="1:29" x14ac:dyDescent="0.25">
      <c r="A929">
        <v>977</v>
      </c>
      <c r="B929">
        <v>16289</v>
      </c>
      <c r="C929">
        <v>0</v>
      </c>
      <c r="D929">
        <v>16289</v>
      </c>
      <c r="E929" t="s">
        <v>46</v>
      </c>
      <c r="F929">
        <v>59</v>
      </c>
      <c r="G929" t="s">
        <v>69</v>
      </c>
      <c r="H929" t="s">
        <v>41</v>
      </c>
      <c r="I929">
        <v>1</v>
      </c>
      <c r="J929" t="s">
        <v>68</v>
      </c>
      <c r="K929">
        <v>644</v>
      </c>
      <c r="L929" t="s">
        <v>55</v>
      </c>
      <c r="M929">
        <v>3</v>
      </c>
      <c r="N929" t="s">
        <v>44</v>
      </c>
      <c r="O929">
        <v>0.24</v>
      </c>
      <c r="P929" t="s">
        <v>59</v>
      </c>
      <c r="Q929">
        <v>17107</v>
      </c>
      <c r="R929">
        <v>11596</v>
      </c>
      <c r="S929" t="s">
        <v>44</v>
      </c>
      <c r="T929">
        <v>20047</v>
      </c>
      <c r="U929" t="s">
        <v>64</v>
      </c>
      <c r="V929">
        <v>60</v>
      </c>
      <c r="W929">
        <v>5</v>
      </c>
      <c r="X929" t="s">
        <v>47</v>
      </c>
      <c r="Y929" t="s">
        <v>32</v>
      </c>
      <c r="Z929" t="s">
        <v>33</v>
      </c>
      <c r="AA929" t="s">
        <v>40</v>
      </c>
      <c r="AB929" t="s">
        <v>48</v>
      </c>
      <c r="AC929" t="s">
        <v>36</v>
      </c>
    </row>
    <row r="930" spans="1:29" x14ac:dyDescent="0.25">
      <c r="A930">
        <v>978</v>
      </c>
      <c r="B930">
        <v>8150</v>
      </c>
      <c r="C930">
        <v>5693</v>
      </c>
      <c r="D930">
        <v>13843</v>
      </c>
      <c r="E930" t="s">
        <v>46</v>
      </c>
      <c r="F930">
        <v>24</v>
      </c>
      <c r="G930" t="s">
        <v>72</v>
      </c>
      <c r="H930" t="s">
        <v>30</v>
      </c>
      <c r="I930">
        <v>2</v>
      </c>
      <c r="J930" t="s">
        <v>62</v>
      </c>
      <c r="K930">
        <v>562</v>
      </c>
      <c r="L930" t="s">
        <v>66</v>
      </c>
      <c r="M930">
        <v>2</v>
      </c>
      <c r="N930" t="s">
        <v>44</v>
      </c>
      <c r="O930">
        <v>0.31</v>
      </c>
      <c r="P930" t="s">
        <v>67</v>
      </c>
      <c r="Q930">
        <v>2329</v>
      </c>
      <c r="R930">
        <v>12974</v>
      </c>
      <c r="S930" t="s">
        <v>44</v>
      </c>
      <c r="T930">
        <v>6004</v>
      </c>
      <c r="U930" t="s">
        <v>57</v>
      </c>
      <c r="V930">
        <v>36</v>
      </c>
      <c r="W930">
        <v>3</v>
      </c>
      <c r="X930" t="s">
        <v>50</v>
      </c>
      <c r="Y930" t="s">
        <v>32</v>
      </c>
      <c r="Z930" t="s">
        <v>39</v>
      </c>
      <c r="AA930" t="s">
        <v>34</v>
      </c>
      <c r="AB930" t="s">
        <v>48</v>
      </c>
      <c r="AC930" t="s">
        <v>36</v>
      </c>
    </row>
    <row r="931" spans="1:29" x14ac:dyDescent="0.25">
      <c r="A931">
        <v>979</v>
      </c>
      <c r="B931">
        <v>6425</v>
      </c>
      <c r="C931">
        <v>0</v>
      </c>
      <c r="D931">
        <v>6425</v>
      </c>
      <c r="E931" t="s">
        <v>48</v>
      </c>
      <c r="F931">
        <v>45</v>
      </c>
      <c r="G931" t="s">
        <v>53</v>
      </c>
      <c r="H931" t="s">
        <v>41</v>
      </c>
      <c r="I931">
        <v>0</v>
      </c>
      <c r="J931" t="s">
        <v>54</v>
      </c>
      <c r="K931">
        <v>669</v>
      </c>
      <c r="L931" t="s">
        <v>55</v>
      </c>
      <c r="M931">
        <v>0</v>
      </c>
      <c r="N931" t="s">
        <v>36</v>
      </c>
      <c r="O931">
        <v>0.42</v>
      </c>
      <c r="P931" t="s">
        <v>70</v>
      </c>
      <c r="Q931">
        <v>9327</v>
      </c>
      <c r="R931">
        <v>1137</v>
      </c>
      <c r="S931" t="s">
        <v>44</v>
      </c>
      <c r="T931">
        <v>23705</v>
      </c>
      <c r="U931" t="s">
        <v>64</v>
      </c>
      <c r="V931">
        <v>84</v>
      </c>
      <c r="W931">
        <v>7</v>
      </c>
      <c r="X931" t="s">
        <v>31</v>
      </c>
      <c r="Y931" t="s">
        <v>38</v>
      </c>
      <c r="Z931" t="s">
        <v>33</v>
      </c>
      <c r="AA931" t="s">
        <v>34</v>
      </c>
      <c r="AB931" t="s">
        <v>51</v>
      </c>
      <c r="AC931" t="s">
        <v>36</v>
      </c>
    </row>
    <row r="932" spans="1:29" x14ac:dyDescent="0.25">
      <c r="A932">
        <v>980</v>
      </c>
      <c r="B932">
        <v>18032</v>
      </c>
      <c r="C932">
        <v>2044</v>
      </c>
      <c r="D932">
        <v>20076</v>
      </c>
      <c r="E932" t="s">
        <v>29</v>
      </c>
      <c r="F932">
        <v>52</v>
      </c>
      <c r="G932" t="s">
        <v>53</v>
      </c>
      <c r="H932" t="s">
        <v>41</v>
      </c>
      <c r="I932">
        <v>2</v>
      </c>
      <c r="J932" t="s">
        <v>62</v>
      </c>
      <c r="K932">
        <v>757</v>
      </c>
      <c r="L932" t="s">
        <v>71</v>
      </c>
      <c r="M932">
        <v>0</v>
      </c>
      <c r="N932" t="s">
        <v>36</v>
      </c>
      <c r="O932">
        <v>0.11</v>
      </c>
      <c r="P932" t="s">
        <v>59</v>
      </c>
      <c r="Q932">
        <v>2770</v>
      </c>
      <c r="R932">
        <v>46468</v>
      </c>
      <c r="S932" t="s">
        <v>44</v>
      </c>
      <c r="T932">
        <v>22509</v>
      </c>
      <c r="U932" t="s">
        <v>64</v>
      </c>
      <c r="V932">
        <v>48</v>
      </c>
      <c r="W932">
        <v>4</v>
      </c>
      <c r="X932" t="s">
        <v>42</v>
      </c>
      <c r="Y932" t="s">
        <v>32</v>
      </c>
      <c r="Z932" t="s">
        <v>39</v>
      </c>
      <c r="AA932" t="s">
        <v>40</v>
      </c>
      <c r="AB932" t="s">
        <v>51</v>
      </c>
      <c r="AC932" t="s">
        <v>44</v>
      </c>
    </row>
    <row r="933" spans="1:29" x14ac:dyDescent="0.25">
      <c r="A933">
        <v>981</v>
      </c>
      <c r="B933">
        <v>4198</v>
      </c>
      <c r="C933">
        <v>1549</v>
      </c>
      <c r="D933">
        <v>5747</v>
      </c>
      <c r="E933" t="s">
        <v>46</v>
      </c>
      <c r="F933">
        <v>33</v>
      </c>
      <c r="G933" t="s">
        <v>61</v>
      </c>
      <c r="H933" t="s">
        <v>41</v>
      </c>
      <c r="I933">
        <v>3</v>
      </c>
      <c r="J933" t="s">
        <v>58</v>
      </c>
      <c r="K933">
        <v>604</v>
      </c>
      <c r="L933" t="s">
        <v>55</v>
      </c>
      <c r="M933">
        <v>1</v>
      </c>
      <c r="N933" t="s">
        <v>44</v>
      </c>
      <c r="O933">
        <v>0.51</v>
      </c>
      <c r="P933" t="s">
        <v>56</v>
      </c>
      <c r="Q933">
        <v>4846</v>
      </c>
      <c r="R933">
        <v>27897</v>
      </c>
      <c r="S933" t="s">
        <v>44</v>
      </c>
      <c r="T933">
        <v>38170</v>
      </c>
      <c r="U933" t="s">
        <v>60</v>
      </c>
      <c r="V933">
        <v>12</v>
      </c>
      <c r="W933">
        <v>1</v>
      </c>
      <c r="X933" t="s">
        <v>50</v>
      </c>
      <c r="Y933" t="s">
        <v>32</v>
      </c>
      <c r="Z933" t="s">
        <v>39</v>
      </c>
      <c r="AA933" t="s">
        <v>40</v>
      </c>
      <c r="AB933" t="s">
        <v>35</v>
      </c>
      <c r="AC933" t="s">
        <v>36</v>
      </c>
    </row>
    <row r="934" spans="1:29" x14ac:dyDescent="0.25">
      <c r="A934">
        <v>982</v>
      </c>
      <c r="B934">
        <v>5452</v>
      </c>
      <c r="C934">
        <v>9956</v>
      </c>
      <c r="D934">
        <v>15408</v>
      </c>
      <c r="E934" t="s">
        <v>46</v>
      </c>
      <c r="F934">
        <v>37</v>
      </c>
      <c r="G934" t="s">
        <v>65</v>
      </c>
      <c r="H934" t="s">
        <v>41</v>
      </c>
      <c r="I934">
        <v>2</v>
      </c>
      <c r="J934" t="s">
        <v>62</v>
      </c>
      <c r="K934">
        <v>784</v>
      </c>
      <c r="L934" t="s">
        <v>71</v>
      </c>
      <c r="M934">
        <v>3</v>
      </c>
      <c r="N934" t="s">
        <v>44</v>
      </c>
      <c r="O934">
        <v>0.37</v>
      </c>
      <c r="P934" t="s">
        <v>67</v>
      </c>
      <c r="Q934">
        <v>16651</v>
      </c>
      <c r="R934">
        <v>4666</v>
      </c>
      <c r="S934" t="s">
        <v>44</v>
      </c>
      <c r="T934">
        <v>15662</v>
      </c>
      <c r="U934" t="s">
        <v>57</v>
      </c>
      <c r="V934">
        <v>48</v>
      </c>
      <c r="W934">
        <v>4</v>
      </c>
      <c r="X934" t="s">
        <v>50</v>
      </c>
      <c r="Y934" t="s">
        <v>32</v>
      </c>
      <c r="Z934" t="s">
        <v>39</v>
      </c>
      <c r="AA934" t="s">
        <v>40</v>
      </c>
      <c r="AB934" t="s">
        <v>48</v>
      </c>
      <c r="AC934" t="s">
        <v>44</v>
      </c>
    </row>
    <row r="935" spans="1:29" x14ac:dyDescent="0.25">
      <c r="A935">
        <v>983</v>
      </c>
      <c r="B935">
        <v>11106</v>
      </c>
      <c r="C935">
        <v>6140</v>
      </c>
      <c r="D935">
        <v>17246</v>
      </c>
      <c r="E935" t="s">
        <v>46</v>
      </c>
      <c r="F935">
        <v>57</v>
      </c>
      <c r="G935" t="s">
        <v>69</v>
      </c>
      <c r="H935" t="s">
        <v>30</v>
      </c>
      <c r="I935">
        <v>3</v>
      </c>
      <c r="J935" t="s">
        <v>58</v>
      </c>
      <c r="K935">
        <v>698</v>
      </c>
      <c r="L935" t="s">
        <v>63</v>
      </c>
      <c r="M935">
        <v>2</v>
      </c>
      <c r="N935" t="s">
        <v>44</v>
      </c>
      <c r="O935">
        <v>0.24</v>
      </c>
      <c r="P935" t="s">
        <v>59</v>
      </c>
      <c r="Q935">
        <v>16276</v>
      </c>
      <c r="R935">
        <v>8906</v>
      </c>
      <c r="S935" t="s">
        <v>44</v>
      </c>
      <c r="T935">
        <v>39680</v>
      </c>
      <c r="U935" t="s">
        <v>60</v>
      </c>
      <c r="V935">
        <v>48</v>
      </c>
      <c r="W935">
        <v>4</v>
      </c>
      <c r="X935" t="s">
        <v>42</v>
      </c>
      <c r="Y935" t="s">
        <v>32</v>
      </c>
      <c r="Z935" t="s">
        <v>33</v>
      </c>
      <c r="AA935" t="s">
        <v>34</v>
      </c>
      <c r="AB935" t="s">
        <v>43</v>
      </c>
      <c r="AC935" t="s">
        <v>44</v>
      </c>
    </row>
    <row r="936" spans="1:29" x14ac:dyDescent="0.25">
      <c r="A936">
        <v>984</v>
      </c>
      <c r="B936">
        <v>15859</v>
      </c>
      <c r="C936">
        <v>3716</v>
      </c>
      <c r="D936">
        <v>19575</v>
      </c>
      <c r="E936" t="s">
        <v>46</v>
      </c>
      <c r="F936">
        <v>26</v>
      </c>
      <c r="G936" t="s">
        <v>61</v>
      </c>
      <c r="H936" t="s">
        <v>30</v>
      </c>
      <c r="I936">
        <v>0</v>
      </c>
      <c r="J936" t="s">
        <v>54</v>
      </c>
      <c r="K936">
        <v>615</v>
      </c>
      <c r="L936" t="s">
        <v>55</v>
      </c>
      <c r="M936">
        <v>3</v>
      </c>
      <c r="N936" t="s">
        <v>44</v>
      </c>
      <c r="O936">
        <v>0.13</v>
      </c>
      <c r="P936" t="s">
        <v>59</v>
      </c>
      <c r="Q936">
        <v>14633</v>
      </c>
      <c r="R936">
        <v>21818</v>
      </c>
      <c r="S936" t="s">
        <v>44</v>
      </c>
      <c r="T936">
        <v>1394</v>
      </c>
      <c r="U936" t="s">
        <v>73</v>
      </c>
      <c r="V936">
        <v>72</v>
      </c>
      <c r="W936">
        <v>6</v>
      </c>
      <c r="X936" t="s">
        <v>37</v>
      </c>
      <c r="Y936" t="s">
        <v>32</v>
      </c>
      <c r="Z936" t="s">
        <v>33</v>
      </c>
      <c r="AA936" t="s">
        <v>40</v>
      </c>
      <c r="AB936" t="s">
        <v>35</v>
      </c>
      <c r="AC936" t="s">
        <v>36</v>
      </c>
    </row>
    <row r="937" spans="1:29" x14ac:dyDescent="0.25">
      <c r="A937">
        <v>985</v>
      </c>
      <c r="B937">
        <v>19692</v>
      </c>
      <c r="C937">
        <v>4481</v>
      </c>
      <c r="D937">
        <v>24173</v>
      </c>
      <c r="E937" t="s">
        <v>49</v>
      </c>
      <c r="F937">
        <v>39</v>
      </c>
      <c r="G937" t="s">
        <v>65</v>
      </c>
      <c r="H937" t="s">
        <v>41</v>
      </c>
      <c r="I937">
        <v>0</v>
      </c>
      <c r="J937" t="s">
        <v>54</v>
      </c>
      <c r="K937">
        <v>731</v>
      </c>
      <c r="L937" t="s">
        <v>63</v>
      </c>
      <c r="M937">
        <v>1</v>
      </c>
      <c r="N937" t="s">
        <v>44</v>
      </c>
      <c r="O937">
        <v>0.18</v>
      </c>
      <c r="P937" t="s">
        <v>59</v>
      </c>
      <c r="Q937">
        <v>13628</v>
      </c>
      <c r="R937">
        <v>43246</v>
      </c>
      <c r="S937" t="s">
        <v>44</v>
      </c>
      <c r="T937">
        <v>37365</v>
      </c>
      <c r="U937" t="s">
        <v>60</v>
      </c>
      <c r="V937">
        <v>48</v>
      </c>
      <c r="W937">
        <v>4</v>
      </c>
      <c r="X937" t="s">
        <v>37</v>
      </c>
      <c r="Y937" t="s">
        <v>32</v>
      </c>
      <c r="Z937" t="s">
        <v>39</v>
      </c>
      <c r="AA937" t="s">
        <v>40</v>
      </c>
      <c r="AB937" t="s">
        <v>35</v>
      </c>
      <c r="AC937" t="s">
        <v>44</v>
      </c>
    </row>
    <row r="938" spans="1:29" x14ac:dyDescent="0.25">
      <c r="A938">
        <v>986</v>
      </c>
      <c r="B938">
        <v>10705</v>
      </c>
      <c r="C938">
        <v>7898</v>
      </c>
      <c r="D938">
        <v>18603</v>
      </c>
      <c r="E938" t="s">
        <v>29</v>
      </c>
      <c r="F938">
        <v>33</v>
      </c>
      <c r="G938" t="s">
        <v>61</v>
      </c>
      <c r="H938" t="s">
        <v>41</v>
      </c>
      <c r="I938">
        <v>1</v>
      </c>
      <c r="J938" t="s">
        <v>68</v>
      </c>
      <c r="K938">
        <v>704</v>
      </c>
      <c r="L938" t="s">
        <v>63</v>
      </c>
      <c r="M938">
        <v>4</v>
      </c>
      <c r="N938" t="s">
        <v>44</v>
      </c>
      <c r="O938">
        <v>0.55000000000000004</v>
      </c>
      <c r="P938" t="s">
        <v>56</v>
      </c>
      <c r="Q938">
        <v>569</v>
      </c>
      <c r="R938">
        <v>2654</v>
      </c>
      <c r="S938" t="s">
        <v>44</v>
      </c>
      <c r="T938">
        <v>11524</v>
      </c>
      <c r="U938" t="s">
        <v>57</v>
      </c>
      <c r="V938">
        <v>84</v>
      </c>
      <c r="W938">
        <v>7</v>
      </c>
      <c r="X938" t="s">
        <v>47</v>
      </c>
      <c r="Y938" t="s">
        <v>45</v>
      </c>
      <c r="Z938" t="s">
        <v>39</v>
      </c>
      <c r="AA938" t="s">
        <v>34</v>
      </c>
      <c r="AB938" t="s">
        <v>35</v>
      </c>
      <c r="AC938" t="s">
        <v>36</v>
      </c>
    </row>
    <row r="939" spans="1:29" x14ac:dyDescent="0.25">
      <c r="A939">
        <v>987</v>
      </c>
      <c r="B939">
        <v>12112</v>
      </c>
      <c r="C939">
        <v>6548</v>
      </c>
      <c r="D939">
        <v>18660</v>
      </c>
      <c r="E939" t="s">
        <v>49</v>
      </c>
      <c r="F939">
        <v>46</v>
      </c>
      <c r="G939" t="s">
        <v>53</v>
      </c>
      <c r="H939" t="s">
        <v>30</v>
      </c>
      <c r="I939">
        <v>1</v>
      </c>
      <c r="J939" t="s">
        <v>68</v>
      </c>
      <c r="K939">
        <v>715</v>
      </c>
      <c r="L939" t="s">
        <v>63</v>
      </c>
      <c r="M939">
        <v>0</v>
      </c>
      <c r="N939" t="s">
        <v>36</v>
      </c>
      <c r="O939">
        <v>0.44</v>
      </c>
      <c r="P939" t="s">
        <v>70</v>
      </c>
      <c r="Q939">
        <v>1973</v>
      </c>
      <c r="R939">
        <v>33758</v>
      </c>
      <c r="S939" t="s">
        <v>44</v>
      </c>
      <c r="T939">
        <v>34097</v>
      </c>
      <c r="U939" t="s">
        <v>64</v>
      </c>
      <c r="V939">
        <v>84</v>
      </c>
      <c r="W939">
        <v>7</v>
      </c>
      <c r="X939" t="s">
        <v>50</v>
      </c>
      <c r="Y939" t="s">
        <v>32</v>
      </c>
      <c r="Z939" t="s">
        <v>33</v>
      </c>
      <c r="AA939" t="s">
        <v>40</v>
      </c>
      <c r="AB939" t="s">
        <v>43</v>
      </c>
      <c r="AC939" t="s">
        <v>36</v>
      </c>
    </row>
    <row r="940" spans="1:29" x14ac:dyDescent="0.25">
      <c r="A940">
        <v>988</v>
      </c>
      <c r="B940">
        <v>6841</v>
      </c>
      <c r="C940">
        <v>2293</v>
      </c>
      <c r="D940">
        <v>9134</v>
      </c>
      <c r="E940" t="s">
        <v>46</v>
      </c>
      <c r="F940">
        <v>34</v>
      </c>
      <c r="G940" t="s">
        <v>61</v>
      </c>
      <c r="H940" t="s">
        <v>30</v>
      </c>
      <c r="I940">
        <v>2</v>
      </c>
      <c r="J940" t="s">
        <v>62</v>
      </c>
      <c r="K940">
        <v>639</v>
      </c>
      <c r="L940" t="s">
        <v>55</v>
      </c>
      <c r="M940">
        <v>2</v>
      </c>
      <c r="N940" t="s">
        <v>44</v>
      </c>
      <c r="O940">
        <v>0.22</v>
      </c>
      <c r="P940" t="s">
        <v>59</v>
      </c>
      <c r="Q940">
        <v>2822</v>
      </c>
      <c r="R940">
        <v>24204</v>
      </c>
      <c r="S940" t="s">
        <v>44</v>
      </c>
      <c r="T940">
        <v>27673</v>
      </c>
      <c r="U940" t="s">
        <v>64</v>
      </c>
      <c r="V940">
        <v>36</v>
      </c>
      <c r="W940">
        <v>3</v>
      </c>
      <c r="X940" t="s">
        <v>37</v>
      </c>
      <c r="Y940" t="s">
        <v>38</v>
      </c>
      <c r="Z940" t="s">
        <v>39</v>
      </c>
      <c r="AA940" t="s">
        <v>40</v>
      </c>
      <c r="AB940" t="s">
        <v>35</v>
      </c>
      <c r="AC940" t="s">
        <v>36</v>
      </c>
    </row>
    <row r="941" spans="1:29" x14ac:dyDescent="0.25">
      <c r="A941">
        <v>989</v>
      </c>
      <c r="B941">
        <v>17358</v>
      </c>
      <c r="C941">
        <v>4837</v>
      </c>
      <c r="D941">
        <v>22195</v>
      </c>
      <c r="E941" t="s">
        <v>49</v>
      </c>
      <c r="F941">
        <v>51</v>
      </c>
      <c r="G941" t="s">
        <v>53</v>
      </c>
      <c r="H941" t="s">
        <v>30</v>
      </c>
      <c r="I941">
        <v>0</v>
      </c>
      <c r="J941" t="s">
        <v>54</v>
      </c>
      <c r="K941">
        <v>735</v>
      </c>
      <c r="L941" t="s">
        <v>63</v>
      </c>
      <c r="M941">
        <v>4</v>
      </c>
      <c r="N941" t="s">
        <v>44</v>
      </c>
      <c r="O941">
        <v>0.13</v>
      </c>
      <c r="P941" t="s">
        <v>59</v>
      </c>
      <c r="Q941">
        <v>270</v>
      </c>
      <c r="R941">
        <v>34928</v>
      </c>
      <c r="S941" t="s">
        <v>44</v>
      </c>
      <c r="T941">
        <v>18156</v>
      </c>
      <c r="U941" t="s">
        <v>57</v>
      </c>
      <c r="V941">
        <v>84</v>
      </c>
      <c r="W941">
        <v>7</v>
      </c>
      <c r="X941" t="s">
        <v>47</v>
      </c>
      <c r="Y941" t="s">
        <v>32</v>
      </c>
      <c r="Z941" t="s">
        <v>39</v>
      </c>
      <c r="AA941" t="s">
        <v>34</v>
      </c>
      <c r="AB941" t="s">
        <v>43</v>
      </c>
      <c r="AC941" t="s">
        <v>44</v>
      </c>
    </row>
    <row r="942" spans="1:29" x14ac:dyDescent="0.25">
      <c r="A942">
        <v>990</v>
      </c>
      <c r="B942">
        <v>0</v>
      </c>
      <c r="C942">
        <v>7758</v>
      </c>
      <c r="D942">
        <v>7758</v>
      </c>
      <c r="E942" t="s">
        <v>49</v>
      </c>
      <c r="F942">
        <v>24</v>
      </c>
      <c r="G942" t="s">
        <v>72</v>
      </c>
      <c r="H942" t="s">
        <v>30</v>
      </c>
      <c r="I942">
        <v>0</v>
      </c>
      <c r="J942" t="s">
        <v>54</v>
      </c>
      <c r="K942">
        <v>611</v>
      </c>
      <c r="L942" t="s">
        <v>55</v>
      </c>
      <c r="M942">
        <v>1</v>
      </c>
      <c r="N942" t="s">
        <v>44</v>
      </c>
      <c r="O942">
        <v>0.45</v>
      </c>
      <c r="P942" t="s">
        <v>70</v>
      </c>
      <c r="Q942">
        <v>16320</v>
      </c>
      <c r="R942">
        <v>30552</v>
      </c>
      <c r="S942" t="s">
        <v>44</v>
      </c>
      <c r="T942">
        <v>2645</v>
      </c>
      <c r="U942" t="s">
        <v>73</v>
      </c>
      <c r="V942">
        <v>36</v>
      </c>
      <c r="W942">
        <v>3</v>
      </c>
      <c r="X942" t="s">
        <v>42</v>
      </c>
      <c r="Y942" t="s">
        <v>38</v>
      </c>
      <c r="Z942" t="s">
        <v>33</v>
      </c>
      <c r="AA942" t="s">
        <v>40</v>
      </c>
      <c r="AB942" t="s">
        <v>43</v>
      </c>
      <c r="AC942" t="s">
        <v>36</v>
      </c>
    </row>
    <row r="943" spans="1:29" x14ac:dyDescent="0.25">
      <c r="A943">
        <v>991</v>
      </c>
      <c r="B943">
        <v>6566</v>
      </c>
      <c r="C943">
        <v>6793</v>
      </c>
      <c r="D943">
        <v>13359</v>
      </c>
      <c r="E943" t="s">
        <v>29</v>
      </c>
      <c r="F943">
        <v>59</v>
      </c>
      <c r="G943" t="s">
        <v>69</v>
      </c>
      <c r="H943" t="s">
        <v>30</v>
      </c>
      <c r="I943">
        <v>1</v>
      </c>
      <c r="J943" t="s">
        <v>68</v>
      </c>
      <c r="K943">
        <v>651</v>
      </c>
      <c r="L943" t="s">
        <v>55</v>
      </c>
      <c r="M943">
        <v>3</v>
      </c>
      <c r="N943" t="s">
        <v>44</v>
      </c>
      <c r="O943">
        <v>0.39</v>
      </c>
      <c r="P943" t="s">
        <v>67</v>
      </c>
      <c r="Q943">
        <v>7641</v>
      </c>
      <c r="R943">
        <v>47904</v>
      </c>
      <c r="S943" t="s">
        <v>44</v>
      </c>
      <c r="T943">
        <v>30049</v>
      </c>
      <c r="U943" t="s">
        <v>64</v>
      </c>
      <c r="V943">
        <v>72</v>
      </c>
      <c r="W943">
        <v>6</v>
      </c>
      <c r="X943" t="s">
        <v>42</v>
      </c>
      <c r="Y943" t="s">
        <v>38</v>
      </c>
      <c r="Z943" t="s">
        <v>39</v>
      </c>
      <c r="AA943" t="s">
        <v>40</v>
      </c>
      <c r="AB943" t="s">
        <v>43</v>
      </c>
      <c r="AC943" t="s">
        <v>44</v>
      </c>
    </row>
    <row r="944" spans="1:29" x14ac:dyDescent="0.25">
      <c r="A944">
        <v>992</v>
      </c>
      <c r="B944">
        <v>13382</v>
      </c>
      <c r="C944">
        <v>7638</v>
      </c>
      <c r="D944">
        <v>21020</v>
      </c>
      <c r="E944" t="s">
        <v>29</v>
      </c>
      <c r="F944">
        <v>28</v>
      </c>
      <c r="G944" t="s">
        <v>61</v>
      </c>
      <c r="H944" t="s">
        <v>41</v>
      </c>
      <c r="I944">
        <v>3</v>
      </c>
      <c r="J944" t="s">
        <v>58</v>
      </c>
      <c r="K944">
        <v>723</v>
      </c>
      <c r="L944" t="s">
        <v>63</v>
      </c>
      <c r="M944">
        <v>0</v>
      </c>
      <c r="N944" t="s">
        <v>36</v>
      </c>
      <c r="O944">
        <v>0.3</v>
      </c>
      <c r="P944" t="s">
        <v>59</v>
      </c>
      <c r="Q944">
        <v>8930</v>
      </c>
      <c r="R944">
        <v>10336</v>
      </c>
      <c r="S944" t="s">
        <v>44</v>
      </c>
      <c r="T944">
        <v>10815</v>
      </c>
      <c r="U944" t="s">
        <v>57</v>
      </c>
      <c r="V944">
        <v>72</v>
      </c>
      <c r="W944">
        <v>6</v>
      </c>
      <c r="X944" t="s">
        <v>31</v>
      </c>
      <c r="Y944" t="s">
        <v>45</v>
      </c>
      <c r="Z944" t="s">
        <v>39</v>
      </c>
      <c r="AA944" t="s">
        <v>40</v>
      </c>
      <c r="AB944" t="s">
        <v>35</v>
      </c>
      <c r="AC944" t="s">
        <v>44</v>
      </c>
    </row>
    <row r="945" spans="1:29" x14ac:dyDescent="0.25">
      <c r="A945">
        <v>993</v>
      </c>
      <c r="B945">
        <v>19939</v>
      </c>
      <c r="C945">
        <v>7993</v>
      </c>
      <c r="D945">
        <v>27932</v>
      </c>
      <c r="E945" t="s">
        <v>48</v>
      </c>
      <c r="F945">
        <v>40</v>
      </c>
      <c r="G945" t="s">
        <v>65</v>
      </c>
      <c r="H945" t="s">
        <v>41</v>
      </c>
      <c r="I945">
        <v>2</v>
      </c>
      <c r="J945" t="s">
        <v>62</v>
      </c>
      <c r="K945">
        <v>766</v>
      </c>
      <c r="L945" t="s">
        <v>71</v>
      </c>
      <c r="M945">
        <v>2</v>
      </c>
      <c r="N945" t="s">
        <v>44</v>
      </c>
      <c r="O945">
        <v>0.28000000000000003</v>
      </c>
      <c r="P945" t="s">
        <v>59</v>
      </c>
      <c r="Q945">
        <v>6680</v>
      </c>
      <c r="R945">
        <v>47037</v>
      </c>
      <c r="S945" t="s">
        <v>44</v>
      </c>
      <c r="T945">
        <v>2848</v>
      </c>
      <c r="U945" t="s">
        <v>73</v>
      </c>
      <c r="V945">
        <v>24</v>
      </c>
      <c r="W945">
        <v>2</v>
      </c>
      <c r="X945" t="s">
        <v>42</v>
      </c>
      <c r="Y945" t="s">
        <v>38</v>
      </c>
      <c r="Z945" t="s">
        <v>39</v>
      </c>
      <c r="AA945" t="s">
        <v>40</v>
      </c>
      <c r="AB945" t="s">
        <v>43</v>
      </c>
      <c r="AC945" t="s">
        <v>44</v>
      </c>
    </row>
    <row r="946" spans="1:29" x14ac:dyDescent="0.25">
      <c r="A946">
        <v>994</v>
      </c>
      <c r="B946">
        <v>16596</v>
      </c>
      <c r="C946">
        <v>6007</v>
      </c>
      <c r="D946">
        <v>22603</v>
      </c>
      <c r="E946" t="s">
        <v>46</v>
      </c>
      <c r="F946">
        <v>33</v>
      </c>
      <c r="G946" t="s">
        <v>61</v>
      </c>
      <c r="H946" t="s">
        <v>30</v>
      </c>
      <c r="I946">
        <v>2</v>
      </c>
      <c r="J946" t="s">
        <v>62</v>
      </c>
      <c r="K946">
        <v>688</v>
      </c>
      <c r="L946" t="s">
        <v>63</v>
      </c>
      <c r="M946">
        <v>4</v>
      </c>
      <c r="N946" t="s">
        <v>44</v>
      </c>
      <c r="O946">
        <v>0.21</v>
      </c>
      <c r="P946" t="s">
        <v>59</v>
      </c>
      <c r="Q946">
        <v>1257</v>
      </c>
      <c r="R946">
        <v>16206</v>
      </c>
      <c r="S946" t="s">
        <v>44</v>
      </c>
      <c r="T946">
        <v>35329</v>
      </c>
      <c r="U946" t="s">
        <v>60</v>
      </c>
      <c r="V946">
        <v>24</v>
      </c>
      <c r="W946">
        <v>2</v>
      </c>
      <c r="X946" t="s">
        <v>47</v>
      </c>
      <c r="Y946" t="s">
        <v>45</v>
      </c>
      <c r="Z946" t="s">
        <v>39</v>
      </c>
      <c r="AA946" t="s">
        <v>40</v>
      </c>
      <c r="AB946" t="s">
        <v>43</v>
      </c>
      <c r="AC946" t="s">
        <v>44</v>
      </c>
    </row>
    <row r="947" spans="1:29" x14ac:dyDescent="0.25">
      <c r="A947">
        <v>996</v>
      </c>
      <c r="B947">
        <v>0</v>
      </c>
      <c r="C947">
        <v>9092</v>
      </c>
      <c r="D947">
        <v>9092</v>
      </c>
      <c r="E947" t="s">
        <v>29</v>
      </c>
      <c r="F947">
        <v>58</v>
      </c>
      <c r="G947" t="s">
        <v>69</v>
      </c>
      <c r="H947" t="s">
        <v>30</v>
      </c>
      <c r="I947">
        <v>0</v>
      </c>
      <c r="J947" t="s">
        <v>54</v>
      </c>
      <c r="K947">
        <v>557</v>
      </c>
      <c r="L947" t="s">
        <v>66</v>
      </c>
      <c r="M947">
        <v>0</v>
      </c>
      <c r="N947" t="s">
        <v>36</v>
      </c>
      <c r="O947">
        <v>0.59</v>
      </c>
      <c r="P947" t="s">
        <v>56</v>
      </c>
      <c r="Q947">
        <v>5370</v>
      </c>
      <c r="R947">
        <v>43563</v>
      </c>
      <c r="S947" t="s">
        <v>44</v>
      </c>
      <c r="T947">
        <v>8311</v>
      </c>
      <c r="U947" t="s">
        <v>57</v>
      </c>
      <c r="V947">
        <v>72</v>
      </c>
      <c r="W947">
        <v>6</v>
      </c>
      <c r="X947" t="s">
        <v>31</v>
      </c>
      <c r="Y947" t="s">
        <v>32</v>
      </c>
      <c r="Z947" t="s">
        <v>33</v>
      </c>
      <c r="AA947" t="s">
        <v>40</v>
      </c>
      <c r="AB947" t="s">
        <v>48</v>
      </c>
      <c r="AC947" t="s">
        <v>36</v>
      </c>
    </row>
    <row r="948" spans="1:29" x14ac:dyDescent="0.25">
      <c r="A948">
        <v>997</v>
      </c>
      <c r="B948">
        <v>3279</v>
      </c>
      <c r="C948">
        <v>6356</v>
      </c>
      <c r="D948">
        <v>9635</v>
      </c>
      <c r="E948" t="s">
        <v>46</v>
      </c>
      <c r="F948">
        <v>58</v>
      </c>
      <c r="G948" t="s">
        <v>69</v>
      </c>
      <c r="H948" t="s">
        <v>30</v>
      </c>
      <c r="I948">
        <v>1</v>
      </c>
      <c r="J948" t="s">
        <v>68</v>
      </c>
      <c r="K948">
        <v>646</v>
      </c>
      <c r="L948" t="s">
        <v>55</v>
      </c>
      <c r="M948">
        <v>3</v>
      </c>
      <c r="N948" t="s">
        <v>44</v>
      </c>
      <c r="O948">
        <v>0.19</v>
      </c>
      <c r="P948" t="s">
        <v>59</v>
      </c>
      <c r="Q948">
        <v>0</v>
      </c>
      <c r="R948">
        <v>18361</v>
      </c>
      <c r="S948" t="s">
        <v>44</v>
      </c>
      <c r="T948">
        <v>22563</v>
      </c>
      <c r="U948" t="s">
        <v>64</v>
      </c>
      <c r="V948">
        <v>12</v>
      </c>
      <c r="W948">
        <v>1</v>
      </c>
      <c r="X948" t="s">
        <v>42</v>
      </c>
      <c r="Y948" t="s">
        <v>32</v>
      </c>
      <c r="Z948" t="s">
        <v>39</v>
      </c>
      <c r="AA948" t="s">
        <v>34</v>
      </c>
      <c r="AB948" t="s">
        <v>43</v>
      </c>
      <c r="AC948" t="s">
        <v>36</v>
      </c>
    </row>
    <row r="949" spans="1:29" x14ac:dyDescent="0.25">
      <c r="A949">
        <v>998</v>
      </c>
      <c r="B949">
        <v>15192</v>
      </c>
      <c r="C949">
        <v>8433</v>
      </c>
      <c r="D949">
        <v>23625</v>
      </c>
      <c r="E949" t="s">
        <v>49</v>
      </c>
      <c r="F949">
        <v>48</v>
      </c>
      <c r="G949" t="s">
        <v>53</v>
      </c>
      <c r="H949" t="s">
        <v>41</v>
      </c>
      <c r="I949">
        <v>1</v>
      </c>
      <c r="J949" t="s">
        <v>68</v>
      </c>
      <c r="K949">
        <v>666</v>
      </c>
      <c r="L949" t="s">
        <v>55</v>
      </c>
      <c r="M949">
        <v>1</v>
      </c>
      <c r="N949" t="s">
        <v>44</v>
      </c>
      <c r="O949">
        <v>0.4</v>
      </c>
      <c r="P949" t="s">
        <v>67</v>
      </c>
      <c r="Q949">
        <v>8581</v>
      </c>
      <c r="R949">
        <v>41335</v>
      </c>
      <c r="S949" t="s">
        <v>44</v>
      </c>
      <c r="T949">
        <v>16203</v>
      </c>
      <c r="U949" t="s">
        <v>57</v>
      </c>
      <c r="V949">
        <v>24</v>
      </c>
      <c r="W949">
        <v>2</v>
      </c>
      <c r="X949" t="s">
        <v>47</v>
      </c>
      <c r="Y949" t="s">
        <v>45</v>
      </c>
      <c r="Z949" t="s">
        <v>39</v>
      </c>
      <c r="AA949" t="s">
        <v>40</v>
      </c>
      <c r="AB949" t="s">
        <v>51</v>
      </c>
      <c r="AC949" t="s">
        <v>36</v>
      </c>
    </row>
    <row r="950" spans="1:29" x14ac:dyDescent="0.25">
      <c r="A950">
        <v>999</v>
      </c>
      <c r="B950">
        <v>9083</v>
      </c>
      <c r="C950">
        <v>7380</v>
      </c>
      <c r="D950">
        <v>16463</v>
      </c>
      <c r="E950" t="s">
        <v>48</v>
      </c>
      <c r="F950">
        <v>50</v>
      </c>
      <c r="G950" t="s">
        <v>53</v>
      </c>
      <c r="H950" t="s">
        <v>41</v>
      </c>
      <c r="I950">
        <v>1</v>
      </c>
      <c r="J950" t="s">
        <v>68</v>
      </c>
      <c r="K950">
        <v>748</v>
      </c>
      <c r="L950" t="s">
        <v>71</v>
      </c>
      <c r="M950">
        <v>3</v>
      </c>
      <c r="N950" t="s">
        <v>44</v>
      </c>
      <c r="O950">
        <v>0.31</v>
      </c>
      <c r="P950" t="s">
        <v>67</v>
      </c>
      <c r="Q950">
        <v>13491</v>
      </c>
      <c r="R950">
        <v>8933</v>
      </c>
      <c r="S950" t="s">
        <v>44</v>
      </c>
      <c r="T950">
        <v>10290</v>
      </c>
      <c r="U950" t="s">
        <v>57</v>
      </c>
      <c r="V950">
        <v>36</v>
      </c>
      <c r="W950">
        <v>3</v>
      </c>
      <c r="X950" t="s">
        <v>31</v>
      </c>
      <c r="Y950" t="s">
        <v>32</v>
      </c>
      <c r="Z950" t="s">
        <v>39</v>
      </c>
      <c r="AA950" t="s">
        <v>40</v>
      </c>
      <c r="AB950" t="s">
        <v>35</v>
      </c>
      <c r="AC950" t="s">
        <v>44</v>
      </c>
    </row>
    <row r="951" spans="1:29" x14ac:dyDescent="0.25">
      <c r="A951">
        <v>1000</v>
      </c>
      <c r="B951">
        <v>13093</v>
      </c>
      <c r="C951">
        <v>2385</v>
      </c>
      <c r="D951">
        <v>15478</v>
      </c>
      <c r="E951" t="s">
        <v>29</v>
      </c>
      <c r="F951">
        <v>23</v>
      </c>
      <c r="G951" t="s">
        <v>72</v>
      </c>
      <c r="H951" t="s">
        <v>30</v>
      </c>
      <c r="I951">
        <v>1</v>
      </c>
      <c r="J951" t="s">
        <v>68</v>
      </c>
      <c r="K951">
        <v>613</v>
      </c>
      <c r="L951" t="s">
        <v>55</v>
      </c>
      <c r="M951">
        <v>3</v>
      </c>
      <c r="N951" t="s">
        <v>44</v>
      </c>
      <c r="O951">
        <v>0.32</v>
      </c>
      <c r="P951" t="s">
        <v>67</v>
      </c>
      <c r="Q951">
        <v>12436</v>
      </c>
      <c r="R951">
        <v>25816</v>
      </c>
      <c r="S951" t="s">
        <v>44</v>
      </c>
      <c r="T951">
        <v>35818</v>
      </c>
      <c r="U951" t="s">
        <v>60</v>
      </c>
      <c r="V951">
        <v>48</v>
      </c>
      <c r="W951">
        <v>4</v>
      </c>
      <c r="X951" t="s">
        <v>31</v>
      </c>
      <c r="Y951" t="s">
        <v>38</v>
      </c>
      <c r="Z951" t="s">
        <v>39</v>
      </c>
      <c r="AA951" t="s">
        <v>40</v>
      </c>
      <c r="AB951" t="s">
        <v>35</v>
      </c>
      <c r="AC951"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A16DE-E592-4CEF-8775-E40D280AB9BC}">
  <dimension ref="A1:G252"/>
  <sheetViews>
    <sheetView topLeftCell="A61" zoomScale="151" workbookViewId="0">
      <selection activeCell="A65" sqref="A65"/>
    </sheetView>
  </sheetViews>
  <sheetFormatPr defaultRowHeight="15" x14ac:dyDescent="0.25"/>
  <cols>
    <col min="1" max="2" width="13.140625" bestFit="1" customWidth="1"/>
    <col min="3" max="3" width="25.140625" bestFit="1" customWidth="1"/>
    <col min="4" max="6" width="4" bestFit="1" customWidth="1"/>
    <col min="7" max="7" width="11.28515625" bestFit="1" customWidth="1"/>
    <col min="8" max="11" width="2" bestFit="1" customWidth="1"/>
    <col min="12" max="96" width="3" bestFit="1" customWidth="1"/>
    <col min="97" max="951" width="4" bestFit="1" customWidth="1"/>
    <col min="952" max="952" width="5" bestFit="1" customWidth="1"/>
    <col min="953" max="953" width="10.7109375" bestFit="1" customWidth="1"/>
  </cols>
  <sheetData>
    <row r="1" spans="1:6" ht="18.75" x14ac:dyDescent="0.3">
      <c r="A1" s="2" t="s">
        <v>74</v>
      </c>
    </row>
    <row r="3" spans="1:6" x14ac:dyDescent="0.25">
      <c r="B3" t="s">
        <v>75</v>
      </c>
    </row>
    <row r="4" spans="1:6" x14ac:dyDescent="0.25">
      <c r="B4" s="52">
        <v>950</v>
      </c>
    </row>
    <row r="7" spans="1:6" ht="18.75" x14ac:dyDescent="0.3">
      <c r="A7" s="2" t="s">
        <v>76</v>
      </c>
    </row>
    <row r="9" spans="1:6" x14ac:dyDescent="0.25">
      <c r="B9" s="3" t="s">
        <v>77</v>
      </c>
      <c r="C9" t="s">
        <v>79</v>
      </c>
    </row>
    <row r="10" spans="1:6" x14ac:dyDescent="0.25">
      <c r="B10" s="4" t="s">
        <v>36</v>
      </c>
      <c r="C10" s="52">
        <v>664</v>
      </c>
      <c r="F10">
        <f>GETPIVOTDATA("Loan_Approved",$B$9,"Loan_Approved","No")</f>
        <v>664</v>
      </c>
    </row>
    <row r="11" spans="1:6" x14ac:dyDescent="0.25">
      <c r="B11" s="4" t="s">
        <v>44</v>
      </c>
      <c r="C11" s="52">
        <v>286</v>
      </c>
      <c r="F11">
        <f>GETPIVOTDATA("Loan_Approved",$B$9,"Loan_Approved","Yes")</f>
        <v>286</v>
      </c>
    </row>
    <row r="12" spans="1:6" x14ac:dyDescent="0.25">
      <c r="B12" s="4" t="s">
        <v>78</v>
      </c>
      <c r="C12" s="52">
        <v>950</v>
      </c>
    </row>
    <row r="15" spans="1:6" ht="18.75" x14ac:dyDescent="0.3">
      <c r="A15" s="2" t="s">
        <v>80</v>
      </c>
    </row>
    <row r="18" spans="1:4" x14ac:dyDescent="0.25">
      <c r="C18" s="5">
        <f>GETPIVOTDATA("Loan_Approved",$B$9,"Loan_Approved","Yes")/GETPIVOTDATA("Loan_Approved",$B$9)</f>
        <v>0.30105263157894735</v>
      </c>
      <c r="D18" s="5">
        <f>GETPIVOTDATA("Loan_Approved",$B$9)/950</f>
        <v>1</v>
      </c>
    </row>
    <row r="21" spans="1:4" ht="18.75" x14ac:dyDescent="0.3">
      <c r="A21" s="2" t="s">
        <v>81</v>
      </c>
    </row>
    <row r="24" spans="1:4" x14ac:dyDescent="0.25">
      <c r="C24" s="5">
        <f>GETPIVOTDATA("Loan_Approved",$B$9,"Loan_Approved","No")/GETPIVOTDATA("Loan_Approved",$B$9)</f>
        <v>0.69894736842105265</v>
      </c>
    </row>
    <row r="28" spans="1:4" ht="18.75" x14ac:dyDescent="0.3">
      <c r="A28" s="2" t="s">
        <v>82</v>
      </c>
    </row>
    <row r="31" spans="1:4" x14ac:dyDescent="0.25">
      <c r="B31" t="s">
        <v>83</v>
      </c>
    </row>
    <row r="32" spans="1:4" x14ac:dyDescent="0.25">
      <c r="B32" s="52">
        <v>18455015</v>
      </c>
      <c r="C32" s="6">
        <f>GETPIVOTDATA("Loan_Amount",$B$31)</f>
        <v>18455015</v>
      </c>
    </row>
    <row r="36" spans="1:5" ht="18.75" x14ac:dyDescent="0.3">
      <c r="A36" s="2" t="s">
        <v>84</v>
      </c>
    </row>
    <row r="39" spans="1:5" x14ac:dyDescent="0.25">
      <c r="B39" s="3" t="s">
        <v>77</v>
      </c>
      <c r="C39" t="s">
        <v>83</v>
      </c>
    </row>
    <row r="40" spans="1:5" x14ac:dyDescent="0.25">
      <c r="B40" s="4" t="s">
        <v>36</v>
      </c>
      <c r="C40" s="52">
        <v>13529011</v>
      </c>
      <c r="E40" s="6">
        <f>GETPIVOTDATA("Loan_Amount",$B$39,"Loan_Approved","No")</f>
        <v>13529011</v>
      </c>
    </row>
    <row r="41" spans="1:5" x14ac:dyDescent="0.25">
      <c r="B41" s="4" t="s">
        <v>44</v>
      </c>
      <c r="C41" s="52">
        <v>4926004</v>
      </c>
      <c r="E41" s="6">
        <f>GETPIVOTDATA("Loan_Amount",$B$39,"Loan_Approved","Yes")</f>
        <v>4926004</v>
      </c>
    </row>
    <row r="42" spans="1:5" x14ac:dyDescent="0.25">
      <c r="B42" s="4" t="s">
        <v>78</v>
      </c>
      <c r="C42" s="52">
        <v>18455015</v>
      </c>
    </row>
    <row r="45" spans="1:5" ht="18.75" x14ac:dyDescent="0.3">
      <c r="A45" s="2" t="s">
        <v>85</v>
      </c>
    </row>
    <row r="47" spans="1:5" x14ac:dyDescent="0.25">
      <c r="B47" t="s">
        <v>86</v>
      </c>
    </row>
    <row r="48" spans="1:5" x14ac:dyDescent="0.25">
      <c r="B48" s="52">
        <v>19426.331578947367</v>
      </c>
      <c r="C48" s="8">
        <f>GETPIVOTDATA("Loan_Amount",$B$47)</f>
        <v>19426.331578947367</v>
      </c>
    </row>
    <row r="52" spans="1:3" ht="18.75" x14ac:dyDescent="0.3">
      <c r="A52" s="2" t="s">
        <v>87</v>
      </c>
    </row>
    <row r="55" spans="1:3" x14ac:dyDescent="0.25">
      <c r="B55" t="s">
        <v>88</v>
      </c>
    </row>
    <row r="56" spans="1:3" x14ac:dyDescent="0.25">
      <c r="B56" s="52">
        <v>10327.543157894737</v>
      </c>
      <c r="C56" s="7">
        <f>GETPIVOTDATA("Applicant_Income",$B$55)</f>
        <v>10327.543157894737</v>
      </c>
    </row>
    <row r="59" spans="1:3" ht="18.75" x14ac:dyDescent="0.3">
      <c r="A59" s="2" t="s">
        <v>89</v>
      </c>
    </row>
    <row r="61" spans="1:3" x14ac:dyDescent="0.25">
      <c r="B61" t="s">
        <v>90</v>
      </c>
    </row>
    <row r="62" spans="1:3" x14ac:dyDescent="0.25">
      <c r="B62" s="52">
        <v>0.34743157894736809</v>
      </c>
      <c r="C62" s="7">
        <f>GETPIVOTDATA("DTI_Ratio",$B$61)</f>
        <v>0.34743157894736809</v>
      </c>
    </row>
    <row r="65" spans="1:6" ht="18.75" x14ac:dyDescent="0.3">
      <c r="A65" s="2" t="s">
        <v>91</v>
      </c>
    </row>
    <row r="68" spans="1:6" x14ac:dyDescent="0.25">
      <c r="B68" s="3" t="s">
        <v>77</v>
      </c>
      <c r="C68" t="s">
        <v>92</v>
      </c>
    </row>
    <row r="69" spans="1:6" x14ac:dyDescent="0.25">
      <c r="B69" s="4" t="s">
        <v>70</v>
      </c>
      <c r="C69" s="52">
        <v>153</v>
      </c>
      <c r="D69">
        <f>GETPIVOTDATA("DTI RISK LEVEL",$B$68,"DTI RISK LEVEL","High Risk")</f>
        <v>153</v>
      </c>
      <c r="F69" s="5">
        <f>GETPIVOTDATA("DTI RISK LEVEL",$B$68,"DTI RISK LEVEL","High Risk")/GETPIVOTDATA("DTI RISK LEVEL",$B$68)</f>
        <v>0.16105263157894736</v>
      </c>
    </row>
    <row r="70" spans="1:6" x14ac:dyDescent="0.25">
      <c r="B70" s="4" t="s">
        <v>59</v>
      </c>
      <c r="C70" s="52">
        <v>372</v>
      </c>
      <c r="D70">
        <f>GETPIVOTDATA("DTI RISK LEVEL",$B$68,"DTI RISK LEVEL","Low Risk")</f>
        <v>372</v>
      </c>
      <c r="F70" s="5">
        <f>GETPIVOTDATA("DTI RISK LEVEL",$B$68,"DTI RISK LEVEL","Low Risk")/GETPIVOTDATA("DTI RISK LEVEL",$B$68)</f>
        <v>0.39157894736842103</v>
      </c>
    </row>
    <row r="71" spans="1:6" x14ac:dyDescent="0.25">
      <c r="B71" s="4" t="s">
        <v>67</v>
      </c>
      <c r="C71" s="52">
        <v>249</v>
      </c>
      <c r="D71">
        <f>GETPIVOTDATA("DTI RISK LEVEL",$B$68,"DTI RISK LEVEL","medium Risk")</f>
        <v>249</v>
      </c>
      <c r="F71" s="5">
        <f>GETPIVOTDATA("DTI RISK LEVEL",$B$68,"DTI RISK LEVEL","medium Risk")/GETPIVOTDATA("DTI RISK LEVEL",$B$68)</f>
        <v>0.26210526315789473</v>
      </c>
    </row>
    <row r="72" spans="1:6" x14ac:dyDescent="0.25">
      <c r="B72" s="4" t="s">
        <v>56</v>
      </c>
      <c r="C72" s="52">
        <v>176</v>
      </c>
      <c r="D72">
        <f>GETPIVOTDATA("DTI RISK LEVEL",$B$68,"DTI RISK LEVEL","Very High Risk")</f>
        <v>176</v>
      </c>
      <c r="F72" s="5">
        <f>GETPIVOTDATA("DTI RISK LEVEL",$B$68,"DTI RISK LEVEL","Very High Risk")/GETPIVOTDATA("DTI RISK LEVEL",$B$68)</f>
        <v>0.18526315789473685</v>
      </c>
    </row>
    <row r="73" spans="1:6" x14ac:dyDescent="0.25">
      <c r="B73" s="4" t="s">
        <v>78</v>
      </c>
      <c r="C73" s="52">
        <v>950</v>
      </c>
      <c r="D73">
        <f>GETPIVOTDATA("DTI RISK LEVEL",$B$68)/950</f>
        <v>1</v>
      </c>
      <c r="F73" s="5">
        <f>D73</f>
        <v>1</v>
      </c>
    </row>
    <row r="76" spans="1:6" ht="18.75" x14ac:dyDescent="0.3">
      <c r="A76" s="2" t="s">
        <v>93</v>
      </c>
    </row>
    <row r="78" spans="1:6" x14ac:dyDescent="0.25">
      <c r="B78" s="3" t="s">
        <v>77</v>
      </c>
      <c r="C78" t="s">
        <v>94</v>
      </c>
    </row>
    <row r="79" spans="1:6" x14ac:dyDescent="0.25">
      <c r="B79" s="4" t="s">
        <v>55</v>
      </c>
      <c r="C79" s="52">
        <v>320</v>
      </c>
      <c r="D79">
        <f>GETPIVOTDATA("Credit Categorical",$B$78,"Credit Categorical","fair")</f>
        <v>320</v>
      </c>
      <c r="F79" s="5">
        <f>GETPIVOTDATA("Credit Categorical",$B$78,"Credit Categorical","fair")/GETPIVOTDATA("Credit Categorical",$B$78)</f>
        <v>0.33684210526315789</v>
      </c>
    </row>
    <row r="80" spans="1:6" x14ac:dyDescent="0.25">
      <c r="B80" s="4" t="s">
        <v>63</v>
      </c>
      <c r="C80" s="52">
        <v>273</v>
      </c>
      <c r="D80">
        <f>GETPIVOTDATA("Credit Categorical",$B$78,"Credit Categorical","Good")</f>
        <v>273</v>
      </c>
      <c r="F80" s="5">
        <f>GETPIVOTDATA("Credit Categorical",$B$78,"Credit Categorical","Good")/GETPIVOTDATA("Credit Categorical",$B$78)</f>
        <v>0.28736842105263161</v>
      </c>
    </row>
    <row r="81" spans="1:6" x14ac:dyDescent="0.25">
      <c r="B81" s="4" t="s">
        <v>66</v>
      </c>
      <c r="C81" s="52">
        <v>150</v>
      </c>
      <c r="D81">
        <f>GETPIVOTDATA("Credit Categorical",$B$78,"Credit Categorical","Poor")</f>
        <v>150</v>
      </c>
      <c r="F81" s="5">
        <f>GETPIVOTDATA("Credit Categorical",$B$78,"Credit Categorical","Poor")/GETPIVOTDATA("Credit Categorical",$B$78)</f>
        <v>0.15789473684210525</v>
      </c>
    </row>
    <row r="82" spans="1:6" x14ac:dyDescent="0.25">
      <c r="B82" s="4" t="s">
        <v>71</v>
      </c>
      <c r="C82" s="52">
        <v>207</v>
      </c>
      <c r="D82">
        <f>GETPIVOTDATA("Credit Categorical",$B$78,"Credit Categorical","Very Good")</f>
        <v>207</v>
      </c>
      <c r="F82" s="5">
        <f>GETPIVOTDATA("Credit Categorical",$B$78,"Credit Categorical","Very Good")/GETPIVOTDATA("Credit Categorical",$B$78)</f>
        <v>0.21789473684210525</v>
      </c>
    </row>
    <row r="83" spans="1:6" x14ac:dyDescent="0.25">
      <c r="B83" s="4" t="s">
        <v>78</v>
      </c>
      <c r="C83" s="52">
        <v>950</v>
      </c>
    </row>
    <row r="86" spans="1:6" ht="18.75" x14ac:dyDescent="0.3">
      <c r="A86" s="2" t="s">
        <v>95</v>
      </c>
    </row>
    <row r="88" spans="1:6" x14ac:dyDescent="0.25">
      <c r="B88" s="3" t="s">
        <v>77</v>
      </c>
      <c r="C88" t="s">
        <v>96</v>
      </c>
    </row>
    <row r="89" spans="1:6" x14ac:dyDescent="0.25">
      <c r="B89" s="4" t="s">
        <v>36</v>
      </c>
      <c r="C89" s="52">
        <v>50</v>
      </c>
      <c r="E89" s="5">
        <f>GETPIVOTDATA("Collateral_Value",$B$88,"Has Collateral","No")/GETPIVOTDATA("Collateral_Value",$B$88)</f>
        <v>5.2631578947368418E-2</v>
      </c>
    </row>
    <row r="90" spans="1:6" x14ac:dyDescent="0.25">
      <c r="B90" s="4" t="s">
        <v>44</v>
      </c>
      <c r="C90" s="52">
        <v>900</v>
      </c>
      <c r="E90" s="5">
        <f>GETPIVOTDATA("Collateral_Value",$B$88,"Has Collateral","Yes")/GETPIVOTDATA("Collateral_Value",$B$88)</f>
        <v>0.94736842105263153</v>
      </c>
    </row>
    <row r="91" spans="1:6" x14ac:dyDescent="0.25">
      <c r="B91" s="4" t="s">
        <v>78</v>
      </c>
      <c r="C91" s="52">
        <v>950</v>
      </c>
    </row>
    <row r="95" spans="1:6" ht="18.75" x14ac:dyDescent="0.3">
      <c r="A95" s="2" t="s">
        <v>97</v>
      </c>
    </row>
    <row r="98" spans="1:3" x14ac:dyDescent="0.25">
      <c r="B98" s="3" t="s">
        <v>77</v>
      </c>
      <c r="C98" t="s">
        <v>92</v>
      </c>
    </row>
    <row r="99" spans="1:3" x14ac:dyDescent="0.25">
      <c r="B99" s="4" t="s">
        <v>70</v>
      </c>
      <c r="C99" s="52">
        <v>153</v>
      </c>
    </row>
    <row r="100" spans="1:3" x14ac:dyDescent="0.25">
      <c r="B100" s="4" t="s">
        <v>59</v>
      </c>
      <c r="C100" s="52">
        <v>372</v>
      </c>
    </row>
    <row r="101" spans="1:3" x14ac:dyDescent="0.25">
      <c r="B101" s="4" t="s">
        <v>67</v>
      </c>
      <c r="C101" s="52">
        <v>249</v>
      </c>
    </row>
    <row r="102" spans="1:3" x14ac:dyDescent="0.25">
      <c r="B102" s="4" t="s">
        <v>56</v>
      </c>
      <c r="C102" s="52">
        <v>176</v>
      </c>
    </row>
    <row r="103" spans="1:3" x14ac:dyDescent="0.25">
      <c r="B103" s="4" t="s">
        <v>78</v>
      </c>
      <c r="C103" s="52">
        <v>950</v>
      </c>
    </row>
    <row r="107" spans="1:3" ht="18.75" x14ac:dyDescent="0.3">
      <c r="A107" s="2" t="s">
        <v>98</v>
      </c>
    </row>
    <row r="110" spans="1:3" x14ac:dyDescent="0.25">
      <c r="B110" s="3" t="s">
        <v>77</v>
      </c>
      <c r="C110" t="s">
        <v>99</v>
      </c>
    </row>
    <row r="111" spans="1:3" x14ac:dyDescent="0.25">
      <c r="B111" s="4" t="s">
        <v>42</v>
      </c>
      <c r="C111" s="52">
        <v>243</v>
      </c>
    </row>
    <row r="112" spans="1:3" x14ac:dyDescent="0.25">
      <c r="B112" s="4" t="s">
        <v>37</v>
      </c>
      <c r="C112" s="52">
        <v>186</v>
      </c>
    </row>
    <row r="113" spans="1:3" x14ac:dyDescent="0.25">
      <c r="B113" s="4" t="s">
        <v>50</v>
      </c>
      <c r="C113" s="52">
        <v>171</v>
      </c>
    </row>
    <row r="114" spans="1:3" x14ac:dyDescent="0.25">
      <c r="B114" s="4" t="s">
        <v>47</v>
      </c>
      <c r="C114" s="52">
        <v>180</v>
      </c>
    </row>
    <row r="115" spans="1:3" x14ac:dyDescent="0.25">
      <c r="B115" s="4" t="s">
        <v>31</v>
      </c>
      <c r="C115" s="52">
        <v>170</v>
      </c>
    </row>
    <row r="116" spans="1:3" x14ac:dyDescent="0.25">
      <c r="B116" s="4" t="s">
        <v>78</v>
      </c>
      <c r="C116" s="52">
        <v>950</v>
      </c>
    </row>
    <row r="120" spans="1:3" ht="18.75" x14ac:dyDescent="0.3">
      <c r="A120" s="2" t="s">
        <v>101</v>
      </c>
    </row>
    <row r="122" spans="1:3" x14ac:dyDescent="0.25">
      <c r="B122" s="3" t="s">
        <v>77</v>
      </c>
      <c r="C122" t="s">
        <v>100</v>
      </c>
    </row>
    <row r="123" spans="1:3" x14ac:dyDescent="0.25">
      <c r="B123" s="4" t="s">
        <v>45</v>
      </c>
      <c r="C123" s="52">
        <v>276</v>
      </c>
    </row>
    <row r="124" spans="1:3" x14ac:dyDescent="0.25">
      <c r="B124" s="4" t="s">
        <v>38</v>
      </c>
      <c r="C124" s="52">
        <v>184</v>
      </c>
    </row>
    <row r="125" spans="1:3" x14ac:dyDescent="0.25">
      <c r="B125" s="4" t="s">
        <v>32</v>
      </c>
      <c r="C125" s="52">
        <v>490</v>
      </c>
    </row>
    <row r="126" spans="1:3" x14ac:dyDescent="0.25">
      <c r="B126" s="4" t="s">
        <v>78</v>
      </c>
      <c r="C126" s="52">
        <v>950</v>
      </c>
    </row>
    <row r="130" spans="1:1" ht="18.75" x14ac:dyDescent="0.3">
      <c r="A130" s="2" t="s">
        <v>102</v>
      </c>
    </row>
    <row r="149" spans="1:3" ht="18.75" x14ac:dyDescent="0.3">
      <c r="A149" s="2" t="s">
        <v>103</v>
      </c>
    </row>
    <row r="152" spans="1:3" x14ac:dyDescent="0.25">
      <c r="B152" s="3" t="s">
        <v>77</v>
      </c>
      <c r="C152" t="s">
        <v>86</v>
      </c>
    </row>
    <row r="153" spans="1:3" x14ac:dyDescent="0.25">
      <c r="B153" s="4" t="s">
        <v>64</v>
      </c>
      <c r="C153" s="52">
        <v>27477.114613180514</v>
      </c>
    </row>
    <row r="154" spans="1:3" x14ac:dyDescent="0.25">
      <c r="B154" s="4" t="s">
        <v>57</v>
      </c>
      <c r="C154" s="52">
        <v>12343.945454545454</v>
      </c>
    </row>
    <row r="155" spans="1:3" x14ac:dyDescent="0.25">
      <c r="B155" s="4" t="s">
        <v>73</v>
      </c>
      <c r="C155" s="52">
        <v>2021.2828947368421</v>
      </c>
    </row>
    <row r="156" spans="1:3" x14ac:dyDescent="0.25">
      <c r="B156" s="4" t="s">
        <v>60</v>
      </c>
      <c r="C156" s="52">
        <v>37687.100840336134</v>
      </c>
    </row>
    <row r="157" spans="1:3" x14ac:dyDescent="0.25">
      <c r="B157" s="4" t="s">
        <v>78</v>
      </c>
      <c r="C157" s="52">
        <v>19426.331578947367</v>
      </c>
    </row>
    <row r="160" spans="1:3" ht="18.75" x14ac:dyDescent="0.3">
      <c r="A160" s="2" t="s">
        <v>104</v>
      </c>
    </row>
    <row r="163" spans="1:3" x14ac:dyDescent="0.25">
      <c r="B163" s="3" t="s">
        <v>77</v>
      </c>
      <c r="C163" t="s">
        <v>105</v>
      </c>
    </row>
    <row r="164" spans="1:3" x14ac:dyDescent="0.25">
      <c r="B164" s="4" t="s">
        <v>36</v>
      </c>
      <c r="C164" s="52">
        <v>9511.1506024096379</v>
      </c>
    </row>
    <row r="165" spans="1:3" x14ac:dyDescent="0.25">
      <c r="B165" s="4" t="s">
        <v>44</v>
      </c>
      <c r="C165" s="52">
        <v>9278.4755244755252</v>
      </c>
    </row>
    <row r="166" spans="1:3" x14ac:dyDescent="0.25">
      <c r="B166" s="4" t="s">
        <v>78</v>
      </c>
      <c r="C166" s="52">
        <v>9441.1031578947368</v>
      </c>
    </row>
    <row r="169" spans="1:3" ht="18.75" x14ac:dyDescent="0.3">
      <c r="A169" s="2" t="s">
        <v>106</v>
      </c>
    </row>
    <row r="172" spans="1:3" x14ac:dyDescent="0.25">
      <c r="A172" s="3" t="s">
        <v>77</v>
      </c>
      <c r="B172" t="s">
        <v>107</v>
      </c>
    </row>
    <row r="173" spans="1:3" x14ac:dyDescent="0.25">
      <c r="A173" s="4" t="s">
        <v>42</v>
      </c>
      <c r="B173" s="52">
        <v>130</v>
      </c>
    </row>
    <row r="174" spans="1:3" x14ac:dyDescent="0.25">
      <c r="A174" s="4" t="s">
        <v>43</v>
      </c>
      <c r="B174" s="52">
        <v>191</v>
      </c>
    </row>
    <row r="175" spans="1:3" x14ac:dyDescent="0.25">
      <c r="A175" s="4" t="s">
        <v>51</v>
      </c>
      <c r="B175" s="52">
        <v>138</v>
      </c>
    </row>
    <row r="176" spans="1:3" x14ac:dyDescent="0.25">
      <c r="A176" s="4" t="s">
        <v>35</v>
      </c>
      <c r="B176" s="52">
        <v>399</v>
      </c>
    </row>
    <row r="177" spans="1:7" x14ac:dyDescent="0.25">
      <c r="A177" s="4" t="s">
        <v>48</v>
      </c>
      <c r="B177" s="52">
        <v>92</v>
      </c>
    </row>
    <row r="178" spans="1:7" x14ac:dyDescent="0.25">
      <c r="A178" s="4" t="s">
        <v>78</v>
      </c>
      <c r="B178" s="52">
        <v>950</v>
      </c>
    </row>
    <row r="181" spans="1:7" ht="18.75" x14ac:dyDescent="0.3">
      <c r="A181" s="9" t="s">
        <v>108</v>
      </c>
    </row>
    <row r="183" spans="1:7" x14ac:dyDescent="0.25">
      <c r="B183" s="3" t="s">
        <v>75</v>
      </c>
      <c r="C183" s="3" t="s">
        <v>109</v>
      </c>
    </row>
    <row r="184" spans="1:7" x14ac:dyDescent="0.25">
      <c r="B184" s="3" t="s">
        <v>77</v>
      </c>
      <c r="C184" t="s">
        <v>70</v>
      </c>
      <c r="D184" t="s">
        <v>59</v>
      </c>
      <c r="E184" t="s">
        <v>67</v>
      </c>
      <c r="F184" t="s">
        <v>56</v>
      </c>
      <c r="G184" t="s">
        <v>78</v>
      </c>
    </row>
    <row r="185" spans="1:7" x14ac:dyDescent="0.25">
      <c r="B185" s="4" t="s">
        <v>64</v>
      </c>
      <c r="C185" s="52">
        <v>56</v>
      </c>
      <c r="D185" s="52">
        <v>118</v>
      </c>
      <c r="E185" s="52">
        <v>116</v>
      </c>
      <c r="F185" s="52">
        <v>59</v>
      </c>
      <c r="G185" s="52">
        <v>349</v>
      </c>
    </row>
    <row r="186" spans="1:7" x14ac:dyDescent="0.25">
      <c r="B186" s="4" t="s">
        <v>57</v>
      </c>
      <c r="C186" s="52">
        <v>50</v>
      </c>
      <c r="D186" s="52">
        <v>141</v>
      </c>
      <c r="E186" s="52">
        <v>77</v>
      </c>
      <c r="F186" s="52">
        <v>62</v>
      </c>
      <c r="G186" s="52">
        <v>330</v>
      </c>
    </row>
    <row r="187" spans="1:7" x14ac:dyDescent="0.25">
      <c r="B187" s="4" t="s">
        <v>73</v>
      </c>
      <c r="C187" s="52">
        <v>21</v>
      </c>
      <c r="D187" s="52">
        <v>71</v>
      </c>
      <c r="E187" s="52">
        <v>28</v>
      </c>
      <c r="F187" s="52">
        <v>32</v>
      </c>
      <c r="G187" s="52">
        <v>152</v>
      </c>
    </row>
    <row r="188" spans="1:7" x14ac:dyDescent="0.25">
      <c r="B188" s="4" t="s">
        <v>60</v>
      </c>
      <c r="C188" s="52">
        <v>26</v>
      </c>
      <c r="D188" s="52">
        <v>42</v>
      </c>
      <c r="E188" s="52">
        <v>28</v>
      </c>
      <c r="F188" s="52">
        <v>23</v>
      </c>
      <c r="G188" s="52">
        <v>119</v>
      </c>
    </row>
    <row r="189" spans="1:7" x14ac:dyDescent="0.25">
      <c r="B189" s="4" t="s">
        <v>78</v>
      </c>
      <c r="C189" s="52">
        <v>153</v>
      </c>
      <c r="D189" s="52">
        <v>372</v>
      </c>
      <c r="E189" s="52">
        <v>249</v>
      </c>
      <c r="F189" s="52">
        <v>176</v>
      </c>
      <c r="G189" s="52">
        <v>950</v>
      </c>
    </row>
    <row r="195" spans="1:4" ht="18.75" x14ac:dyDescent="0.3">
      <c r="A195" s="2" t="s">
        <v>110</v>
      </c>
    </row>
    <row r="198" spans="1:4" x14ac:dyDescent="0.25">
      <c r="B198" s="3" t="s">
        <v>77</v>
      </c>
      <c r="C198" t="s">
        <v>75</v>
      </c>
    </row>
    <row r="199" spans="1:4" x14ac:dyDescent="0.25">
      <c r="B199" s="4" t="s">
        <v>36</v>
      </c>
      <c r="C199" s="52">
        <v>229</v>
      </c>
    </row>
    <row r="200" spans="1:4" x14ac:dyDescent="0.25">
      <c r="B200" s="4" t="s">
        <v>44</v>
      </c>
      <c r="C200" s="52">
        <v>721</v>
      </c>
    </row>
    <row r="201" spans="1:4" x14ac:dyDescent="0.25">
      <c r="B201" s="4" t="s">
        <v>78</v>
      </c>
      <c r="C201" s="52">
        <v>950</v>
      </c>
    </row>
    <row r="204" spans="1:4" ht="18.75" x14ac:dyDescent="0.3">
      <c r="A204" s="2" t="s">
        <v>111</v>
      </c>
      <c r="D204" t="s">
        <v>112</v>
      </c>
    </row>
    <row r="211" spans="1:7" ht="18.75" x14ac:dyDescent="0.3">
      <c r="A211" s="2" t="s">
        <v>113</v>
      </c>
      <c r="D211" t="s">
        <v>112</v>
      </c>
    </row>
    <row r="217" spans="1:7" ht="18.75" x14ac:dyDescent="0.3">
      <c r="A217" s="2" t="s">
        <v>114</v>
      </c>
    </row>
    <row r="220" spans="1:7" x14ac:dyDescent="0.25">
      <c r="B220" s="3" t="s">
        <v>75</v>
      </c>
      <c r="C220" s="3" t="s">
        <v>109</v>
      </c>
    </row>
    <row r="221" spans="1:7" x14ac:dyDescent="0.25">
      <c r="B221" s="3" t="s">
        <v>77</v>
      </c>
      <c r="C221">
        <v>0</v>
      </c>
      <c r="D221">
        <v>1</v>
      </c>
      <c r="E221">
        <v>2</v>
      </c>
      <c r="F221">
        <v>3</v>
      </c>
      <c r="G221" t="s">
        <v>78</v>
      </c>
    </row>
    <row r="222" spans="1:7" x14ac:dyDescent="0.25">
      <c r="B222" s="4" t="s">
        <v>30</v>
      </c>
      <c r="C222" s="52">
        <v>173</v>
      </c>
      <c r="D222" s="52">
        <v>156</v>
      </c>
      <c r="E222" s="52">
        <v>135</v>
      </c>
      <c r="F222" s="52">
        <v>145</v>
      </c>
      <c r="G222" s="52">
        <v>609</v>
      </c>
    </row>
    <row r="223" spans="1:7" x14ac:dyDescent="0.25">
      <c r="B223" s="4" t="s">
        <v>41</v>
      </c>
      <c r="C223" s="52">
        <v>91</v>
      </c>
      <c r="D223" s="52">
        <v>99</v>
      </c>
      <c r="E223" s="52">
        <v>72</v>
      </c>
      <c r="F223" s="52">
        <v>79</v>
      </c>
      <c r="G223" s="52">
        <v>341</v>
      </c>
    </row>
    <row r="224" spans="1:7" x14ac:dyDescent="0.25">
      <c r="B224" s="4" t="s">
        <v>78</v>
      </c>
      <c r="C224" s="52">
        <v>264</v>
      </c>
      <c r="D224" s="52">
        <v>255</v>
      </c>
      <c r="E224" s="52">
        <v>207</v>
      </c>
      <c r="F224" s="52">
        <v>224</v>
      </c>
      <c r="G224" s="52">
        <v>950</v>
      </c>
    </row>
    <row r="229" spans="1:3" ht="18.75" x14ac:dyDescent="0.3">
      <c r="A229" s="2" t="s">
        <v>115</v>
      </c>
    </row>
    <row r="232" spans="1:3" x14ac:dyDescent="0.25">
      <c r="B232" s="3" t="s">
        <v>77</v>
      </c>
      <c r="C232" t="s">
        <v>86</v>
      </c>
    </row>
    <row r="233" spans="1:3" x14ac:dyDescent="0.25">
      <c r="B233" s="4" t="s">
        <v>69</v>
      </c>
      <c r="C233" s="8">
        <v>20719.00909090909</v>
      </c>
    </row>
    <row r="234" spans="1:3" x14ac:dyDescent="0.25">
      <c r="B234" s="4" t="s">
        <v>72</v>
      </c>
      <c r="C234" s="8">
        <v>20522.556701030928</v>
      </c>
    </row>
    <row r="235" spans="1:3" x14ac:dyDescent="0.25">
      <c r="B235" s="4" t="s">
        <v>53</v>
      </c>
      <c r="C235" s="8">
        <v>19527.384297520661</v>
      </c>
    </row>
    <row r="236" spans="1:3" x14ac:dyDescent="0.25">
      <c r="B236" s="4" t="s">
        <v>61</v>
      </c>
      <c r="C236" s="8">
        <v>19492.568075117371</v>
      </c>
    </row>
    <row r="237" spans="1:3" x14ac:dyDescent="0.25">
      <c r="B237" s="4" t="s">
        <v>65</v>
      </c>
      <c r="C237" s="8">
        <v>18429.486111111109</v>
      </c>
    </row>
    <row r="238" spans="1:3" x14ac:dyDescent="0.25">
      <c r="B238" s="4" t="s">
        <v>78</v>
      </c>
      <c r="C238" s="52">
        <v>19426.331578947367</v>
      </c>
    </row>
    <row r="241" spans="1:3" ht="18.75" x14ac:dyDescent="0.3">
      <c r="A241" s="2" t="s">
        <v>116</v>
      </c>
    </row>
    <row r="244" spans="1:3" x14ac:dyDescent="0.25">
      <c r="B244" s="3" t="s">
        <v>77</v>
      </c>
      <c r="C244" t="s">
        <v>75</v>
      </c>
    </row>
    <row r="245" spans="1:3" x14ac:dyDescent="0.25">
      <c r="B245" s="4">
        <v>1</v>
      </c>
      <c r="C245" s="52">
        <v>137</v>
      </c>
    </row>
    <row r="246" spans="1:3" x14ac:dyDescent="0.25">
      <c r="B246" s="4">
        <v>2</v>
      </c>
      <c r="C246" s="52">
        <v>129</v>
      </c>
    </row>
    <row r="247" spans="1:3" x14ac:dyDescent="0.25">
      <c r="B247" s="4">
        <v>3</v>
      </c>
      <c r="C247" s="52">
        <v>112</v>
      </c>
    </row>
    <row r="248" spans="1:3" x14ac:dyDescent="0.25">
      <c r="B248" s="4">
        <v>4</v>
      </c>
      <c r="C248" s="52">
        <v>189</v>
      </c>
    </row>
    <row r="249" spans="1:3" x14ac:dyDescent="0.25">
      <c r="B249" s="4">
        <v>5</v>
      </c>
      <c r="C249" s="52">
        <v>124</v>
      </c>
    </row>
    <row r="250" spans="1:3" x14ac:dyDescent="0.25">
      <c r="B250" s="4">
        <v>6</v>
      </c>
      <c r="C250" s="52">
        <v>123</v>
      </c>
    </row>
    <row r="251" spans="1:3" x14ac:dyDescent="0.25">
      <c r="B251" s="4">
        <v>7</v>
      </c>
      <c r="C251" s="52">
        <v>136</v>
      </c>
    </row>
    <row r="252" spans="1:3" x14ac:dyDescent="0.25">
      <c r="B252" s="4" t="s">
        <v>78</v>
      </c>
      <c r="C252" s="52">
        <v>950</v>
      </c>
    </row>
  </sheetData>
  <pageMargins left="0.7" right="0.7" top="0.75" bottom="0.75" header="0.3" footer="0.3"/>
  <drawing r:id="rId22"/>
  <extLst>
    <ext xmlns:x14="http://schemas.microsoft.com/office/spreadsheetml/2009/9/main" uri="{A8765BA9-456A-4dab-B4F3-ACF838C121DE}">
      <x14:slicerList>
        <x14:slicer r:id="rId2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84525-8FA7-46B3-AB87-2D441256A168}">
  <dimension ref="A1:AD149"/>
  <sheetViews>
    <sheetView tabSelected="1" zoomScale="40" zoomScaleNormal="40" workbookViewId="0">
      <selection sqref="A1:AA4"/>
    </sheetView>
  </sheetViews>
  <sheetFormatPr defaultRowHeight="15" x14ac:dyDescent="0.25"/>
  <cols>
    <col min="3" max="3" width="13.28515625" customWidth="1"/>
  </cols>
  <sheetData>
    <row r="1" spans="1:30" ht="14.45" customHeight="1" x14ac:dyDescent="0.25">
      <c r="A1" s="16" t="s">
        <v>117</v>
      </c>
      <c r="B1" s="16"/>
      <c r="C1" s="16"/>
      <c r="D1" s="16"/>
      <c r="E1" s="16"/>
      <c r="F1" s="16"/>
      <c r="G1" s="16"/>
      <c r="H1" s="16"/>
      <c r="I1" s="16"/>
      <c r="J1" s="16"/>
      <c r="K1" s="16"/>
      <c r="L1" s="16"/>
      <c r="M1" s="16"/>
      <c r="N1" s="16"/>
      <c r="O1" s="16"/>
      <c r="P1" s="16"/>
      <c r="Q1" s="16"/>
      <c r="R1" s="16"/>
      <c r="S1" s="16"/>
      <c r="T1" s="16"/>
      <c r="U1" s="16"/>
      <c r="V1" s="16"/>
      <c r="W1" s="16"/>
      <c r="X1" s="16"/>
      <c r="Y1" s="16"/>
      <c r="Z1" s="16"/>
      <c r="AA1" s="16"/>
    </row>
    <row r="2" spans="1:30" ht="14.45" customHeight="1"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row>
    <row r="3" spans="1:30" ht="14.45" customHeight="1"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row>
    <row r="4" spans="1:30" ht="14.45" customHeight="1" x14ac:dyDescent="0.25">
      <c r="A4" s="14"/>
      <c r="B4" s="14"/>
      <c r="C4" s="14"/>
      <c r="D4" s="14"/>
      <c r="E4" s="14"/>
      <c r="F4" s="14"/>
      <c r="G4" s="14"/>
      <c r="H4" s="14"/>
      <c r="I4" s="14"/>
      <c r="J4" s="14"/>
      <c r="K4" s="14"/>
      <c r="L4" s="14"/>
      <c r="M4" s="14"/>
      <c r="N4" s="14"/>
      <c r="O4" s="14"/>
      <c r="P4" s="14"/>
      <c r="Q4" s="14"/>
      <c r="R4" s="14"/>
      <c r="S4" s="14"/>
      <c r="T4" s="14"/>
      <c r="U4" s="14"/>
      <c r="V4" s="14"/>
      <c r="W4" s="14"/>
      <c r="X4" s="14"/>
      <c r="Y4" s="14"/>
      <c r="Z4" s="14"/>
      <c r="AA4" s="14"/>
    </row>
    <row r="5" spans="1:30" ht="14.45" customHeight="1" x14ac:dyDescent="0.25">
      <c r="A5" s="22" t="s">
        <v>118</v>
      </c>
      <c r="B5" s="21"/>
      <c r="C5" s="21"/>
      <c r="D5" s="21"/>
      <c r="E5" s="20"/>
      <c r="F5" s="30" t="s">
        <v>121</v>
      </c>
      <c r="G5" s="26"/>
      <c r="H5" s="26"/>
      <c r="I5" s="26"/>
      <c r="J5" s="26"/>
      <c r="K5" s="26"/>
      <c r="L5" s="27"/>
      <c r="M5" s="30" t="s">
        <v>119</v>
      </c>
      <c r="N5" s="26"/>
      <c r="O5" s="26"/>
      <c r="P5" s="26"/>
      <c r="Q5" s="27"/>
      <c r="R5" s="30" t="s">
        <v>122</v>
      </c>
      <c r="S5" s="21"/>
      <c r="T5" s="21"/>
      <c r="U5" s="21"/>
      <c r="V5" s="20"/>
      <c r="W5" s="30" t="s">
        <v>123</v>
      </c>
      <c r="X5" s="21"/>
      <c r="Y5" s="21"/>
      <c r="Z5" s="21"/>
      <c r="AA5" s="20"/>
    </row>
    <row r="6" spans="1:30" ht="14.45" customHeight="1" x14ac:dyDescent="0.25">
      <c r="A6" s="23"/>
      <c r="B6" s="17"/>
      <c r="C6" s="17"/>
      <c r="D6" s="17"/>
      <c r="E6" s="25"/>
      <c r="F6" s="31"/>
      <c r="G6" s="32"/>
      <c r="H6" s="32"/>
      <c r="I6" s="32"/>
      <c r="J6" s="32"/>
      <c r="K6" s="32"/>
      <c r="L6" s="34"/>
      <c r="M6" s="31"/>
      <c r="N6" s="32"/>
      <c r="O6" s="32"/>
      <c r="P6" s="32"/>
      <c r="Q6" s="34"/>
      <c r="R6" s="23"/>
      <c r="S6" s="17"/>
      <c r="T6" s="17"/>
      <c r="U6" s="17"/>
      <c r="V6" s="25"/>
      <c r="W6" s="23"/>
      <c r="X6" s="17"/>
      <c r="Y6" s="17"/>
      <c r="Z6" s="17"/>
      <c r="AA6" s="25"/>
    </row>
    <row r="7" spans="1:30" ht="14.45" customHeight="1" x14ac:dyDescent="0.25">
      <c r="A7" s="15"/>
      <c r="B7" s="24"/>
      <c r="C7" s="24"/>
      <c r="D7" s="24"/>
      <c r="E7" s="18"/>
      <c r="F7" s="33"/>
      <c r="G7" s="28"/>
      <c r="H7" s="28"/>
      <c r="I7" s="28"/>
      <c r="J7" s="28"/>
      <c r="K7" s="28"/>
      <c r="L7" s="29"/>
      <c r="M7" s="33"/>
      <c r="N7" s="28"/>
      <c r="O7" s="28"/>
      <c r="P7" s="28"/>
      <c r="Q7" s="29"/>
      <c r="R7" s="15"/>
      <c r="S7" s="24"/>
      <c r="T7" s="24"/>
      <c r="U7" s="24"/>
      <c r="V7" s="18"/>
      <c r="W7" s="15"/>
      <c r="X7" s="24"/>
      <c r="Y7" s="24"/>
      <c r="Z7" s="24"/>
      <c r="AA7" s="18"/>
    </row>
    <row r="8" spans="1:30" ht="15" customHeight="1" x14ac:dyDescent="0.25">
      <c r="A8" s="26">
        <f>GETPIVOTDATA("Applicant_ID",'Pivot table'!$B$3)</f>
        <v>950</v>
      </c>
      <c r="B8" s="26"/>
      <c r="C8" s="26"/>
      <c r="D8" s="26"/>
      <c r="E8" s="27"/>
      <c r="F8" s="36">
        <f>'Pivot table'!D18</f>
        <v>1</v>
      </c>
      <c r="G8" s="26"/>
      <c r="H8" s="26"/>
      <c r="I8" s="26"/>
      <c r="J8" s="26"/>
      <c r="K8" s="26"/>
      <c r="L8" s="27"/>
      <c r="M8" s="37">
        <f>'Pivot table'!C32</f>
        <v>18455015</v>
      </c>
      <c r="N8" s="38"/>
      <c r="O8" s="38"/>
      <c r="P8" s="38"/>
      <c r="Q8" s="39"/>
      <c r="R8" s="43">
        <f>'Pivot table'!C48</f>
        <v>19426.331578947367</v>
      </c>
      <c r="S8" s="44"/>
      <c r="T8" s="44"/>
      <c r="U8" s="44"/>
      <c r="V8" s="45"/>
      <c r="W8" s="43">
        <f>'Pivot table'!C56</f>
        <v>10327.543157894737</v>
      </c>
      <c r="X8" s="44"/>
      <c r="Y8" s="44"/>
      <c r="Z8" s="44"/>
      <c r="AA8" s="45"/>
    </row>
    <row r="9" spans="1:30" ht="15" customHeight="1" x14ac:dyDescent="0.25">
      <c r="A9" s="28"/>
      <c r="B9" s="28"/>
      <c r="C9" s="28"/>
      <c r="D9" s="28"/>
      <c r="E9" s="29"/>
      <c r="F9" s="33"/>
      <c r="G9" s="28"/>
      <c r="H9" s="28"/>
      <c r="I9" s="28"/>
      <c r="J9" s="28"/>
      <c r="K9" s="28"/>
      <c r="L9" s="29"/>
      <c r="M9" s="40"/>
      <c r="N9" s="41"/>
      <c r="O9" s="41"/>
      <c r="P9" s="41"/>
      <c r="Q9" s="19"/>
      <c r="R9" s="46"/>
      <c r="S9" s="47"/>
      <c r="T9" s="47"/>
      <c r="U9" s="47"/>
      <c r="V9" s="48"/>
      <c r="W9" s="46"/>
      <c r="X9" s="47"/>
      <c r="Y9" s="47"/>
      <c r="Z9" s="47"/>
      <c r="AA9" s="48"/>
    </row>
    <row r="10" spans="1:30" ht="14.45" customHeight="1" x14ac:dyDescent="0.25">
      <c r="A10" s="26" t="s">
        <v>120</v>
      </c>
      <c r="B10" s="26"/>
      <c r="C10" s="26"/>
      <c r="D10" s="26"/>
      <c r="E10" s="27"/>
      <c r="F10" s="30" t="s">
        <v>124</v>
      </c>
      <c r="G10" s="21"/>
      <c r="H10" s="21"/>
      <c r="I10" s="21"/>
      <c r="J10" s="21"/>
      <c r="K10" s="21"/>
      <c r="L10" s="20"/>
      <c r="M10" s="53"/>
      <c r="N10" s="53"/>
      <c r="O10" s="53"/>
      <c r="P10" s="53"/>
      <c r="Q10" s="53"/>
      <c r="R10" s="11"/>
      <c r="S10" s="11"/>
      <c r="T10" s="11"/>
      <c r="U10" s="11"/>
      <c r="V10" s="11"/>
      <c r="W10" s="11"/>
      <c r="X10" s="11"/>
      <c r="Y10" s="11"/>
      <c r="Z10" s="11"/>
      <c r="AA10" s="11"/>
    </row>
    <row r="11" spans="1:30" ht="14.45" customHeight="1" x14ac:dyDescent="0.25">
      <c r="A11" s="32"/>
      <c r="B11" s="32"/>
      <c r="C11" s="32"/>
      <c r="D11" s="32"/>
      <c r="E11" s="34"/>
      <c r="F11" s="23"/>
      <c r="G11" s="17"/>
      <c r="H11" s="17"/>
      <c r="I11" s="17"/>
      <c r="J11" s="17"/>
      <c r="K11" s="17"/>
      <c r="L11" s="25"/>
      <c r="M11" s="53"/>
      <c r="N11" s="53"/>
      <c r="O11" s="53"/>
      <c r="P11" s="53"/>
      <c r="Q11" s="53"/>
      <c r="R11" s="11"/>
      <c r="S11" s="11"/>
      <c r="T11" s="11"/>
      <c r="U11" s="11"/>
      <c r="V11" s="11"/>
      <c r="W11" s="11"/>
      <c r="X11" s="11"/>
      <c r="Y11" s="11"/>
      <c r="Z11" s="11"/>
      <c r="AA11" s="11"/>
    </row>
    <row r="12" spans="1:30" ht="14.45" customHeight="1" x14ac:dyDescent="0.25">
      <c r="A12" s="28"/>
      <c r="B12" s="28"/>
      <c r="C12" s="28"/>
      <c r="D12" s="28"/>
      <c r="E12" s="29"/>
      <c r="F12" s="15"/>
      <c r="G12" s="24"/>
      <c r="H12" s="24"/>
      <c r="I12" s="24"/>
      <c r="J12" s="24"/>
      <c r="K12" s="24"/>
      <c r="L12" s="18"/>
      <c r="M12" s="53"/>
      <c r="N12" s="53"/>
      <c r="O12" s="53"/>
      <c r="P12" s="53"/>
      <c r="Q12" s="53"/>
      <c r="R12" s="11"/>
      <c r="S12" s="11"/>
      <c r="T12" s="11"/>
      <c r="U12" s="11"/>
      <c r="V12" s="11"/>
      <c r="W12" s="11"/>
      <c r="X12" s="11"/>
      <c r="Y12" s="11"/>
      <c r="Z12" s="11"/>
      <c r="AA12" s="11"/>
    </row>
    <row r="13" spans="1:30" ht="14.45" customHeight="1" x14ac:dyDescent="0.25">
      <c r="A13" s="42">
        <f>'Pivot table'!C62</f>
        <v>0.34743157894736809</v>
      </c>
      <c r="B13" s="42"/>
      <c r="C13" s="42"/>
      <c r="D13" s="42"/>
      <c r="E13" s="50"/>
      <c r="F13" s="35">
        <f>'Pivot table'!F73</f>
        <v>1</v>
      </c>
      <c r="G13" s="21"/>
      <c r="H13" s="21"/>
      <c r="I13" s="21"/>
      <c r="J13" s="21"/>
      <c r="K13" s="21"/>
      <c r="L13" s="20"/>
      <c r="M13" s="54"/>
      <c r="N13" s="55"/>
      <c r="O13" s="55"/>
      <c r="P13" s="55"/>
      <c r="Q13" s="55"/>
      <c r="R13" s="11"/>
      <c r="S13" s="11"/>
      <c r="T13" s="11"/>
      <c r="U13" s="11"/>
      <c r="V13" s="11"/>
      <c r="W13" s="11"/>
      <c r="X13" s="11"/>
      <c r="Y13" s="11"/>
      <c r="Z13" s="11"/>
      <c r="AA13" s="11"/>
    </row>
    <row r="14" spans="1:30" ht="14.45" customHeight="1" x14ac:dyDescent="0.25">
      <c r="A14" s="49"/>
      <c r="B14" s="49"/>
      <c r="C14" s="49"/>
      <c r="D14" s="49"/>
      <c r="E14" s="51"/>
      <c r="F14" s="15"/>
      <c r="G14" s="24"/>
      <c r="H14" s="24"/>
      <c r="I14" s="24"/>
      <c r="J14" s="24"/>
      <c r="K14" s="24"/>
      <c r="L14" s="18"/>
      <c r="M14" s="55"/>
      <c r="N14" s="55"/>
      <c r="O14" s="55"/>
      <c r="P14" s="55"/>
      <c r="Q14" s="55"/>
      <c r="R14" s="11"/>
      <c r="S14" s="11"/>
      <c r="T14" s="11"/>
      <c r="U14" s="11"/>
      <c r="V14" s="11"/>
      <c r="W14" s="11"/>
      <c r="X14" s="11"/>
      <c r="Y14" s="11"/>
      <c r="Z14" s="11"/>
      <c r="AA14" s="11"/>
    </row>
    <row r="15" spans="1:30"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30"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D16" s="13"/>
    </row>
    <row r="17" spans="1:27"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spans="1:27"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x14ac:dyDescent="0.25">
      <c r="A32" s="11"/>
      <c r="B32" s="11"/>
      <c r="C32" s="11"/>
      <c r="D32" s="11"/>
      <c r="E32" s="11"/>
      <c r="F32" s="11"/>
      <c r="G32" s="11"/>
      <c r="H32" s="12"/>
      <c r="I32" s="11"/>
      <c r="J32" s="11"/>
      <c r="K32" s="11"/>
      <c r="L32" s="11"/>
      <c r="M32" s="11"/>
      <c r="N32" s="11"/>
      <c r="O32" s="11"/>
      <c r="P32" s="11"/>
      <c r="Q32" s="11"/>
      <c r="R32" s="11"/>
      <c r="S32" s="11"/>
      <c r="T32" s="11"/>
      <c r="U32" s="11"/>
      <c r="V32" s="11"/>
      <c r="W32" s="11"/>
      <c r="X32" s="11"/>
      <c r="Y32" s="11"/>
      <c r="Z32" s="11"/>
      <c r="AA32" s="11"/>
    </row>
    <row r="33" spans="1:27"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x14ac:dyDescent="0.2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x14ac:dyDescent="0.2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x14ac:dyDescent="0.2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x14ac:dyDescent="0.2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7"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7"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7"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7"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7"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7"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7"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7"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7"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7"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7"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7"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sheetData>
  <mergeCells count="15">
    <mergeCell ref="M5:Q7"/>
    <mergeCell ref="M8:Q9"/>
    <mergeCell ref="A10:E12"/>
    <mergeCell ref="F10:L12"/>
    <mergeCell ref="A8:E9"/>
    <mergeCell ref="F5:L7"/>
    <mergeCell ref="F8:L9"/>
    <mergeCell ref="A13:E14"/>
    <mergeCell ref="F13:L14"/>
    <mergeCell ref="A1:AA4"/>
    <mergeCell ref="R8:V9"/>
    <mergeCell ref="W5:AA7"/>
    <mergeCell ref="W8:AA9"/>
    <mergeCell ref="R5:V7"/>
    <mergeCell ref="A5:E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Works</vt:lpstr>
      <vt:lpstr>Clean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Shende</dc:creator>
  <cp:lastModifiedBy>DreamWithData</cp:lastModifiedBy>
  <dcterms:created xsi:type="dcterms:W3CDTF">2026-01-28T13:29:31Z</dcterms:created>
  <dcterms:modified xsi:type="dcterms:W3CDTF">2026-02-02T04:28:06Z</dcterms:modified>
</cp:coreProperties>
</file>